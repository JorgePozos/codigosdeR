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rgepozos/Desktop/codigosde R/"/>
    </mc:Choice>
  </mc:AlternateContent>
  <xr:revisionPtr revIDLastSave="0" documentId="13_ncr:1_{36CCB015-0E73-D64A-BAA5-C26BA8D02B38}" xr6:coauthVersionLast="47" xr6:coauthVersionMax="47" xr10:uidLastSave="{00000000-0000-0000-0000-000000000000}"/>
  <bookViews>
    <workbookView xWindow="0" yWindow="0" windowWidth="25600" windowHeight="16000" tabRatio="829" activeTab="5" xr2:uid="{00000000-000D-0000-FFFF-FFFF00000000}"/>
  </bookViews>
  <sheets>
    <sheet name="AP" sheetId="25" r:id="rId1"/>
    <sheet name="G1 Sx" sheetId="32" r:id="rId2"/>
    <sheet name="G2 hx" sheetId="33" r:id="rId3"/>
    <sheet name="E1" sheetId="31" r:id="rId4"/>
    <sheet name="E2" sheetId="19" r:id="rId5"/>
    <sheet name="E3" sheetId="21" r:id="rId6"/>
    <sheet name="KS" sheetId="24" r:id="rId7"/>
  </sheets>
  <definedNames>
    <definedName name="solver_adj" localSheetId="4" hidden="1">'E2'!$G$6:$G$7</definedName>
    <definedName name="solver_adj" localSheetId="5" hidden="1">'E3'!$L$6:$L$7</definedName>
    <definedName name="solver_cvg" localSheetId="4" hidden="1">0.0001</definedName>
    <definedName name="solver_cvg" localSheetId="5" hidden="1">0.0001</definedName>
    <definedName name="solver_drv" localSheetId="4" hidden="1">1</definedName>
    <definedName name="solver_drv" localSheetId="5" hidden="1">1</definedName>
    <definedName name="solver_eng" localSheetId="0" hidden="1">1</definedName>
    <definedName name="solver_eng" localSheetId="4" hidden="1">1</definedName>
    <definedName name="solver_eng" localSheetId="5" hidden="1">1</definedName>
    <definedName name="solver_est" localSheetId="4" hidden="1">1</definedName>
    <definedName name="solver_est" localSheetId="5" hidden="1">1</definedName>
    <definedName name="solver_itr" localSheetId="4" hidden="1">2147483647</definedName>
    <definedName name="solver_itr" localSheetId="5" hidden="1">2147483647</definedName>
    <definedName name="solver_lhs1" localSheetId="4" hidden="1">'E2'!$G$6</definedName>
    <definedName name="solver_lhs1" localSheetId="5" hidden="1">'E3'!$L$6</definedName>
    <definedName name="solver_lhs2" localSheetId="4" hidden="1">'E2'!$G$7</definedName>
    <definedName name="solver_lhs2" localSheetId="5" hidden="1">'E3'!$L$7</definedName>
    <definedName name="solver_lin" localSheetId="4" hidden="1">2</definedName>
    <definedName name="solver_lin" localSheetId="5" hidden="1">2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0" hidden="1">1</definedName>
    <definedName name="solver_neg" localSheetId="4" hidden="1">2</definedName>
    <definedName name="solver_neg" localSheetId="5" hidden="1">2</definedName>
    <definedName name="solver_nod" localSheetId="4" hidden="1">2147483647</definedName>
    <definedName name="solver_nod" localSheetId="5" hidden="1">2147483647</definedName>
    <definedName name="solver_num" localSheetId="0" hidden="1">0</definedName>
    <definedName name="solver_num" localSheetId="4" hidden="1">2</definedName>
    <definedName name="solver_num" localSheetId="5" hidden="1">2</definedName>
    <definedName name="solver_nwt" localSheetId="4" hidden="1">1</definedName>
    <definedName name="solver_nwt" localSheetId="5" hidden="1">1</definedName>
    <definedName name="solver_opt" localSheetId="0" hidden="1">AP!$B$7</definedName>
    <definedName name="solver_opt" localSheetId="4" hidden="1">'E2'!$V$42</definedName>
    <definedName name="solver_opt" localSheetId="5" hidden="1">'E3'!$AE$42</definedName>
    <definedName name="solver_pre" localSheetId="4" hidden="1">0.000001</definedName>
    <definedName name="solver_pre" localSheetId="5" hidden="1">0.000001</definedName>
    <definedName name="solver_rbv" localSheetId="4" hidden="1">1</definedName>
    <definedName name="solver_rbv" localSheetId="5" hidden="1">1</definedName>
    <definedName name="solver_rel1" localSheetId="4" hidden="1">3</definedName>
    <definedName name="solver_rel1" localSheetId="5" hidden="1">3</definedName>
    <definedName name="solver_rel2" localSheetId="4" hidden="1">3</definedName>
    <definedName name="solver_rel2" localSheetId="5" hidden="1">3</definedName>
    <definedName name="solver_rhs1" localSheetId="4" hidden="1">0.1</definedName>
    <definedName name="solver_rhs1" localSheetId="5" hidden="1">0</definedName>
    <definedName name="solver_rhs2" localSheetId="4" hidden="1">0.1</definedName>
    <definedName name="solver_rhs2" localSheetId="5" hidden="1">0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scl" localSheetId="4" hidden="1">1</definedName>
    <definedName name="solver_scl" localSheetId="5" hidden="1">1</definedName>
    <definedName name="solver_sho" localSheetId="4" hidden="1">2</definedName>
    <definedName name="solver_sho" localSheetId="5" hidden="1">2</definedName>
    <definedName name="solver_ssz" localSheetId="4" hidden="1">100</definedName>
    <definedName name="solver_ssz" localSheetId="5" hidden="1">100</definedName>
    <definedName name="solver_tim" localSheetId="4" hidden="1">2147483647</definedName>
    <definedName name="solver_tim" localSheetId="5" hidden="1">2147483647</definedName>
    <definedName name="solver_tol" localSheetId="4" hidden="1">0.01</definedName>
    <definedName name="solver_tol" localSheetId="5" hidden="1">0.01</definedName>
    <definedName name="solver_typ" localSheetId="0" hidden="1">1</definedName>
    <definedName name="solver_typ" localSheetId="4" hidden="1">3</definedName>
    <definedName name="solver_typ" localSheetId="5" hidden="1">3</definedName>
    <definedName name="solver_val" localSheetId="0" hidden="1">0</definedName>
    <definedName name="solver_val" localSheetId="4" hidden="1">0</definedName>
    <definedName name="solver_val" localSheetId="5" hidden="1">0</definedName>
    <definedName name="solver_ver" localSheetId="0" hidden="1">3</definedName>
    <definedName name="solver_ver" localSheetId="4" hidden="1">2</definedName>
    <definedName name="solver_ver" localSheetId="5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21" l="1"/>
  <c r="I27" i="21"/>
  <c r="H41" i="21"/>
  <c r="I26" i="21"/>
  <c r="G31" i="21"/>
  <c r="G27" i="21"/>
  <c r="R26" i="21"/>
  <c r="R28" i="21"/>
  <c r="AH43" i="21"/>
  <c r="AG40" i="21"/>
  <c r="AG39" i="21"/>
  <c r="AG38" i="21"/>
  <c r="AG37" i="21"/>
  <c r="AG36" i="21"/>
  <c r="AG35" i="21"/>
  <c r="AG34" i="21"/>
  <c r="AG33" i="21"/>
  <c r="AG32" i="21"/>
  <c r="AG31" i="21"/>
  <c r="AG30" i="21"/>
  <c r="AG29" i="21"/>
  <c r="AG28" i="21"/>
  <c r="AG27" i="21"/>
  <c r="AG26" i="21"/>
  <c r="T26" i="21"/>
  <c r="T46" i="21" s="1"/>
  <c r="Q27" i="21"/>
  <c r="R27" i="21"/>
  <c r="S27" i="21"/>
  <c r="AI27" i="21" s="1"/>
  <c r="T27" i="21"/>
  <c r="U27" i="21"/>
  <c r="V27" i="21"/>
  <c r="W27" i="21"/>
  <c r="Q28" i="21"/>
  <c r="S28" i="21"/>
  <c r="T28" i="21"/>
  <c r="U28" i="21"/>
  <c r="V28" i="21"/>
  <c r="W28" i="21"/>
  <c r="Q29" i="21"/>
  <c r="R29" i="21"/>
  <c r="S29" i="21"/>
  <c r="T29" i="21"/>
  <c r="U29" i="21"/>
  <c r="V29" i="21"/>
  <c r="W29" i="21"/>
  <c r="Q30" i="21"/>
  <c r="R30" i="21"/>
  <c r="S30" i="21"/>
  <c r="AI30" i="21" s="1"/>
  <c r="T30" i="21"/>
  <c r="U30" i="21"/>
  <c r="V30" i="21"/>
  <c r="W30" i="21"/>
  <c r="Q31" i="21"/>
  <c r="R31" i="21"/>
  <c r="S31" i="21"/>
  <c r="AI31" i="21" s="1"/>
  <c r="T31" i="21"/>
  <c r="U31" i="21"/>
  <c r="V31" i="21"/>
  <c r="W31" i="21"/>
  <c r="Q32" i="21"/>
  <c r="R32" i="21"/>
  <c r="S32" i="21"/>
  <c r="AI32" i="21" s="1"/>
  <c r="T32" i="21"/>
  <c r="U32" i="21"/>
  <c r="V32" i="21"/>
  <c r="W32" i="21"/>
  <c r="Q33" i="21"/>
  <c r="R33" i="21"/>
  <c r="S33" i="21"/>
  <c r="AI33" i="21" s="1"/>
  <c r="T33" i="21"/>
  <c r="U33" i="21"/>
  <c r="V33" i="21"/>
  <c r="W33" i="21"/>
  <c r="Q34" i="21"/>
  <c r="R34" i="21"/>
  <c r="S34" i="21"/>
  <c r="AI34" i="21" s="1"/>
  <c r="T34" i="21"/>
  <c r="U34" i="21"/>
  <c r="V34" i="21"/>
  <c r="W34" i="21"/>
  <c r="Q35" i="21"/>
  <c r="R35" i="21"/>
  <c r="S35" i="21"/>
  <c r="AI35" i="21" s="1"/>
  <c r="T35" i="21"/>
  <c r="U35" i="21"/>
  <c r="V35" i="21"/>
  <c r="W35" i="21"/>
  <c r="Q36" i="21"/>
  <c r="R36" i="21"/>
  <c r="S36" i="21"/>
  <c r="T36" i="21"/>
  <c r="U36" i="21"/>
  <c r="V36" i="21"/>
  <c r="W36" i="21"/>
  <c r="Q37" i="21"/>
  <c r="R37" i="21"/>
  <c r="S37" i="21"/>
  <c r="T37" i="21"/>
  <c r="U37" i="21"/>
  <c r="V37" i="21"/>
  <c r="W37" i="21"/>
  <c r="Q38" i="21"/>
  <c r="R38" i="21"/>
  <c r="S38" i="21"/>
  <c r="AI38" i="21" s="1"/>
  <c r="T38" i="21"/>
  <c r="U38" i="21"/>
  <c r="V38" i="21"/>
  <c r="W38" i="21"/>
  <c r="Q39" i="21"/>
  <c r="R39" i="21"/>
  <c r="S39" i="21"/>
  <c r="AI39" i="21" s="1"/>
  <c r="T39" i="21"/>
  <c r="U39" i="21"/>
  <c r="V39" i="21"/>
  <c r="W39" i="21"/>
  <c r="Q40" i="21"/>
  <c r="R40" i="21"/>
  <c r="S40" i="21"/>
  <c r="AI40" i="21" s="1"/>
  <c r="T40" i="21"/>
  <c r="U40" i="21"/>
  <c r="V40" i="21"/>
  <c r="W40" i="21"/>
  <c r="U26" i="21"/>
  <c r="Q26" i="21"/>
  <c r="W26" i="21"/>
  <c r="V26" i="21"/>
  <c r="S26" i="21"/>
  <c r="AI26" i="21" s="1"/>
  <c r="T47" i="21" l="1"/>
  <c r="T48" i="21" s="1"/>
  <c r="T49" i="21" s="1"/>
  <c r="T50" i="21" s="1"/>
  <c r="T51" i="21" s="1"/>
  <c r="T52" i="21" s="1"/>
  <c r="T53" i="21" s="1"/>
  <c r="T54" i="21" s="1"/>
  <c r="T55" i="21" s="1"/>
  <c r="T56" i="21" s="1"/>
  <c r="T57" i="21" s="1"/>
  <c r="T58" i="21" s="1"/>
  <c r="AI36" i="21"/>
  <c r="AI28" i="21"/>
  <c r="AI29" i="21"/>
  <c r="AI37" i="21"/>
  <c r="N32" i="21" l="1"/>
  <c r="O26" i="21"/>
  <c r="L26" i="21"/>
  <c r="J26" i="21"/>
  <c r="L27" i="21"/>
  <c r="M27" i="21"/>
  <c r="N27" i="21"/>
  <c r="O27" i="21"/>
  <c r="I28" i="21"/>
  <c r="L28" i="21"/>
  <c r="M28" i="21"/>
  <c r="N28" i="21"/>
  <c r="O28" i="21"/>
  <c r="I29" i="21"/>
  <c r="L29" i="21"/>
  <c r="M29" i="21"/>
  <c r="N29" i="21"/>
  <c r="O29" i="21"/>
  <c r="I30" i="21"/>
  <c r="L30" i="21"/>
  <c r="M30" i="21"/>
  <c r="N30" i="21"/>
  <c r="O30" i="21"/>
  <c r="I31" i="21"/>
  <c r="L31" i="21"/>
  <c r="M31" i="21"/>
  <c r="N31" i="21"/>
  <c r="O31" i="21"/>
  <c r="I32" i="21"/>
  <c r="L32" i="21"/>
  <c r="M32" i="21"/>
  <c r="O32" i="21"/>
  <c r="I33" i="21"/>
  <c r="L33" i="21"/>
  <c r="M33" i="21"/>
  <c r="N33" i="21"/>
  <c r="O33" i="21"/>
  <c r="I34" i="21"/>
  <c r="L34" i="21"/>
  <c r="M34" i="21"/>
  <c r="N34" i="21"/>
  <c r="O34" i="21"/>
  <c r="I35" i="21"/>
  <c r="L35" i="21"/>
  <c r="M35" i="21"/>
  <c r="N35" i="21"/>
  <c r="O35" i="21"/>
  <c r="I36" i="21"/>
  <c r="L36" i="21"/>
  <c r="M36" i="21"/>
  <c r="N36" i="21"/>
  <c r="O36" i="21"/>
  <c r="I37" i="21"/>
  <c r="L37" i="21"/>
  <c r="M37" i="21"/>
  <c r="N37" i="21"/>
  <c r="O37" i="21"/>
  <c r="I38" i="21"/>
  <c r="L38" i="21"/>
  <c r="M38" i="21"/>
  <c r="N38" i="21"/>
  <c r="O38" i="21"/>
  <c r="I39" i="21"/>
  <c r="L39" i="21"/>
  <c r="M39" i="21"/>
  <c r="N39" i="21"/>
  <c r="O39" i="21"/>
  <c r="I40" i="21"/>
  <c r="L40" i="21"/>
  <c r="M40" i="21"/>
  <c r="N40" i="21"/>
  <c r="O40" i="21"/>
  <c r="N26" i="21"/>
  <c r="M26" i="21"/>
  <c r="H26" i="21" a="1"/>
  <c r="H26" i="21" s="1"/>
  <c r="G26" i="21"/>
  <c r="G28" i="21"/>
  <c r="G29" i="21" s="1"/>
  <c r="G30" i="21" s="1"/>
  <c r="G32" i="21" s="1"/>
  <c r="G33" i="21" s="1"/>
  <c r="G34" i="21" s="1"/>
  <c r="G35" i="21" s="1"/>
  <c r="G36" i="21" s="1"/>
  <c r="G37" i="21" s="1"/>
  <c r="G38" i="21" s="1"/>
  <c r="G39" i="21" s="1"/>
  <c r="G40" i="21" s="1"/>
  <c r="F22" i="21"/>
  <c r="F21" i="21"/>
  <c r="F20" i="21"/>
  <c r="F19" i="21"/>
  <c r="F18" i="21"/>
  <c r="F15" i="21"/>
  <c r="AE9" i="31"/>
  <c r="F45" i="31"/>
  <c r="F76" i="31"/>
  <c r="F9" i="31"/>
  <c r="F10" i="31"/>
  <c r="E9" i="31"/>
  <c r="F11" i="21"/>
  <c r="F23" i="21"/>
  <c r="F17" i="21"/>
  <c r="F16" i="21"/>
  <c r="F12" i="21"/>
  <c r="Q26" i="19"/>
  <c r="U26" i="19" s="1"/>
  <c r="AC43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39" i="19"/>
  <c r="AC40" i="19"/>
  <c r="AA27" i="19"/>
  <c r="AA28" i="19"/>
  <c r="AA29" i="19"/>
  <c r="AA30" i="19"/>
  <c r="AA31" i="19"/>
  <c r="AA32" i="19"/>
  <c r="AA33" i="19"/>
  <c r="AA34" i="19"/>
  <c r="AA35" i="19"/>
  <c r="AA36" i="19"/>
  <c r="AA37" i="19"/>
  <c r="AA38" i="19"/>
  <c r="AA39" i="19"/>
  <c r="AA40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26" i="19"/>
  <c r="S27" i="19"/>
  <c r="W27" i="19" s="1"/>
  <c r="S28" i="19"/>
  <c r="W28" i="19" s="1"/>
  <c r="S29" i="19"/>
  <c r="W29" i="19" s="1"/>
  <c r="S30" i="19"/>
  <c r="W30" i="19" s="1"/>
  <c r="S31" i="19"/>
  <c r="W31" i="19" s="1"/>
  <c r="S32" i="19"/>
  <c r="W32" i="19" s="1"/>
  <c r="S33" i="19"/>
  <c r="W33" i="19" s="1"/>
  <c r="S34" i="19"/>
  <c r="W34" i="19" s="1"/>
  <c r="S35" i="19"/>
  <c r="W35" i="19" s="1"/>
  <c r="S36" i="19"/>
  <c r="W36" i="19" s="1"/>
  <c r="S37" i="19"/>
  <c r="W37" i="19" s="1"/>
  <c r="S38" i="19"/>
  <c r="W38" i="19" s="1"/>
  <c r="S39" i="19"/>
  <c r="W39" i="19" s="1"/>
  <c r="S40" i="19"/>
  <c r="W40" i="19" s="1"/>
  <c r="S26" i="19"/>
  <c r="W26" i="19" s="1"/>
  <c r="R27" i="19"/>
  <c r="V27" i="19" s="1"/>
  <c r="R28" i="19"/>
  <c r="V28" i="19" s="1"/>
  <c r="R29" i="19"/>
  <c r="V29" i="19" s="1"/>
  <c r="R30" i="19"/>
  <c r="V30" i="19" s="1"/>
  <c r="R31" i="19"/>
  <c r="V31" i="19" s="1"/>
  <c r="R32" i="19"/>
  <c r="V32" i="19" s="1"/>
  <c r="R33" i="19"/>
  <c r="V33" i="19" s="1"/>
  <c r="R34" i="19"/>
  <c r="V34" i="19" s="1"/>
  <c r="R35" i="19"/>
  <c r="V35" i="19" s="1"/>
  <c r="R36" i="19"/>
  <c r="V36" i="19" s="1"/>
  <c r="R37" i="19"/>
  <c r="V37" i="19" s="1"/>
  <c r="R38" i="19"/>
  <c r="V38" i="19" s="1"/>
  <c r="R39" i="19"/>
  <c r="V39" i="19" s="1"/>
  <c r="R40" i="19"/>
  <c r="V40" i="19" s="1"/>
  <c r="R26" i="19"/>
  <c r="V26" i="19" s="1"/>
  <c r="Q27" i="19"/>
  <c r="U27" i="19" s="1"/>
  <c r="Q28" i="19"/>
  <c r="U28" i="19" s="1"/>
  <c r="Q29" i="19"/>
  <c r="U29" i="19" s="1"/>
  <c r="Q30" i="19"/>
  <c r="U30" i="19" s="1"/>
  <c r="Q31" i="19"/>
  <c r="U31" i="19" s="1"/>
  <c r="Q32" i="19"/>
  <c r="U32" i="19" s="1"/>
  <c r="Q33" i="19"/>
  <c r="U33" i="19" s="1"/>
  <c r="Q34" i="19"/>
  <c r="U34" i="19" s="1"/>
  <c r="Q35" i="19"/>
  <c r="U35" i="19" s="1"/>
  <c r="Q36" i="19"/>
  <c r="U36" i="19" s="1"/>
  <c r="Q37" i="19"/>
  <c r="U37" i="19" s="1"/>
  <c r="Q38" i="19"/>
  <c r="U38" i="19" s="1"/>
  <c r="Q39" i="19"/>
  <c r="U39" i="19" s="1"/>
  <c r="Q40" i="19"/>
  <c r="U40" i="19" s="1"/>
  <c r="O40" i="19"/>
  <c r="N40" i="19"/>
  <c r="M40" i="19"/>
  <c r="L40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J28" i="19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27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26" i="19"/>
  <c r="H26" i="19" a="1"/>
  <c r="H26" i="19" s="1"/>
  <c r="G29" i="19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28" i="19"/>
  <c r="G27" i="19"/>
  <c r="G26" i="19"/>
  <c r="F14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26" i="19"/>
  <c r="F22" i="19"/>
  <c r="F23" i="19"/>
  <c r="F21" i="19"/>
  <c r="F20" i="19"/>
  <c r="F19" i="19"/>
  <c r="F18" i="19"/>
  <c r="F17" i="19"/>
  <c r="F16" i="19"/>
  <c r="F15" i="19"/>
  <c r="F13" i="19"/>
  <c r="F12" i="19"/>
  <c r="F11" i="19"/>
  <c r="AF11" i="31"/>
  <c r="AF12" i="31"/>
  <c r="AF13" i="31"/>
  <c r="AF14" i="31"/>
  <c r="AF15" i="31"/>
  <c r="AF16" i="31"/>
  <c r="AF17" i="31"/>
  <c r="AF18" i="31"/>
  <c r="AF19" i="31"/>
  <c r="AF20" i="31"/>
  <c r="AF21" i="31"/>
  <c r="AF22" i="31"/>
  <c r="AF23" i="31"/>
  <c r="AF24" i="31"/>
  <c r="AF25" i="31"/>
  <c r="AF26" i="31"/>
  <c r="AF27" i="31"/>
  <c r="AF28" i="31"/>
  <c r="AF29" i="31"/>
  <c r="AF30" i="31"/>
  <c r="AF31" i="31"/>
  <c r="AF32" i="31"/>
  <c r="AF33" i="31"/>
  <c r="AF34" i="31"/>
  <c r="AF35" i="31"/>
  <c r="AF36" i="31"/>
  <c r="AF37" i="31"/>
  <c r="AF38" i="31"/>
  <c r="AF39" i="31"/>
  <c r="AF40" i="31"/>
  <c r="AF41" i="31"/>
  <c r="AF42" i="31"/>
  <c r="AF43" i="31"/>
  <c r="AF44" i="31"/>
  <c r="AF45" i="31"/>
  <c r="AF46" i="31"/>
  <c r="AF47" i="31"/>
  <c r="AF48" i="31"/>
  <c r="AF49" i="31"/>
  <c r="AF50" i="31"/>
  <c r="AF51" i="31"/>
  <c r="AF52" i="31"/>
  <c r="AF53" i="31"/>
  <c r="AF54" i="31"/>
  <c r="AF55" i="31"/>
  <c r="AF56" i="31"/>
  <c r="AF57" i="31"/>
  <c r="AF58" i="31"/>
  <c r="AF59" i="31"/>
  <c r="AF60" i="31"/>
  <c r="AF61" i="31"/>
  <c r="AF62" i="31"/>
  <c r="AF63" i="31"/>
  <c r="AF64" i="31"/>
  <c r="AF65" i="31"/>
  <c r="AF66" i="31"/>
  <c r="AF67" i="31"/>
  <c r="AF68" i="31"/>
  <c r="AF69" i="31"/>
  <c r="AF70" i="31"/>
  <c r="AF71" i="31"/>
  <c r="AF72" i="31"/>
  <c r="AF73" i="31"/>
  <c r="AF74" i="31"/>
  <c r="AF75" i="31"/>
  <c r="AF76" i="31"/>
  <c r="AF77" i="31"/>
  <c r="AF78" i="31"/>
  <c r="AF79" i="31"/>
  <c r="AF80" i="31"/>
  <c r="AF81" i="31"/>
  <c r="AF82" i="31"/>
  <c r="AF83" i="31"/>
  <c r="AF84" i="31"/>
  <c r="AF85" i="31"/>
  <c r="AF86" i="31"/>
  <c r="AF87" i="31"/>
  <c r="AF88" i="31"/>
  <c r="AF89" i="31"/>
  <c r="AF90" i="31"/>
  <c r="AF91" i="31"/>
  <c r="AF92" i="31"/>
  <c r="AF93" i="31"/>
  <c r="AF94" i="31"/>
  <c r="AF95" i="31"/>
  <c r="AF96" i="31"/>
  <c r="AF97" i="31"/>
  <c r="AF98" i="31"/>
  <c r="AF99" i="31"/>
  <c r="AF100" i="31"/>
  <c r="AF101" i="31"/>
  <c r="AF102" i="31"/>
  <c r="AF103" i="31"/>
  <c r="AF104" i="31"/>
  <c r="AF105" i="31"/>
  <c r="AF106" i="31"/>
  <c r="AF107" i="31"/>
  <c r="AF108" i="31"/>
  <c r="AF10" i="31"/>
  <c r="AE11" i="31"/>
  <c r="AE12" i="31"/>
  <c r="AE13" i="31"/>
  <c r="AE14" i="31"/>
  <c r="AE15" i="31"/>
  <c r="AE16" i="31"/>
  <c r="AE17" i="31"/>
  <c r="AE18" i="31"/>
  <c r="AE19" i="31"/>
  <c r="AE20" i="31"/>
  <c r="AE21" i="31"/>
  <c r="AE22" i="31"/>
  <c r="AE23" i="31"/>
  <c r="AE24" i="31"/>
  <c r="AE25" i="31"/>
  <c r="AE26" i="31"/>
  <c r="AE27" i="31"/>
  <c r="AE28" i="31"/>
  <c r="AE29" i="31"/>
  <c r="AE30" i="31"/>
  <c r="AE31" i="31"/>
  <c r="AE32" i="31"/>
  <c r="AE33" i="31"/>
  <c r="AE34" i="31"/>
  <c r="AE35" i="31"/>
  <c r="AE36" i="31"/>
  <c r="AE37" i="31"/>
  <c r="AE38" i="31"/>
  <c r="AE39" i="31"/>
  <c r="AE40" i="31"/>
  <c r="AE41" i="31"/>
  <c r="AE42" i="31"/>
  <c r="AE43" i="31"/>
  <c r="AE44" i="31"/>
  <c r="AE45" i="31"/>
  <c r="AE46" i="31"/>
  <c r="AE47" i="31"/>
  <c r="AE48" i="31"/>
  <c r="AE49" i="31"/>
  <c r="AE50" i="31"/>
  <c r="AE51" i="31"/>
  <c r="AE52" i="31"/>
  <c r="AE53" i="31"/>
  <c r="AE54" i="31"/>
  <c r="AE55" i="31"/>
  <c r="AE56" i="31"/>
  <c r="AE57" i="31"/>
  <c r="AE58" i="31"/>
  <c r="AE59" i="31"/>
  <c r="AE60" i="31"/>
  <c r="AE61" i="31"/>
  <c r="AE62" i="31"/>
  <c r="AE63" i="31"/>
  <c r="AE64" i="31"/>
  <c r="AE65" i="31"/>
  <c r="AE66" i="31"/>
  <c r="AE67" i="31"/>
  <c r="AE68" i="31"/>
  <c r="AE69" i="31"/>
  <c r="AE70" i="31"/>
  <c r="AE71" i="31"/>
  <c r="AE72" i="31"/>
  <c r="AE73" i="31"/>
  <c r="AE74" i="31"/>
  <c r="AE75" i="31"/>
  <c r="AE76" i="31"/>
  <c r="AE77" i="31"/>
  <c r="AE78" i="31"/>
  <c r="AE79" i="31"/>
  <c r="AE80" i="31"/>
  <c r="AE81" i="31"/>
  <c r="AE82" i="31"/>
  <c r="AE83" i="31"/>
  <c r="AE84" i="31"/>
  <c r="AE85" i="31"/>
  <c r="AE86" i="31"/>
  <c r="AE87" i="31"/>
  <c r="AE88" i="31"/>
  <c r="AE89" i="31"/>
  <c r="AE90" i="31"/>
  <c r="AE91" i="31"/>
  <c r="AE92" i="31"/>
  <c r="AE93" i="31"/>
  <c r="AE94" i="31"/>
  <c r="AE95" i="31"/>
  <c r="AE96" i="31"/>
  <c r="AE97" i="31"/>
  <c r="AE98" i="31"/>
  <c r="AE99" i="31"/>
  <c r="AE100" i="31"/>
  <c r="AE101" i="31"/>
  <c r="AE102" i="31"/>
  <c r="AE103" i="31"/>
  <c r="AE104" i="31"/>
  <c r="AE105" i="31"/>
  <c r="AE106" i="31"/>
  <c r="AE107" i="31"/>
  <c r="AE108" i="31"/>
  <c r="AE10" i="31"/>
  <c r="AF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A10" i="31"/>
  <c r="AA11" i="31"/>
  <c r="AA12" i="31"/>
  <c r="AA13" i="31"/>
  <c r="AA14" i="31"/>
  <c r="AA15" i="31"/>
  <c r="AA16" i="31"/>
  <c r="AA17" i="31"/>
  <c r="AA18" i="31"/>
  <c r="AA19" i="31"/>
  <c r="AA20" i="31"/>
  <c r="AA21" i="31"/>
  <c r="AA22" i="31"/>
  <c r="AA23" i="31"/>
  <c r="AA24" i="31"/>
  <c r="AA25" i="31"/>
  <c r="AA26" i="31"/>
  <c r="AA27" i="31"/>
  <c r="AA28" i="31"/>
  <c r="AA29" i="31"/>
  <c r="AA30" i="31"/>
  <c r="AA31" i="31"/>
  <c r="AA32" i="31"/>
  <c r="AA33" i="31"/>
  <c r="AA34" i="31"/>
  <c r="AA35" i="31"/>
  <c r="AA36" i="31"/>
  <c r="AA37" i="31"/>
  <c r="AA38" i="31"/>
  <c r="AA39" i="31"/>
  <c r="AA40" i="31"/>
  <c r="AA41" i="31"/>
  <c r="AA42" i="31"/>
  <c r="AA43" i="31"/>
  <c r="AA44" i="31"/>
  <c r="AA45" i="31"/>
  <c r="AA46" i="31"/>
  <c r="AA47" i="31"/>
  <c r="AA48" i="31"/>
  <c r="AA49" i="31"/>
  <c r="AA50" i="31"/>
  <c r="AA51" i="31"/>
  <c r="AA52" i="31"/>
  <c r="AA53" i="31"/>
  <c r="AA54" i="31"/>
  <c r="AA55" i="31"/>
  <c r="AA56" i="31"/>
  <c r="AA57" i="31"/>
  <c r="AA58" i="31"/>
  <c r="AA59" i="31"/>
  <c r="AA60" i="31"/>
  <c r="AA61" i="31"/>
  <c r="AA62" i="31"/>
  <c r="AA63" i="31"/>
  <c r="AA64" i="31"/>
  <c r="AA65" i="31"/>
  <c r="AA66" i="31"/>
  <c r="AA67" i="31"/>
  <c r="AA68" i="31"/>
  <c r="AA69" i="31"/>
  <c r="AA70" i="31"/>
  <c r="AA71" i="31"/>
  <c r="AA72" i="31"/>
  <c r="AA73" i="31"/>
  <c r="AA74" i="31"/>
  <c r="AA75" i="31"/>
  <c r="AA76" i="31"/>
  <c r="AA77" i="31"/>
  <c r="AA78" i="31"/>
  <c r="AA79" i="31"/>
  <c r="AA80" i="31"/>
  <c r="AA81" i="31"/>
  <c r="AA82" i="31"/>
  <c r="AA83" i="31"/>
  <c r="AA84" i="31"/>
  <c r="AA85" i="31"/>
  <c r="AA86" i="31"/>
  <c r="AA87" i="31"/>
  <c r="AA88" i="31"/>
  <c r="AA89" i="31"/>
  <c r="AA90" i="31"/>
  <c r="AA91" i="31"/>
  <c r="AA92" i="31"/>
  <c r="AA93" i="31"/>
  <c r="AA94" i="31"/>
  <c r="AA95" i="31"/>
  <c r="AA96" i="31"/>
  <c r="AA97" i="31"/>
  <c r="AA98" i="31"/>
  <c r="AA99" i="31"/>
  <c r="AA100" i="31"/>
  <c r="AA101" i="31"/>
  <c r="AA102" i="31"/>
  <c r="AA103" i="31"/>
  <c r="AA104" i="31"/>
  <c r="AA105" i="31"/>
  <c r="AA106" i="31"/>
  <c r="AA107" i="31"/>
  <c r="AA108" i="31"/>
  <c r="AB9" i="31"/>
  <c r="AA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D105" i="31"/>
  <c r="D106" i="31"/>
  <c r="D107" i="31"/>
  <c r="D108" i="31"/>
  <c r="D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3" i="31"/>
  <c r="L104" i="31"/>
  <c r="L105" i="31"/>
  <c r="L106" i="31"/>
  <c r="L107" i="31"/>
  <c r="L108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I10" i="31"/>
  <c r="I11" i="31"/>
  <c r="I12" i="31"/>
  <c r="I13" i="31"/>
  <c r="I14" i="31"/>
  <c r="I15" i="31"/>
  <c r="I16" i="31"/>
  <c r="I17" i="31"/>
  <c r="I18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I55" i="31"/>
  <c r="I56" i="31"/>
  <c r="I57" i="31"/>
  <c r="I58" i="31"/>
  <c r="I59" i="31"/>
  <c r="I60" i="31"/>
  <c r="I61" i="31"/>
  <c r="I62" i="3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I93" i="31"/>
  <c r="I94" i="31"/>
  <c r="I95" i="31"/>
  <c r="I96" i="31"/>
  <c r="I97" i="31"/>
  <c r="I98" i="31"/>
  <c r="I99" i="31"/>
  <c r="I100" i="31"/>
  <c r="I101" i="31"/>
  <c r="I102" i="31"/>
  <c r="I103" i="31"/>
  <c r="I104" i="31"/>
  <c r="I105" i="31"/>
  <c r="I106" i="31"/>
  <c r="I107" i="31"/>
  <c r="I108" i="31"/>
  <c r="R10" i="31"/>
  <c r="R11" i="31"/>
  <c r="R12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26" i="31"/>
  <c r="R27" i="31"/>
  <c r="R28" i="31"/>
  <c r="R29" i="31"/>
  <c r="R30" i="31"/>
  <c r="R31" i="31"/>
  <c r="R32" i="31"/>
  <c r="R33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R48" i="31"/>
  <c r="R49" i="31"/>
  <c r="R50" i="31"/>
  <c r="R51" i="31"/>
  <c r="R52" i="31"/>
  <c r="R53" i="31"/>
  <c r="R54" i="31"/>
  <c r="R55" i="31"/>
  <c r="R56" i="31"/>
  <c r="R57" i="31"/>
  <c r="R58" i="31"/>
  <c r="R59" i="31"/>
  <c r="R60" i="31"/>
  <c r="R61" i="31"/>
  <c r="R62" i="31"/>
  <c r="R63" i="31"/>
  <c r="R64" i="31"/>
  <c r="R65" i="31"/>
  <c r="R66" i="31"/>
  <c r="R67" i="31"/>
  <c r="R68" i="31"/>
  <c r="R69" i="31"/>
  <c r="R70" i="31"/>
  <c r="R71" i="31"/>
  <c r="R72" i="31"/>
  <c r="R73" i="31"/>
  <c r="R74" i="31"/>
  <c r="R75" i="31"/>
  <c r="R76" i="31"/>
  <c r="R77" i="31"/>
  <c r="R78" i="31"/>
  <c r="R79" i="31"/>
  <c r="R80" i="31"/>
  <c r="R81" i="31"/>
  <c r="R82" i="31"/>
  <c r="R83" i="31"/>
  <c r="R84" i="31"/>
  <c r="R85" i="31"/>
  <c r="R86" i="31"/>
  <c r="R87" i="31"/>
  <c r="R88" i="31"/>
  <c r="R89" i="31"/>
  <c r="R90" i="31"/>
  <c r="R91" i="31"/>
  <c r="R92" i="31"/>
  <c r="R93" i="31"/>
  <c r="R94" i="31"/>
  <c r="R95" i="31"/>
  <c r="R96" i="31"/>
  <c r="R97" i="31"/>
  <c r="R98" i="31"/>
  <c r="R99" i="31"/>
  <c r="R100" i="31"/>
  <c r="R101" i="31"/>
  <c r="R102" i="31"/>
  <c r="R103" i="31"/>
  <c r="R104" i="31"/>
  <c r="R105" i="31"/>
  <c r="R106" i="31"/>
  <c r="R107" i="31"/>
  <c r="R108" i="31"/>
  <c r="X10" i="31"/>
  <c r="X11" i="31"/>
  <c r="X12" i="31"/>
  <c r="X13" i="31"/>
  <c r="X14" i="31"/>
  <c r="X15" i="31"/>
  <c r="X16" i="31"/>
  <c r="X17" i="31"/>
  <c r="X18" i="31"/>
  <c r="X19" i="31"/>
  <c r="X20" i="31"/>
  <c r="X21" i="31"/>
  <c r="X22" i="31"/>
  <c r="X23" i="31"/>
  <c r="X24" i="31"/>
  <c r="X25" i="31"/>
  <c r="X26" i="31"/>
  <c r="X27" i="31"/>
  <c r="X28" i="31"/>
  <c r="X29" i="31"/>
  <c r="X30" i="31"/>
  <c r="X31" i="31"/>
  <c r="X32" i="31"/>
  <c r="X33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X48" i="31"/>
  <c r="X49" i="31"/>
  <c r="X50" i="31"/>
  <c r="X51" i="31"/>
  <c r="X52" i="31"/>
  <c r="X53" i="31"/>
  <c r="X54" i="31"/>
  <c r="X55" i="31"/>
  <c r="X56" i="31"/>
  <c r="X57" i="31"/>
  <c r="X58" i="31"/>
  <c r="X59" i="31"/>
  <c r="X60" i="31"/>
  <c r="X61" i="31"/>
  <c r="X62" i="31"/>
  <c r="X63" i="31"/>
  <c r="X64" i="31"/>
  <c r="X65" i="31"/>
  <c r="X66" i="31"/>
  <c r="X67" i="31"/>
  <c r="X68" i="31"/>
  <c r="X69" i="31"/>
  <c r="X70" i="31"/>
  <c r="X71" i="31"/>
  <c r="X72" i="31"/>
  <c r="X73" i="31"/>
  <c r="X74" i="31"/>
  <c r="X75" i="31"/>
  <c r="X76" i="31"/>
  <c r="X77" i="31"/>
  <c r="X78" i="31"/>
  <c r="X79" i="31"/>
  <c r="X80" i="31"/>
  <c r="X81" i="31"/>
  <c r="X82" i="31"/>
  <c r="X83" i="31"/>
  <c r="X84" i="31"/>
  <c r="X85" i="31"/>
  <c r="X86" i="31"/>
  <c r="X87" i="31"/>
  <c r="X88" i="31"/>
  <c r="X89" i="31"/>
  <c r="X90" i="31"/>
  <c r="X91" i="31"/>
  <c r="X92" i="31"/>
  <c r="X93" i="31"/>
  <c r="X94" i="31"/>
  <c r="X95" i="31"/>
  <c r="X96" i="31"/>
  <c r="X97" i="31"/>
  <c r="X98" i="31"/>
  <c r="X99" i="31"/>
  <c r="X100" i="31"/>
  <c r="X101" i="31"/>
  <c r="X102" i="31"/>
  <c r="X103" i="31"/>
  <c r="X104" i="31"/>
  <c r="X105" i="31"/>
  <c r="X106" i="31"/>
  <c r="X107" i="31"/>
  <c r="X108" i="31"/>
  <c r="W10" i="31"/>
  <c r="W11" i="31"/>
  <c r="W12" i="31"/>
  <c r="W13" i="31"/>
  <c r="W14" i="31"/>
  <c r="W15" i="31"/>
  <c r="W16" i="31"/>
  <c r="W17" i="31"/>
  <c r="W18" i="31"/>
  <c r="W19" i="31"/>
  <c r="W20" i="31"/>
  <c r="W21" i="31"/>
  <c r="W22" i="31"/>
  <c r="W23" i="31"/>
  <c r="W24" i="31"/>
  <c r="W25" i="31"/>
  <c r="W26" i="31"/>
  <c r="W27" i="31"/>
  <c r="W28" i="31"/>
  <c r="W29" i="31"/>
  <c r="W30" i="31"/>
  <c r="W31" i="31"/>
  <c r="W32" i="31"/>
  <c r="W33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W48" i="31"/>
  <c r="W49" i="31"/>
  <c r="W50" i="31"/>
  <c r="W51" i="31"/>
  <c r="W52" i="31"/>
  <c r="W53" i="31"/>
  <c r="W54" i="31"/>
  <c r="W55" i="31"/>
  <c r="W56" i="31"/>
  <c r="W57" i="31"/>
  <c r="W58" i="31"/>
  <c r="W59" i="31"/>
  <c r="W60" i="31"/>
  <c r="W61" i="31"/>
  <c r="W62" i="31"/>
  <c r="W63" i="31"/>
  <c r="W64" i="31"/>
  <c r="W65" i="31"/>
  <c r="W66" i="31"/>
  <c r="W67" i="31"/>
  <c r="W68" i="31"/>
  <c r="W69" i="31"/>
  <c r="W70" i="31"/>
  <c r="W71" i="31"/>
  <c r="W72" i="31"/>
  <c r="W73" i="31"/>
  <c r="W74" i="31"/>
  <c r="W75" i="31"/>
  <c r="W76" i="31"/>
  <c r="W77" i="31"/>
  <c r="W78" i="31"/>
  <c r="W79" i="31"/>
  <c r="W80" i="31"/>
  <c r="W81" i="31"/>
  <c r="W82" i="31"/>
  <c r="W83" i="31"/>
  <c r="W84" i="31"/>
  <c r="W85" i="31"/>
  <c r="W86" i="31"/>
  <c r="W87" i="31"/>
  <c r="W88" i="31"/>
  <c r="W89" i="31"/>
  <c r="W90" i="31"/>
  <c r="W91" i="31"/>
  <c r="W92" i="31"/>
  <c r="W93" i="31"/>
  <c r="W94" i="31"/>
  <c r="W95" i="31"/>
  <c r="W96" i="31"/>
  <c r="W97" i="31"/>
  <c r="W98" i="31"/>
  <c r="W99" i="31"/>
  <c r="W100" i="31"/>
  <c r="W101" i="31"/>
  <c r="W102" i="31"/>
  <c r="W103" i="31"/>
  <c r="W104" i="31"/>
  <c r="W105" i="31"/>
  <c r="W106" i="31"/>
  <c r="W107" i="31"/>
  <c r="W108" i="31"/>
  <c r="V10" i="31"/>
  <c r="V11" i="31"/>
  <c r="V12" i="31"/>
  <c r="V13" i="31"/>
  <c r="V14" i="31"/>
  <c r="V15" i="31"/>
  <c r="V16" i="31"/>
  <c r="V17" i="31"/>
  <c r="V18" i="31"/>
  <c r="V19" i="31"/>
  <c r="V20" i="31"/>
  <c r="V21" i="31"/>
  <c r="V22" i="31"/>
  <c r="V23" i="31"/>
  <c r="V24" i="31"/>
  <c r="V25" i="31"/>
  <c r="V26" i="31"/>
  <c r="V27" i="31"/>
  <c r="V28" i="31"/>
  <c r="V29" i="31"/>
  <c r="V30" i="31"/>
  <c r="V31" i="31"/>
  <c r="V32" i="31"/>
  <c r="V33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V48" i="31"/>
  <c r="V49" i="31"/>
  <c r="V50" i="31"/>
  <c r="V51" i="31"/>
  <c r="V52" i="31"/>
  <c r="V53" i="31"/>
  <c r="V54" i="31"/>
  <c r="V55" i="31"/>
  <c r="V56" i="31"/>
  <c r="V57" i="31"/>
  <c r="V58" i="31"/>
  <c r="V59" i="31"/>
  <c r="V60" i="31"/>
  <c r="V61" i="31"/>
  <c r="V62" i="31"/>
  <c r="V63" i="31"/>
  <c r="V64" i="31"/>
  <c r="V65" i="31"/>
  <c r="V66" i="31"/>
  <c r="V67" i="31"/>
  <c r="V68" i="31"/>
  <c r="V69" i="31"/>
  <c r="V70" i="31"/>
  <c r="V71" i="31"/>
  <c r="V72" i="31"/>
  <c r="V73" i="31"/>
  <c r="V74" i="31"/>
  <c r="V75" i="31"/>
  <c r="V76" i="31"/>
  <c r="V77" i="31"/>
  <c r="V78" i="31"/>
  <c r="V79" i="31"/>
  <c r="V80" i="31"/>
  <c r="V81" i="31"/>
  <c r="V82" i="31"/>
  <c r="V83" i="31"/>
  <c r="V84" i="31"/>
  <c r="V85" i="31"/>
  <c r="V86" i="31"/>
  <c r="V87" i="31"/>
  <c r="V88" i="31"/>
  <c r="V89" i="31"/>
  <c r="V90" i="31"/>
  <c r="V91" i="31"/>
  <c r="V92" i="31"/>
  <c r="V93" i="31"/>
  <c r="V94" i="31"/>
  <c r="V95" i="31"/>
  <c r="V96" i="31"/>
  <c r="V97" i="31"/>
  <c r="V98" i="31"/>
  <c r="V99" i="31"/>
  <c r="V100" i="31"/>
  <c r="V101" i="31"/>
  <c r="V102" i="31"/>
  <c r="V103" i="31"/>
  <c r="V104" i="31"/>
  <c r="V105" i="31"/>
  <c r="V106" i="31"/>
  <c r="V107" i="31"/>
  <c r="V108" i="31"/>
  <c r="U11" i="31"/>
  <c r="U12" i="31"/>
  <c r="U13" i="31"/>
  <c r="U14" i="31"/>
  <c r="U15" i="31"/>
  <c r="U16" i="31"/>
  <c r="U17" i="31"/>
  <c r="U18" i="31"/>
  <c r="U19" i="31"/>
  <c r="U20" i="31"/>
  <c r="U21" i="31"/>
  <c r="U22" i="31"/>
  <c r="U23" i="31"/>
  <c r="U24" i="31"/>
  <c r="U25" i="31"/>
  <c r="U26" i="31"/>
  <c r="U27" i="31"/>
  <c r="U28" i="31"/>
  <c r="U29" i="31"/>
  <c r="U30" i="31"/>
  <c r="U31" i="31"/>
  <c r="U32" i="31"/>
  <c r="U33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U48" i="31"/>
  <c r="U49" i="31"/>
  <c r="U50" i="31"/>
  <c r="U51" i="31"/>
  <c r="U52" i="31"/>
  <c r="U53" i="31"/>
  <c r="U54" i="31"/>
  <c r="U55" i="31"/>
  <c r="U56" i="31"/>
  <c r="U57" i="31"/>
  <c r="U58" i="31"/>
  <c r="U59" i="31"/>
  <c r="U60" i="31"/>
  <c r="U61" i="31"/>
  <c r="U62" i="31"/>
  <c r="U63" i="31"/>
  <c r="U64" i="31"/>
  <c r="U65" i="31"/>
  <c r="U66" i="31"/>
  <c r="U67" i="31"/>
  <c r="U68" i="31"/>
  <c r="U69" i="31"/>
  <c r="U70" i="31"/>
  <c r="U71" i="31"/>
  <c r="U72" i="31"/>
  <c r="U73" i="31"/>
  <c r="U74" i="31"/>
  <c r="U75" i="31"/>
  <c r="U76" i="31"/>
  <c r="U77" i="31"/>
  <c r="U78" i="31"/>
  <c r="U79" i="31"/>
  <c r="U80" i="31"/>
  <c r="U81" i="31"/>
  <c r="U82" i="31"/>
  <c r="U83" i="31"/>
  <c r="U84" i="31"/>
  <c r="U85" i="31"/>
  <c r="U86" i="31"/>
  <c r="U87" i="31"/>
  <c r="U88" i="31"/>
  <c r="U89" i="31"/>
  <c r="U90" i="31"/>
  <c r="U91" i="31"/>
  <c r="U92" i="31"/>
  <c r="U93" i="31"/>
  <c r="U94" i="31"/>
  <c r="U95" i="31"/>
  <c r="U96" i="31"/>
  <c r="U97" i="31"/>
  <c r="U98" i="31"/>
  <c r="U99" i="31"/>
  <c r="U100" i="31"/>
  <c r="U101" i="31"/>
  <c r="U102" i="31"/>
  <c r="U103" i="31"/>
  <c r="U104" i="31"/>
  <c r="U105" i="31"/>
  <c r="U106" i="31"/>
  <c r="U107" i="31"/>
  <c r="U108" i="31"/>
  <c r="U10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106" i="31"/>
  <c r="P107" i="31"/>
  <c r="P108" i="31"/>
  <c r="O10" i="31"/>
  <c r="O11" i="31"/>
  <c r="O12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74" i="31"/>
  <c r="O75" i="31"/>
  <c r="O76" i="31"/>
  <c r="O77" i="31"/>
  <c r="O78" i="31"/>
  <c r="O79" i="31"/>
  <c r="O80" i="31"/>
  <c r="O81" i="31"/>
  <c r="O82" i="31"/>
  <c r="O83" i="31"/>
  <c r="O84" i="31"/>
  <c r="O85" i="31"/>
  <c r="O86" i="31"/>
  <c r="O87" i="31"/>
  <c r="O88" i="31"/>
  <c r="O89" i="31"/>
  <c r="O90" i="31"/>
  <c r="O91" i="31"/>
  <c r="O92" i="31"/>
  <c r="O93" i="31"/>
  <c r="O94" i="31"/>
  <c r="O95" i="31"/>
  <c r="O96" i="31"/>
  <c r="O97" i="31"/>
  <c r="O98" i="31"/>
  <c r="O99" i="31"/>
  <c r="O100" i="31"/>
  <c r="O101" i="31"/>
  <c r="O102" i="31"/>
  <c r="O103" i="31"/>
  <c r="O104" i="31"/>
  <c r="O105" i="31"/>
  <c r="O106" i="31"/>
  <c r="O107" i="31"/>
  <c r="O108" i="31"/>
  <c r="R9" i="31"/>
  <c r="Q9" i="31"/>
  <c r="P9" i="31"/>
  <c r="O9" i="31"/>
  <c r="X9" i="31"/>
  <c r="W9" i="31"/>
  <c r="V9" i="31"/>
  <c r="U9" i="31"/>
  <c r="L9" i="31"/>
  <c r="K9" i="31"/>
  <c r="J9" i="31"/>
  <c r="I9" i="31"/>
  <c r="F12" i="31"/>
  <c r="F16" i="31"/>
  <c r="F20" i="31"/>
  <c r="F24" i="31"/>
  <c r="F28" i="31"/>
  <c r="F32" i="31"/>
  <c r="F36" i="31"/>
  <c r="F40" i="31"/>
  <c r="F44" i="31"/>
  <c r="F48" i="31"/>
  <c r="F52" i="31"/>
  <c r="F56" i="31"/>
  <c r="F60" i="31"/>
  <c r="F64" i="31"/>
  <c r="F68" i="31"/>
  <c r="F72" i="31"/>
  <c r="F80" i="31"/>
  <c r="F84" i="31"/>
  <c r="F88" i="31"/>
  <c r="F92" i="31"/>
  <c r="F96" i="31"/>
  <c r="F100" i="31"/>
  <c r="F104" i="31"/>
  <c r="F108" i="31"/>
  <c r="E10" i="31"/>
  <c r="E11" i="31"/>
  <c r="F11" i="31" s="1"/>
  <c r="E12" i="31"/>
  <c r="E13" i="31"/>
  <c r="F13" i="31" s="1"/>
  <c r="E14" i="31"/>
  <c r="F14" i="31" s="1"/>
  <c r="E15" i="31"/>
  <c r="F15" i="31" s="1"/>
  <c r="E16" i="31"/>
  <c r="E17" i="31"/>
  <c r="F17" i="31" s="1"/>
  <c r="E18" i="31"/>
  <c r="F18" i="31" s="1"/>
  <c r="E19" i="31"/>
  <c r="F19" i="31" s="1"/>
  <c r="E20" i="31"/>
  <c r="E21" i="31"/>
  <c r="F21" i="31" s="1"/>
  <c r="E22" i="31"/>
  <c r="F22" i="31" s="1"/>
  <c r="E23" i="31"/>
  <c r="F23" i="31" s="1"/>
  <c r="E24" i="31"/>
  <c r="E25" i="31"/>
  <c r="F25" i="31" s="1"/>
  <c r="E26" i="31"/>
  <c r="F26" i="31" s="1"/>
  <c r="E27" i="31"/>
  <c r="F27" i="31" s="1"/>
  <c r="E28" i="31"/>
  <c r="E29" i="31"/>
  <c r="F29" i="31" s="1"/>
  <c r="E30" i="31"/>
  <c r="F30" i="31" s="1"/>
  <c r="E31" i="31"/>
  <c r="F31" i="31" s="1"/>
  <c r="E32" i="31"/>
  <c r="E33" i="31"/>
  <c r="F33" i="31" s="1"/>
  <c r="E34" i="31"/>
  <c r="F34" i="31" s="1"/>
  <c r="E35" i="31"/>
  <c r="F35" i="31" s="1"/>
  <c r="E36" i="31"/>
  <c r="E37" i="31"/>
  <c r="F37" i="31" s="1"/>
  <c r="E38" i="31"/>
  <c r="F38" i="31" s="1"/>
  <c r="E39" i="31"/>
  <c r="F39" i="31" s="1"/>
  <c r="E40" i="31"/>
  <c r="E41" i="31"/>
  <c r="F41" i="31" s="1"/>
  <c r="E42" i="31"/>
  <c r="F42" i="31" s="1"/>
  <c r="E43" i="31"/>
  <c r="F43" i="31" s="1"/>
  <c r="E44" i="31"/>
  <c r="E45" i="31"/>
  <c r="E46" i="31"/>
  <c r="F46" i="31" s="1"/>
  <c r="E47" i="31"/>
  <c r="F47" i="31" s="1"/>
  <c r="E48" i="31"/>
  <c r="E49" i="31"/>
  <c r="F49" i="31" s="1"/>
  <c r="E50" i="31"/>
  <c r="F50" i="31" s="1"/>
  <c r="E51" i="31"/>
  <c r="F51" i="31" s="1"/>
  <c r="E52" i="31"/>
  <c r="E53" i="31"/>
  <c r="F53" i="31" s="1"/>
  <c r="E54" i="31"/>
  <c r="F54" i="31" s="1"/>
  <c r="E55" i="31"/>
  <c r="F55" i="31" s="1"/>
  <c r="E56" i="31"/>
  <c r="E57" i="31"/>
  <c r="F57" i="31" s="1"/>
  <c r="E58" i="31"/>
  <c r="F58" i="31" s="1"/>
  <c r="E59" i="31"/>
  <c r="F59" i="31" s="1"/>
  <c r="E60" i="31"/>
  <c r="E61" i="31"/>
  <c r="F61" i="31" s="1"/>
  <c r="E62" i="31"/>
  <c r="F62" i="31" s="1"/>
  <c r="E63" i="31"/>
  <c r="F63" i="31" s="1"/>
  <c r="E64" i="31"/>
  <c r="E65" i="31"/>
  <c r="F65" i="31" s="1"/>
  <c r="E66" i="31"/>
  <c r="F66" i="31" s="1"/>
  <c r="E67" i="31"/>
  <c r="F67" i="31" s="1"/>
  <c r="E68" i="31"/>
  <c r="E69" i="31"/>
  <c r="F69" i="31" s="1"/>
  <c r="E70" i="31"/>
  <c r="F70" i="31" s="1"/>
  <c r="E71" i="31"/>
  <c r="F71" i="31" s="1"/>
  <c r="E72" i="31"/>
  <c r="E73" i="31"/>
  <c r="F73" i="31" s="1"/>
  <c r="E74" i="31"/>
  <c r="F74" i="31" s="1"/>
  <c r="E75" i="31"/>
  <c r="F75" i="31" s="1"/>
  <c r="E76" i="31"/>
  <c r="E77" i="31"/>
  <c r="F77" i="31" s="1"/>
  <c r="E78" i="31"/>
  <c r="F78" i="31" s="1"/>
  <c r="E79" i="31"/>
  <c r="F79" i="31" s="1"/>
  <c r="E80" i="31"/>
  <c r="E81" i="31"/>
  <c r="F81" i="31" s="1"/>
  <c r="E82" i="31"/>
  <c r="F82" i="31" s="1"/>
  <c r="E83" i="31"/>
  <c r="F83" i="31" s="1"/>
  <c r="E84" i="31"/>
  <c r="E85" i="31"/>
  <c r="F85" i="31" s="1"/>
  <c r="E86" i="31"/>
  <c r="F86" i="31" s="1"/>
  <c r="E87" i="31"/>
  <c r="F87" i="31" s="1"/>
  <c r="E88" i="31"/>
  <c r="E89" i="31"/>
  <c r="F89" i="31" s="1"/>
  <c r="E90" i="31"/>
  <c r="F90" i="31" s="1"/>
  <c r="E91" i="31"/>
  <c r="F91" i="31" s="1"/>
  <c r="E92" i="31"/>
  <c r="E93" i="31"/>
  <c r="F93" i="31" s="1"/>
  <c r="E94" i="31"/>
  <c r="F94" i="31" s="1"/>
  <c r="E95" i="31"/>
  <c r="F95" i="31" s="1"/>
  <c r="E96" i="31"/>
  <c r="E97" i="31"/>
  <c r="F97" i="31" s="1"/>
  <c r="E98" i="31"/>
  <c r="F98" i="31" s="1"/>
  <c r="E99" i="31"/>
  <c r="F99" i="31" s="1"/>
  <c r="E100" i="31"/>
  <c r="E101" i="31"/>
  <c r="F101" i="31" s="1"/>
  <c r="E102" i="31"/>
  <c r="F102" i="31" s="1"/>
  <c r="E103" i="31"/>
  <c r="F103" i="31" s="1"/>
  <c r="E104" i="31"/>
  <c r="E105" i="31"/>
  <c r="F105" i="31" s="1"/>
  <c r="E106" i="31"/>
  <c r="F106" i="31" s="1"/>
  <c r="E107" i="31"/>
  <c r="F107" i="31" s="1"/>
  <c r="E108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9" i="31"/>
  <c r="AH26" i="21" l="1"/>
  <c r="AJ26" i="21" s="1"/>
  <c r="AD26" i="21"/>
  <c r="Y26" i="21"/>
  <c r="AC26" i="21"/>
  <c r="AA26" i="21"/>
  <c r="AE26" i="21"/>
  <c r="AB26" i="21"/>
  <c r="Z26" i="21"/>
  <c r="J27" i="21"/>
  <c r="K26" i="21"/>
  <c r="H40" i="21"/>
  <c r="H32" i="21"/>
  <c r="H39" i="21"/>
  <c r="H31" i="21"/>
  <c r="H38" i="21"/>
  <c r="H30" i="21"/>
  <c r="H37" i="21"/>
  <c r="H29" i="21"/>
  <c r="H33" i="21"/>
  <c r="H36" i="21"/>
  <c r="H28" i="21"/>
  <c r="H35" i="21"/>
  <c r="H27" i="21"/>
  <c r="H34" i="21"/>
  <c r="F13" i="21"/>
  <c r="AA26" i="19"/>
  <c r="AC26" i="19" s="1"/>
  <c r="AC42" i="19" s="1"/>
  <c r="W42" i="19"/>
  <c r="V42" i="19"/>
  <c r="U42" i="19"/>
  <c r="U43" i="19" s="1"/>
  <c r="H37" i="19"/>
  <c r="H33" i="19"/>
  <c r="H29" i="19"/>
  <c r="H40" i="19"/>
  <c r="H36" i="19"/>
  <c r="H32" i="19"/>
  <c r="H28" i="19"/>
  <c r="H39" i="19"/>
  <c r="H35" i="19"/>
  <c r="H31" i="19"/>
  <c r="H27" i="19"/>
  <c r="H38" i="19"/>
  <c r="H34" i="19"/>
  <c r="H30" i="19"/>
  <c r="H41" i="19"/>
  <c r="J28" i="21" l="1"/>
  <c r="AH27" i="21"/>
  <c r="AJ27" i="21" s="1"/>
  <c r="AB27" i="21"/>
  <c r="AD27" i="21"/>
  <c r="Y27" i="21"/>
  <c r="AA27" i="21"/>
  <c r="AC27" i="21"/>
  <c r="AE27" i="21"/>
  <c r="Z27" i="21"/>
  <c r="K27" i="21"/>
  <c r="J26" i="19"/>
  <c r="K26" i="19" s="1"/>
  <c r="J29" i="21" l="1"/>
  <c r="AH28" i="21"/>
  <c r="AJ28" i="21" s="1"/>
  <c r="AB28" i="21"/>
  <c r="AE28" i="21"/>
  <c r="AA28" i="21"/>
  <c r="Y28" i="21"/>
  <c r="AC28" i="21"/>
  <c r="Z28" i="21"/>
  <c r="AD28" i="21"/>
  <c r="K28" i="21"/>
  <c r="J30" i="21" l="1"/>
  <c r="AH29" i="21"/>
  <c r="AJ29" i="21" s="1"/>
  <c r="AB29" i="21"/>
  <c r="AA29" i="21"/>
  <c r="AE29" i="21"/>
  <c r="Y29" i="21"/>
  <c r="Z29" i="21"/>
  <c r="AC29" i="21"/>
  <c r="AD29" i="21"/>
  <c r="K29" i="21"/>
  <c r="J31" i="21" l="1"/>
  <c r="AH30" i="21"/>
  <c r="AJ30" i="21" s="1"/>
  <c r="AA30" i="21"/>
  <c r="AE30" i="21"/>
  <c r="AB30" i="21"/>
  <c r="Y30" i="21"/>
  <c r="Z30" i="21"/>
  <c r="AC30" i="21"/>
  <c r="AD30" i="21"/>
  <c r="K30" i="21"/>
  <c r="J32" i="21" l="1"/>
  <c r="AH31" i="21"/>
  <c r="AJ31" i="21" s="1"/>
  <c r="Z31" i="21"/>
  <c r="AA31" i="21"/>
  <c r="AC31" i="21"/>
  <c r="Y31" i="21"/>
  <c r="AD31" i="21"/>
  <c r="AB31" i="21"/>
  <c r="AE31" i="21"/>
  <c r="K31" i="21"/>
  <c r="J33" i="21" l="1"/>
  <c r="AH32" i="21"/>
  <c r="AJ32" i="21" s="1"/>
  <c r="AC32" i="21"/>
  <c r="AA32" i="21"/>
  <c r="Y32" i="21"/>
  <c r="AE32" i="21"/>
  <c r="Z32" i="21"/>
  <c r="AD32" i="21"/>
  <c r="AB32" i="21"/>
  <c r="K32" i="21"/>
  <c r="J34" i="21" l="1"/>
  <c r="AH33" i="21"/>
  <c r="AJ33" i="21" s="1"/>
  <c r="AB33" i="21"/>
  <c r="AE33" i="21"/>
  <c r="AC33" i="21"/>
  <c r="Y33" i="21"/>
  <c r="Z33" i="21"/>
  <c r="AA33" i="21"/>
  <c r="AD33" i="21"/>
  <c r="K33" i="21"/>
  <c r="J35" i="21" l="1"/>
  <c r="AH34" i="21"/>
  <c r="AJ34" i="21" s="1"/>
  <c r="AD34" i="21"/>
  <c r="AE34" i="21"/>
  <c r="AB34" i="21"/>
  <c r="AA34" i="21"/>
  <c r="Y34" i="21"/>
  <c r="Z34" i="21"/>
  <c r="AC34" i="21"/>
  <c r="K34" i="21"/>
  <c r="J36" i="21" l="1"/>
  <c r="AH35" i="21"/>
  <c r="AJ35" i="21" s="1"/>
  <c r="Y35" i="21"/>
  <c r="AD35" i="21"/>
  <c r="AA35" i="21"/>
  <c r="AC35" i="21"/>
  <c r="Z35" i="21"/>
  <c r="AB35" i="21"/>
  <c r="AE35" i="21"/>
  <c r="K35" i="21"/>
  <c r="J37" i="21" l="1"/>
  <c r="AH36" i="21"/>
  <c r="AJ36" i="21" s="1"/>
  <c r="Y36" i="21"/>
  <c r="AE36" i="21"/>
  <c r="AC36" i="21"/>
  <c r="AD36" i="21"/>
  <c r="AA36" i="21"/>
  <c r="AB36" i="21"/>
  <c r="Z36" i="21"/>
  <c r="K36" i="21"/>
  <c r="J38" i="21" l="1"/>
  <c r="AH37" i="21"/>
  <c r="AJ37" i="21" s="1"/>
  <c r="AD37" i="21"/>
  <c r="AB37" i="21"/>
  <c r="AC37" i="21"/>
  <c r="Z37" i="21"/>
  <c r="AE37" i="21"/>
  <c r="AA37" i="21"/>
  <c r="Y37" i="21"/>
  <c r="K37" i="21"/>
  <c r="J39" i="21" l="1"/>
  <c r="AH38" i="21"/>
  <c r="AJ38" i="21" s="1"/>
  <c r="AD38" i="21"/>
  <c r="AC38" i="21"/>
  <c r="AE38" i="21"/>
  <c r="Y38" i="21"/>
  <c r="AB38" i="21"/>
  <c r="Z38" i="21"/>
  <c r="AA38" i="21"/>
  <c r="K38" i="21"/>
  <c r="J40" i="21" l="1"/>
  <c r="AH39" i="21"/>
  <c r="AJ39" i="21" s="1"/>
  <c r="AA39" i="21"/>
  <c r="AC39" i="21"/>
  <c r="AE39" i="21"/>
  <c r="AB39" i="21"/>
  <c r="Y39" i="21"/>
  <c r="Z39" i="21"/>
  <c r="AD39" i="21"/>
  <c r="K39" i="21"/>
  <c r="AH40" i="21" l="1"/>
  <c r="AJ40" i="21" s="1"/>
  <c r="AH42" i="21" s="1"/>
  <c r="AA40" i="21"/>
  <c r="AA42" i="21" s="1"/>
  <c r="AB40" i="21"/>
  <c r="AB42" i="21" s="1"/>
  <c r="AC40" i="21"/>
  <c r="AC42" i="21" s="1"/>
  <c r="AD40" i="21"/>
  <c r="AD42" i="21" s="1"/>
  <c r="AE40" i="21"/>
  <c r="AE42" i="21" s="1"/>
  <c r="Y40" i="21"/>
  <c r="Y42" i="21" s="1"/>
  <c r="Z40" i="21"/>
  <c r="Z42" i="21" s="1"/>
  <c r="K40" i="21"/>
  <c r="Y43" i="21" l="1"/>
</calcChain>
</file>

<file path=xl/sharedStrings.xml><?xml version="1.0" encoding="utf-8"?>
<sst xmlns="http://schemas.openxmlformats.org/spreadsheetml/2006/main" count="195" uniqueCount="92">
  <si>
    <t xml:space="preserve">No. </t>
  </si>
  <si>
    <t>Observación</t>
  </si>
  <si>
    <t>Frecuencia</t>
  </si>
  <si>
    <t>Máxmo</t>
  </si>
  <si>
    <t>Mínimo</t>
  </si>
  <si>
    <t>Rango</t>
  </si>
  <si>
    <t>Intervalos</t>
  </si>
  <si>
    <t>No.</t>
  </si>
  <si>
    <t>Intervalo</t>
  </si>
  <si>
    <t>f(x)</t>
  </si>
  <si>
    <t>F(x)</t>
  </si>
  <si>
    <t>S(x)</t>
  </si>
  <si>
    <t>Media</t>
  </si>
  <si>
    <t>Mediana</t>
  </si>
  <si>
    <t>Q1</t>
  </si>
  <si>
    <t>Q3</t>
  </si>
  <si>
    <t>Ajuste</t>
  </si>
  <si>
    <t>Estadisticas</t>
  </si>
  <si>
    <t>Varianza</t>
  </si>
  <si>
    <t>D. Estandar</t>
  </si>
  <si>
    <t>Curtosis</t>
  </si>
  <si>
    <t>Asimetria</t>
  </si>
  <si>
    <t>Rango Intercuantil</t>
  </si>
  <si>
    <t>Beta</t>
  </si>
  <si>
    <t xml:space="preserve"> </t>
  </si>
  <si>
    <t>Gamma</t>
  </si>
  <si>
    <t>Alpha</t>
  </si>
  <si>
    <t>Weibull</t>
  </si>
  <si>
    <t>Patrametros</t>
  </si>
  <si>
    <t>Lognormal</t>
  </si>
  <si>
    <t>Empiricas</t>
  </si>
  <si>
    <t>Ajuste de Densidad</t>
  </si>
  <si>
    <t>Pareto</t>
  </si>
  <si>
    <t>T</t>
  </si>
  <si>
    <t>F</t>
  </si>
  <si>
    <t>n</t>
  </si>
  <si>
    <t>n &gt; 50</t>
  </si>
  <si>
    <t>Aplicación</t>
  </si>
  <si>
    <t>Descripción</t>
  </si>
  <si>
    <t>Ponente</t>
  </si>
  <si>
    <t>Jorge Luis Reyes García</t>
  </si>
  <si>
    <t>Modelos de Pérdida</t>
  </si>
  <si>
    <t>Tablas de Inferencia: Prueba K-S</t>
  </si>
  <si>
    <r>
      <t xml:space="preserve">Nivel de significación </t>
    </r>
    <r>
      <rPr>
        <b/>
        <sz val="9"/>
        <color theme="0"/>
        <rFont val="Symbol"/>
        <family val="1"/>
        <charset val="2"/>
      </rPr>
      <t>a</t>
    </r>
  </si>
  <si>
    <t>Intervalos (Regla de Sturges)</t>
  </si>
  <si>
    <t>Empíricas</t>
  </si>
  <si>
    <t>Errores</t>
  </si>
  <si>
    <t>F(x) E</t>
  </si>
  <si>
    <t>F(x) T</t>
  </si>
  <si>
    <t>Prueba de Hipótesis K-S</t>
  </si>
  <si>
    <t>K-S</t>
  </si>
  <si>
    <t>D=</t>
  </si>
  <si>
    <t>Si D&gt;1.36/raiz(n) rechazamos Ho</t>
  </si>
  <si>
    <t>Si D&lt;1.36/raiz(n) aceptado Ho</t>
  </si>
  <si>
    <t>Estadístico</t>
  </si>
  <si>
    <t>Variables Aleatorias</t>
  </si>
  <si>
    <t xml:space="preserve">Se realizarán aplicaciones para analizar el comportamiento de las colas de una distribución y el ajuste de la severidad </t>
  </si>
  <si>
    <t>con funciones de probabilidad</t>
  </si>
  <si>
    <t xml:space="preserve">Nota: </t>
  </si>
  <si>
    <t>Análisis de Colas de una distribución</t>
  </si>
  <si>
    <t>Exponencial</t>
  </si>
  <si>
    <t>x</t>
  </si>
  <si>
    <t>h(x)</t>
  </si>
  <si>
    <t xml:space="preserve">Parametro </t>
  </si>
  <si>
    <t>S(x) / S(y)</t>
  </si>
  <si>
    <t>f(x) / f(y)</t>
  </si>
  <si>
    <t>h(y)</t>
  </si>
  <si>
    <t>luis.ciencias751@gmail.com</t>
  </si>
  <si>
    <t>Exp/Log</t>
  </si>
  <si>
    <t>y</t>
  </si>
  <si>
    <t>Alpha-Parámetro1</t>
  </si>
  <si>
    <t>Beta-Parámetro 2</t>
  </si>
  <si>
    <t>Int equidistantes</t>
  </si>
  <si>
    <t>Densidades propuestas: Función de Distribución</t>
  </si>
  <si>
    <t>F(x) vs Gamma</t>
  </si>
  <si>
    <t>F(x) vs Weibull</t>
  </si>
  <si>
    <t>F(x) vs LogNormal</t>
  </si>
  <si>
    <t>Errores cuadráticos</t>
  </si>
  <si>
    <t>Dist teórica menos empírica</t>
  </si>
  <si>
    <t>Min</t>
  </si>
  <si>
    <t>D vs 1.36/raiz(10000)</t>
  </si>
  <si>
    <t>Como D es menor que el estadístico, aceptamos H0</t>
  </si>
  <si>
    <t>Por lo tanto, la distribución que mejor ajusta es la Gamma(2.96,91.72)</t>
  </si>
  <si>
    <t>Regla de Sturges</t>
  </si>
  <si>
    <t xml:space="preserve">Función de Distribución </t>
  </si>
  <si>
    <t>Errores Cuadráticos</t>
  </si>
  <si>
    <t>F(X) T Log</t>
  </si>
  <si>
    <t xml:space="preserve">KS </t>
  </si>
  <si>
    <t>F(x) Empírica</t>
  </si>
  <si>
    <t>Prueba con Lognormal</t>
  </si>
  <si>
    <t>COMO D ES MENOR QUE EL ESTADÍSTICO, ENTONCES NO RECHAZAMOS H0</t>
  </si>
  <si>
    <t>Por lo tanto, la distribución que mejor ajusta es la Lognormal( 4.99 , 0.51)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</si>
</sst>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_-;\-* #,##0_-;_-* &quot;-&quot;??_-;_-@_-"/>
    <numFmt numFmtId="165" formatCode="_-* #,##0.00000_-;\-* #,##0.00000_-;_-* &quot;-&quot;??_-;_-@_-"/>
    <numFmt numFmtId="166" formatCode="_-* #,##0.0000_-;\-* #,##0.0000_-;_-* &quot;-&quot;??_-;_-@_-"/>
    <numFmt numFmtId="167" formatCode="_-* #,##0.000000_-;\-* #,##0.000000_-;_-* &quot;-&quot;??_-;_-@_-"/>
    <numFmt numFmtId="168" formatCode="_-* #,##0.000000000_-;\-* #,##0.000000000_-;_-* &quot;-&quot;??_-;_-@_-"/>
    <numFmt numFmtId="169" formatCode="_-* #,##0.0000000_-;\-* #,##0.000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9"/>
      <color theme="0"/>
      <name val="Arial"/>
      <family val="2"/>
    </font>
    <font>
      <b/>
      <sz val="9"/>
      <color theme="0"/>
      <name val="Symbol"/>
      <family val="1"/>
      <charset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</cellStyleXfs>
  <cellXfs count="94">
    <xf numFmtId="0" fontId="0" fillId="0" borderId="0" xfId="0"/>
    <xf numFmtId="0" fontId="0" fillId="2" borderId="0" xfId="0" applyFill="1"/>
    <xf numFmtId="0" fontId="3" fillId="2" borderId="0" xfId="0" applyFont="1" applyFill="1"/>
    <xf numFmtId="0" fontId="2" fillId="4" borderId="1" xfId="0" applyFont="1" applyFill="1" applyBorder="1"/>
    <xf numFmtId="164" fontId="0" fillId="2" borderId="1" xfId="1" applyNumberFormat="1" applyFont="1" applyFill="1" applyBorder="1"/>
    <xf numFmtId="164" fontId="0" fillId="3" borderId="1" xfId="1" applyNumberFormat="1" applyFont="1" applyFill="1" applyBorder="1"/>
    <xf numFmtId="0" fontId="0" fillId="2" borderId="1" xfId="0" applyFill="1" applyBorder="1"/>
    <xf numFmtId="0" fontId="0" fillId="3" borderId="1" xfId="0" applyFill="1" applyBorder="1"/>
    <xf numFmtId="165" fontId="0" fillId="2" borderId="1" xfId="1" applyNumberFormat="1" applyFont="1" applyFill="1" applyBorder="1"/>
    <xf numFmtId="43" fontId="0" fillId="2" borderId="1" xfId="1" applyFont="1" applyFill="1" applyBorder="1"/>
    <xf numFmtId="43" fontId="0" fillId="2" borderId="1" xfId="1" applyNumberFormat="1" applyFont="1" applyFill="1" applyBorder="1"/>
    <xf numFmtId="43" fontId="0" fillId="3" borderId="1" xfId="1" applyNumberFormat="1" applyFont="1" applyFill="1" applyBorder="1"/>
    <xf numFmtId="43" fontId="0" fillId="3" borderId="1" xfId="1" applyFont="1" applyFill="1" applyBorder="1"/>
    <xf numFmtId="43" fontId="0" fillId="2" borderId="0" xfId="1" applyFont="1" applyFill="1"/>
    <xf numFmtId="167" fontId="0" fillId="2" borderId="1" xfId="1" applyNumberFormat="1" applyFont="1" applyFill="1" applyBorder="1"/>
    <xf numFmtId="167" fontId="0" fillId="3" borderId="1" xfId="1" applyNumberFormat="1" applyFont="1" applyFill="1" applyBorder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165" fontId="0" fillId="2" borderId="0" xfId="0" applyNumberFormat="1" applyFill="1"/>
    <xf numFmtId="43" fontId="0" fillId="2" borderId="0" xfId="0" applyNumberFormat="1" applyFill="1"/>
    <xf numFmtId="0" fontId="5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4" fillId="2" borderId="0" xfId="2" applyFill="1"/>
    <xf numFmtId="0" fontId="6" fillId="2" borderId="0" xfId="0" applyFont="1" applyFill="1" applyAlignment="1">
      <alignment horizontal="left" indent="31"/>
    </xf>
    <xf numFmtId="0" fontId="10" fillId="2" borderId="9" xfId="3" applyFont="1" applyFill="1" applyBorder="1" applyAlignment="1">
      <alignment horizontal="center" vertical="center"/>
    </xf>
    <xf numFmtId="0" fontId="5" fillId="2" borderId="0" xfId="3" applyFont="1" applyFill="1"/>
    <xf numFmtId="0" fontId="11" fillId="2" borderId="0" xfId="3" applyFont="1" applyFill="1"/>
    <xf numFmtId="0" fontId="12" fillId="2" borderId="0" xfId="2" applyFont="1" applyFill="1"/>
    <xf numFmtId="10" fontId="5" fillId="2" borderId="0" xfId="3" applyNumberFormat="1" applyFont="1" applyFill="1"/>
    <xf numFmtId="0" fontId="9" fillId="2" borderId="8" xfId="3" applyFont="1" applyFill="1" applyBorder="1" applyAlignment="1">
      <alignment horizontal="center" vertical="center"/>
    </xf>
    <xf numFmtId="0" fontId="13" fillId="4" borderId="9" xfId="3" applyFont="1" applyFill="1" applyBorder="1" applyAlignment="1">
      <alignment horizontal="center" vertical="center"/>
    </xf>
    <xf numFmtId="166" fontId="0" fillId="2" borderId="0" xfId="0" applyNumberFormat="1" applyFill="1"/>
    <xf numFmtId="166" fontId="0" fillId="3" borderId="1" xfId="1" applyNumberFormat="1" applyFont="1" applyFill="1" applyBorder="1"/>
    <xf numFmtId="168" fontId="0" fillId="2" borderId="1" xfId="1" applyNumberFormat="1" applyFont="1" applyFill="1" applyBorder="1"/>
    <xf numFmtId="168" fontId="0" fillId="3" borderId="1" xfId="1" applyNumberFormat="1" applyFont="1" applyFill="1" applyBorder="1"/>
    <xf numFmtId="168" fontId="0" fillId="2" borderId="0" xfId="0" applyNumberFormat="1" applyFill="1"/>
    <xf numFmtId="0" fontId="3" fillId="6" borderId="0" xfId="0" applyFont="1" applyFill="1"/>
    <xf numFmtId="165" fontId="3" fillId="6" borderId="0" xfId="1" applyNumberFormat="1" applyFont="1" applyFill="1"/>
    <xf numFmtId="0" fontId="10" fillId="6" borderId="9" xfId="3" applyFont="1" applyFill="1" applyBorder="1" applyAlignment="1">
      <alignment horizontal="center" vertical="center"/>
    </xf>
    <xf numFmtId="165" fontId="0" fillId="7" borderId="0" xfId="0" applyNumberFormat="1" applyFill="1"/>
    <xf numFmtId="0" fontId="0" fillId="7" borderId="0" xfId="0" applyFill="1"/>
    <xf numFmtId="166" fontId="0" fillId="2" borderId="0" xfId="1" applyNumberFormat="1" applyFont="1" applyFill="1"/>
    <xf numFmtId="0" fontId="5" fillId="4" borderId="0" xfId="0" applyFont="1" applyFill="1"/>
    <xf numFmtId="0" fontId="0" fillId="4" borderId="0" xfId="0" applyFill="1"/>
    <xf numFmtId="164" fontId="0" fillId="2" borderId="0" xfId="1" applyNumberFormat="1" applyFont="1" applyFill="1"/>
    <xf numFmtId="169" fontId="0" fillId="2" borderId="0" xfId="1" applyNumberFormat="1" applyFont="1" applyFill="1"/>
    <xf numFmtId="0" fontId="2" fillId="4" borderId="0" xfId="0" applyFont="1" applyFill="1"/>
    <xf numFmtId="0" fontId="0" fillId="3" borderId="0" xfId="0" applyFill="1"/>
    <xf numFmtId="0" fontId="3" fillId="8" borderId="0" xfId="0" applyFont="1" applyFill="1"/>
    <xf numFmtId="0" fontId="15" fillId="2" borderId="0" xfId="0" applyFont="1" applyFill="1"/>
    <xf numFmtId="0" fontId="2" fillId="2" borderId="3" xfId="0" applyFont="1" applyFill="1" applyBorder="1" applyAlignment="1"/>
    <xf numFmtId="0" fontId="2" fillId="2" borderId="1" xfId="0" applyFont="1" applyFill="1" applyBorder="1"/>
    <xf numFmtId="165" fontId="3" fillId="2" borderId="1" xfId="1" applyNumberFormat="1" applyFont="1" applyFill="1" applyBorder="1"/>
    <xf numFmtId="43" fontId="0" fillId="2" borderId="1" xfId="0" applyNumberFormat="1" applyFill="1" applyBorder="1"/>
    <xf numFmtId="166" fontId="0" fillId="2" borderId="1" xfId="1" applyNumberFormat="1" applyFont="1" applyFill="1" applyBorder="1"/>
    <xf numFmtId="0" fontId="2" fillId="4" borderId="1" xfId="0" applyFont="1" applyFill="1" applyBorder="1" applyAlignment="1">
      <alignment horizontal="center"/>
    </xf>
    <xf numFmtId="167" fontId="3" fillId="2" borderId="0" xfId="0" applyNumberFormat="1" applyFont="1" applyFill="1"/>
    <xf numFmtId="169" fontId="3" fillId="2" borderId="0" xfId="0" applyNumberFormat="1" applyFont="1" applyFill="1"/>
    <xf numFmtId="167" fontId="0" fillId="2" borderId="0" xfId="0" applyNumberFormat="1" applyFill="1"/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16" fillId="5" borderId="3" xfId="0" applyFont="1" applyFill="1" applyBorder="1" applyAlignment="1">
      <alignment horizontal="center"/>
    </xf>
    <xf numFmtId="167" fontId="0" fillId="2" borderId="10" xfId="1" applyNumberFormat="1" applyFont="1" applyFill="1" applyBorder="1" applyAlignment="1">
      <alignment horizontal="center" wrapText="1"/>
    </xf>
    <xf numFmtId="167" fontId="0" fillId="2" borderId="0" xfId="1" applyNumberFormat="1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18" fillId="9" borderId="15" xfId="0" applyFont="1" applyFill="1" applyBorder="1" applyAlignment="1">
      <alignment horizontal="center" vertical="center" wrapText="1"/>
    </xf>
    <xf numFmtId="0" fontId="18" fillId="9" borderId="16" xfId="0" applyFont="1" applyFill="1" applyBorder="1" applyAlignment="1">
      <alignment horizontal="center" vertical="center" wrapText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9" borderId="0" xfId="0" applyFont="1" applyFill="1" applyBorder="1" applyAlignment="1">
      <alignment horizontal="center" vertical="center" wrapText="1"/>
    </xf>
    <xf numFmtId="0" fontId="18" fillId="9" borderId="19" xfId="0" applyFont="1" applyFill="1" applyBorder="1" applyAlignment="1">
      <alignment horizontal="center" vertical="center" wrapText="1"/>
    </xf>
    <xf numFmtId="0" fontId="18" fillId="9" borderId="20" xfId="0" applyFont="1" applyFill="1" applyBorder="1" applyAlignment="1">
      <alignment horizontal="center" vertical="center" wrapText="1"/>
    </xf>
    <xf numFmtId="0" fontId="18" fillId="9" borderId="21" xfId="0" applyFont="1" applyFill="1" applyBorder="1" applyAlignment="1">
      <alignment horizontal="center" vertical="center" wrapText="1"/>
    </xf>
    <xf numFmtId="0" fontId="18" fillId="9" borderId="9" xfId="0" applyFont="1" applyFill="1" applyBorder="1" applyAlignment="1">
      <alignment horizontal="center" vertical="center" wrapText="1"/>
    </xf>
    <xf numFmtId="0" fontId="19" fillId="9" borderId="15" xfId="0" applyFont="1" applyFill="1" applyBorder="1" applyAlignment="1">
      <alignment horizontal="center" vertical="center"/>
    </xf>
    <xf numFmtId="0" fontId="19" fillId="9" borderId="16" xfId="0" applyFont="1" applyFill="1" applyBorder="1" applyAlignment="1">
      <alignment horizontal="center" vertical="center"/>
    </xf>
    <xf numFmtId="0" fontId="19" fillId="9" borderId="17" xfId="0" applyFont="1" applyFill="1" applyBorder="1" applyAlignment="1">
      <alignment horizontal="center" vertical="center"/>
    </xf>
    <xf numFmtId="0" fontId="19" fillId="9" borderId="20" xfId="0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0" fontId="13" fillId="4" borderId="4" xfId="3" applyFont="1" applyFill="1" applyBorder="1" applyAlignment="1">
      <alignment horizontal="center" vertical="center"/>
    </xf>
    <xf numFmtId="0" fontId="13" fillId="4" borderId="8" xfId="3" applyFont="1" applyFill="1" applyBorder="1" applyAlignment="1">
      <alignment horizontal="center" vertical="center"/>
    </xf>
    <xf numFmtId="0" fontId="13" fillId="4" borderId="5" xfId="3" applyFont="1" applyFill="1" applyBorder="1" applyAlignment="1">
      <alignment horizontal="center" vertical="center"/>
    </xf>
    <xf numFmtId="0" fontId="13" fillId="4" borderId="6" xfId="3" applyFont="1" applyFill="1" applyBorder="1" applyAlignment="1">
      <alignment horizontal="center" vertical="center"/>
    </xf>
    <xf numFmtId="0" fontId="13" fillId="4" borderId="7" xfId="3" applyFont="1" applyFill="1" applyBorder="1" applyAlignment="1">
      <alignment horizontal="center" vertical="center"/>
    </xf>
    <xf numFmtId="43" fontId="0" fillId="3" borderId="1" xfId="0" applyNumberFormat="1" applyFill="1" applyBorder="1"/>
  </cellXfs>
  <cellStyles count="4">
    <cellStyle name="Hipervínculo" xfId="2" builtinId="8"/>
    <cellStyle name="Millares" xfId="1" builtinId="3"/>
    <cellStyle name="Normal" xfId="0" builtinId="0"/>
    <cellStyle name="Normal 2" xfId="3" xr:uid="{BA1D858B-6B8C-4902-87A4-A392C3631DD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Exponencial</a:t>
            </a:r>
            <a:r>
              <a:rPr lang="es-MX" baseline="0"/>
              <a:t> vs Lognormal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'E1'!$Z$9:$Z$108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'E1'!$AA$9:$AA$108</c:f>
              <c:numCache>
                <c:formatCode>General</c:formatCode>
                <c:ptCount val="100"/>
                <c:pt idx="0">
                  <c:v>0.81140415337419702</c:v>
                </c:pt>
                <c:pt idx="1">
                  <c:v>0.55035282689560971</c:v>
                </c:pt>
                <c:pt idx="2">
                  <c:v>0.36100073451910708</c:v>
                </c:pt>
                <c:pt idx="3">
                  <c:v>0.23291688906410776</c:v>
                </c:pt>
                <c:pt idx="4">
                  <c:v>0.14876105800831912</c:v>
                </c:pt>
                <c:pt idx="5">
                  <c:v>9.4352702991270229E-2</c:v>
                </c:pt>
                <c:pt idx="6">
                  <c:v>5.9538305955466803E-2</c:v>
                </c:pt>
                <c:pt idx="7">
                  <c:v>3.7421848920832952E-2</c:v>
                </c:pt>
                <c:pt idx="8">
                  <c:v>2.3447000154812561E-2</c:v>
                </c:pt>
                <c:pt idx="9">
                  <c:v>1.4653122188543701E-2</c:v>
                </c:pt>
                <c:pt idx="10">
                  <c:v>9.137712081958245E-3</c:v>
                </c:pt>
                <c:pt idx="11">
                  <c:v>5.687867096400628E-3</c:v>
                </c:pt>
                <c:pt idx="12">
                  <c:v>3.5348898747634434E-3</c:v>
                </c:pt>
                <c:pt idx="13">
                  <c:v>2.1938379399768369E-3</c:v>
                </c:pt>
                <c:pt idx="14">
                  <c:v>1.3598991520048201E-3</c:v>
                </c:pt>
                <c:pt idx="15">
                  <c:v>8.4205638486446375E-4</c:v>
                </c:pt>
                <c:pt idx="16">
                  <c:v>5.2090325737192409E-4</c:v>
                </c:pt>
                <c:pt idx="17">
                  <c:v>3.2195553190301357E-4</c:v>
                </c:pt>
                <c:pt idx="18">
                  <c:v>1.9883508411689912E-4</c:v>
                </c:pt>
                <c:pt idx="19">
                  <c:v>1.2270970185789283E-4</c:v>
                </c:pt>
                <c:pt idx="20">
                  <c:v>7.5679795352127371E-5</c:v>
                </c:pt>
                <c:pt idx="21">
                  <c:v>4.6646517176932099E-5</c:v>
                </c:pt>
                <c:pt idx="22">
                  <c:v>2.8735383109935172E-5</c:v>
                </c:pt>
                <c:pt idx="23">
                  <c:v>1.7692580171111988E-5</c:v>
                </c:pt>
                <c:pt idx="24">
                  <c:v>1.0888240062556834E-5</c:v>
                </c:pt>
                <c:pt idx="25">
                  <c:v>6.6977781281853663E-6</c:v>
                </c:pt>
                <c:pt idx="26">
                  <c:v>4.1183488835245213E-6</c:v>
                </c:pt>
                <c:pt idx="27">
                  <c:v>2.5313156806246253E-6</c:v>
                </c:pt>
                <c:pt idx="28">
                  <c:v>1.5552874501279691E-6</c:v>
                </c:pt>
                <c:pt idx="29">
                  <c:v>9.5526888949612149E-7</c:v>
                </c:pt>
                <c:pt idx="30">
                  <c:v>5.8654290951950609E-7</c:v>
                </c:pt>
                <c:pt idx="31">
                  <c:v>3.60031887589458E-7</c:v>
                </c:pt>
                <c:pt idx="32">
                  <c:v>2.209308401711665E-7</c:v>
                </c:pt>
                <c:pt idx="33">
                  <c:v>1.3553532741937181E-7</c:v>
                </c:pt>
                <c:pt idx="34">
                  <c:v>8.3125740858281183E-8</c:v>
                </c:pt>
                <c:pt idx="35">
                  <c:v>5.0969573732109157E-8</c:v>
                </c:pt>
                <c:pt idx="36">
                  <c:v>3.1245257459154252E-8</c:v>
                </c:pt>
                <c:pt idx="37">
                  <c:v>1.9149597136231505E-8</c:v>
                </c:pt>
                <c:pt idx="38">
                  <c:v>1.1733891269988226E-8</c:v>
                </c:pt>
                <c:pt idx="39">
                  <c:v>7.1884543259408758E-9</c:v>
                </c:pt>
                <c:pt idx="40">
                  <c:v>4.4029514268675211E-9</c:v>
                </c:pt>
                <c:pt idx="41">
                  <c:v>2.6963158219279575E-9</c:v>
                </c:pt>
                <c:pt idx="42">
                  <c:v>1.6508954691059704E-9</c:v>
                </c:pt>
                <c:pt idx="43">
                  <c:v>1.0106326209463152E-9</c:v>
                </c:pt>
                <c:pt idx="44">
                  <c:v>6.1857906933236303E-10</c:v>
                </c:pt>
                <c:pt idx="45">
                  <c:v>3.7855413053744162E-10</c:v>
                </c:pt>
                <c:pt idx="46">
                  <c:v>2.316295814293636E-10</c:v>
                </c:pt>
                <c:pt idx="47">
                  <c:v>1.4170863354566375E-10</c:v>
                </c:pt>
                <c:pt idx="48">
                  <c:v>8.6683518854419121E-11</c:v>
                </c:pt>
                <c:pt idx="49">
                  <c:v>5.3017056555764826E-11</c:v>
                </c:pt>
                <c:pt idx="50">
                  <c:v>3.2422137677546039E-11</c:v>
                </c:pt>
                <c:pt idx="51">
                  <c:v>1.9824962409127493E-11</c:v>
                </c:pt>
                <c:pt idx="52">
                  <c:v>1.2120697710026101E-11</c:v>
                </c:pt>
                <c:pt idx="53">
                  <c:v>7.4093071110088474E-12</c:v>
                </c:pt>
                <c:pt idx="54">
                  <c:v>4.5288884345338568E-12</c:v>
                </c:pt>
                <c:pt idx="55">
                  <c:v>2.7679948673271035E-12</c:v>
                </c:pt>
                <c:pt idx="56">
                  <c:v>1.6913268412278147E-12</c:v>
                </c:pt>
                <c:pt idx="57">
                  <c:v>1.033532029175544E-12</c:v>
                </c:pt>
                <c:pt idx="58">
                  <c:v>6.3166634904578616E-13</c:v>
                </c:pt>
                <c:pt idx="59">
                  <c:v>3.8586174012369197E-13</c:v>
                </c:pt>
                <c:pt idx="60">
                  <c:v>2.3556708983268488E-13</c:v>
                </c:pt>
                <c:pt idx="61">
                  <c:v>1.4391450016701141E-13</c:v>
                </c:pt>
                <c:pt idx="62">
                  <c:v>8.788415280628838E-14</c:v>
                </c:pt>
                <c:pt idx="63">
                  <c:v>5.3657353703298027E-14</c:v>
                </c:pt>
                <c:pt idx="64">
                  <c:v>3.2697009547267701E-14</c:v>
                </c:pt>
                <c:pt idx="65">
                  <c:v>2.0035798348404346E-14</c:v>
                </c:pt>
                <c:pt idx="66">
                  <c:v>1.2004957508821236E-14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71-4540-B3D4-904C8876BEB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'E1'!$Z$9:$Z$108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'E1'!$AB$9:$AB$108</c:f>
              <c:numCache>
                <c:formatCode>General</c:formatCode>
                <c:ptCount val="100"/>
                <c:pt idx="0">
                  <c:v>2.8480252618302546</c:v>
                </c:pt>
                <c:pt idx="1">
                  <c:v>3.041747456261739</c:v>
                </c:pt>
                <c:pt idx="2">
                  <c:v>2.6330814335923405</c:v>
                </c:pt>
                <c:pt idx="3">
                  <c:v>2.0784494261136124</c:v>
                </c:pt>
                <c:pt idx="4">
                  <c:v>1.5563073445056794</c:v>
                </c:pt>
                <c:pt idx="5">
                  <c:v>1.1258881920922927</c:v>
                </c:pt>
                <c:pt idx="6">
                  <c:v>0.79491215278275718</c:v>
                </c:pt>
                <c:pt idx="7">
                  <c:v>0.55111917304390101</c:v>
                </c:pt>
                <c:pt idx="8">
                  <c:v>0.37673592270932704</c:v>
                </c:pt>
                <c:pt idx="9">
                  <c:v>0.25463484902690153</c:v>
                </c:pt>
                <c:pt idx="10">
                  <c:v>0.17051952130981637</c:v>
                </c:pt>
                <c:pt idx="11">
                  <c:v>0.11331013259441736</c:v>
                </c:pt>
                <c:pt idx="12">
                  <c:v>7.4801640824420354E-2</c:v>
                </c:pt>
                <c:pt idx="13">
                  <c:v>4.9102248129091849E-2</c:v>
                </c:pt>
                <c:pt idx="14">
                  <c:v>3.2074491942081715E-2</c:v>
                </c:pt>
                <c:pt idx="15">
                  <c:v>2.0861563176070561E-2</c:v>
                </c:pt>
                <c:pt idx="16">
                  <c:v>1.351690875305179E-2</c:v>
                </c:pt>
                <c:pt idx="17">
                  <c:v>8.7283208089401817E-3</c:v>
                </c:pt>
                <c:pt idx="18">
                  <c:v>5.6189876248945014E-3</c:v>
                </c:pt>
                <c:pt idx="19">
                  <c:v>3.6073505002595812E-3</c:v>
                </c:pt>
                <c:pt idx="20">
                  <c:v>2.3101073052816876E-3</c:v>
                </c:pt>
                <c:pt idx="21">
                  <c:v>1.4759963337501389E-3</c:v>
                </c:pt>
                <c:pt idx="22">
                  <c:v>9.4109003059130282E-4</c:v>
                </c:pt>
                <c:pt idx="23">
                  <c:v>5.9888442393086767E-4</c:v>
                </c:pt>
                <c:pt idx="24">
                  <c:v>3.8043928380141704E-4</c:v>
                </c:pt>
                <c:pt idx="25">
                  <c:v>2.4127671115623141E-4</c:v>
                </c:pt>
                <c:pt idx="26">
                  <c:v>1.5278620258924011E-4</c:v>
                </c:pt>
                <c:pt idx="27">
                  <c:v>9.6613354719963707E-5</c:v>
                </c:pt>
                <c:pt idx="28">
                  <c:v>6.1012027872201615E-5</c:v>
                </c:pt>
                <c:pt idx="29">
                  <c:v>3.8481854128493471E-5</c:v>
                </c:pt>
                <c:pt idx="30">
                  <c:v>2.4243326048721399E-5</c:v>
                </c:pt>
                <c:pt idx="31">
                  <c:v>1.5256484762671459E-5</c:v>
                </c:pt>
                <c:pt idx="32">
                  <c:v>9.5911458469095432E-6</c:v>
                </c:pt>
                <c:pt idx="33">
                  <c:v>6.023730482975249E-6</c:v>
                </c:pt>
                <c:pt idx="34">
                  <c:v>3.7797471921442951E-6</c:v>
                </c:pt>
                <c:pt idx="35">
                  <c:v>2.3696457792819818E-6</c:v>
                </c:pt>
                <c:pt idx="36">
                  <c:v>1.4843870389507404E-6</c:v>
                </c:pt>
                <c:pt idx="37">
                  <c:v>9.291203966848488E-7</c:v>
                </c:pt>
                <c:pt idx="38">
                  <c:v>5.8113183630690217E-7</c:v>
                </c:pt>
                <c:pt idx="39">
                  <c:v>3.6322076256139825E-7</c:v>
                </c:pt>
                <c:pt idx="40">
                  <c:v>2.2686858894073944E-7</c:v>
                </c:pt>
                <c:pt idx="41">
                  <c:v>1.4161170747949909E-7</c:v>
                </c:pt>
                <c:pt idx="42">
                  <c:v>8.8340021729869714E-8</c:v>
                </c:pt>
                <c:pt idx="43">
                  <c:v>5.5075827968847506E-8</c:v>
                </c:pt>
                <c:pt idx="44">
                  <c:v>3.4317894786766317E-8</c:v>
                </c:pt>
                <c:pt idx="45">
                  <c:v>2.1372065693715913E-8</c:v>
                </c:pt>
                <c:pt idx="46">
                  <c:v>1.3302956588634204E-8</c:v>
                </c:pt>
                <c:pt idx="47">
                  <c:v>8.276269595243608E-9</c:v>
                </c:pt>
                <c:pt idx="48">
                  <c:v>5.146527539361308E-9</c:v>
                </c:pt>
                <c:pt idx="49">
                  <c:v>3.1988592439415754E-9</c:v>
                </c:pt>
                <c:pt idx="50">
                  <c:v>1.9873968798156754E-9</c:v>
                </c:pt>
                <c:pt idx="51">
                  <c:v>1.2342120560089479E-9</c:v>
                </c:pt>
                <c:pt idx="52">
                  <c:v>7.6615624774277943E-10</c:v>
                </c:pt>
                <c:pt idx="53">
                  <c:v>4.7541579456423968E-10</c:v>
                </c:pt>
                <c:pt idx="54">
                  <c:v>2.9489305021099278E-10</c:v>
                </c:pt>
                <c:pt idx="55">
                  <c:v>1.8285035485149164E-10</c:v>
                </c:pt>
                <c:pt idx="56">
                  <c:v>1.1333728126430188E-10</c:v>
                </c:pt>
                <c:pt idx="57">
                  <c:v>7.0226429897245214E-11</c:v>
                </c:pt>
                <c:pt idx="58">
                  <c:v>4.3499479370404468E-11</c:v>
                </c:pt>
                <c:pt idx="59">
                  <c:v>2.6935671715301651E-11</c:v>
                </c:pt>
                <c:pt idx="60">
                  <c:v>1.6673863362801697E-11</c:v>
                </c:pt>
                <c:pt idx="61">
                  <c:v>1.0318427794520143E-11</c:v>
                </c:pt>
                <c:pt idx="62">
                  <c:v>6.3835707536340085E-12</c:v>
                </c:pt>
                <c:pt idx="63">
                  <c:v>3.9481213173575688E-12</c:v>
                </c:pt>
                <c:pt idx="64">
                  <c:v>2.4411676539837738E-12</c:v>
                </c:pt>
                <c:pt idx="65">
                  <c:v>1.5089974548185073E-12</c:v>
                </c:pt>
                <c:pt idx="66">
                  <c:v>9.325379545447379E-13</c:v>
                </c:pt>
                <c:pt idx="67">
                  <c:v>5.761490082626247E-13</c:v>
                </c:pt>
                <c:pt idx="68">
                  <c:v>3.5587416543239183E-13</c:v>
                </c:pt>
                <c:pt idx="69">
                  <c:v>2.1976289487193597E-13</c:v>
                </c:pt>
                <c:pt idx="70">
                  <c:v>1.3567859472391475E-13</c:v>
                </c:pt>
                <c:pt idx="71">
                  <c:v>8.3747154126086318E-14</c:v>
                </c:pt>
                <c:pt idx="72">
                  <c:v>5.1681262080350463E-14</c:v>
                </c:pt>
                <c:pt idx="73">
                  <c:v>3.1886215280273258E-14</c:v>
                </c:pt>
                <c:pt idx="74">
                  <c:v>1.9668988626119329E-14</c:v>
                </c:pt>
                <c:pt idx="75">
                  <c:v>1.2130328638156393E-14</c:v>
                </c:pt>
                <c:pt idx="76">
                  <c:v>7.4795727567403665E-15</c:v>
                </c:pt>
                <c:pt idx="77">
                  <c:v>4.6110180516367902E-15</c:v>
                </c:pt>
                <c:pt idx="78">
                  <c:v>2.8420695647762027E-15</c:v>
                </c:pt>
                <c:pt idx="79">
                  <c:v>1.7514284642313687E-15</c:v>
                </c:pt>
                <c:pt idx="80">
                  <c:v>1.0791251615159458E-15</c:v>
                </c:pt>
                <c:pt idx="81">
                  <c:v>6.6477515451968943E-16</c:v>
                </c:pt>
                <c:pt idx="82">
                  <c:v>4.0945205128310061E-16</c:v>
                </c:pt>
                <c:pt idx="83">
                  <c:v>2.5214963142716744E-16</c:v>
                </c:pt>
                <c:pt idx="84">
                  <c:v>1.5525381640858881E-16</c:v>
                </c:pt>
                <c:pt idx="85">
                  <c:v>9.5577679452988136E-17</c:v>
                </c:pt>
                <c:pt idx="86">
                  <c:v>5.8830490053837523E-17</c:v>
                </c:pt>
                <c:pt idx="87">
                  <c:v>3.6206097976608017E-17</c:v>
                </c:pt>
                <c:pt idx="88">
                  <c:v>2.2278999698197493E-17</c:v>
                </c:pt>
                <c:pt idx="89">
                  <c:v>1.3707105395840861E-17</c:v>
                </c:pt>
                <c:pt idx="90">
                  <c:v>8.4320517164669882E-18</c:v>
                </c:pt>
                <c:pt idx="91">
                  <c:v>5.1863224985050166E-18</c:v>
                </c:pt>
                <c:pt idx="92">
                  <c:v>3.189523350518264E-18</c:v>
                </c:pt>
                <c:pt idx="93">
                  <c:v>1.9612514875990891E-18</c:v>
                </c:pt>
                <c:pt idx="94">
                  <c:v>1.2058220028785415E-18</c:v>
                </c:pt>
                <c:pt idx="95">
                  <c:v>7.4127045397522879E-19</c:v>
                </c:pt>
                <c:pt idx="96">
                  <c:v>4.5563267181592992E-19</c:v>
                </c:pt>
                <c:pt idx="97">
                  <c:v>2.8002627954720871E-19</c:v>
                </c:pt>
                <c:pt idx="98">
                  <c:v>1.7207965875704663E-19</c:v>
                </c:pt>
                <c:pt idx="99">
                  <c:v>1.0573240594716597E-19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71-4540-B3D4-904C8876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62319"/>
        <c:axId val="147263151"/>
      </c:scatterChart>
      <c:valAx>
        <c:axId val="147262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7263151"/>
        <c:crosses val="autoZero"/>
        <c:crossBetween val="midCat"/>
      </c:valAx>
      <c:valAx>
        <c:axId val="14726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7262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'E1'!$AD$9:$AD$108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'E1'!$AE$9:$AE$108</c:f>
              <c:numCache>
                <c:formatCode>General</c:formatCode>
                <c:ptCount val="100"/>
                <c:pt idx="0">
                  <c:v>0.5</c:v>
                </c:pt>
                <c:pt idx="1">
                  <c:v>0.5</c:v>
                </c:pt>
                <c:pt idx="2">
                  <c:v>0.50000000000000011</c:v>
                </c:pt>
                <c:pt idx="3">
                  <c:v>0.5</c:v>
                </c:pt>
                <c:pt idx="4">
                  <c:v>0.49999999999999972</c:v>
                </c:pt>
                <c:pt idx="5">
                  <c:v>0.49999999999999994</c:v>
                </c:pt>
                <c:pt idx="6">
                  <c:v>0.50000000000000033</c:v>
                </c:pt>
                <c:pt idx="7">
                  <c:v>0.49999999999999889</c:v>
                </c:pt>
                <c:pt idx="8">
                  <c:v>0.50000000000000178</c:v>
                </c:pt>
                <c:pt idx="9">
                  <c:v>0.49999999999999933</c:v>
                </c:pt>
                <c:pt idx="10">
                  <c:v>0.50000000000000422</c:v>
                </c:pt>
                <c:pt idx="11">
                  <c:v>0.49999999999999634</c:v>
                </c:pt>
                <c:pt idx="12">
                  <c:v>0.49999999999999956</c:v>
                </c:pt>
                <c:pt idx="13">
                  <c:v>0.50000000000002376</c:v>
                </c:pt>
                <c:pt idx="14">
                  <c:v>0.50000000000004596</c:v>
                </c:pt>
                <c:pt idx="15">
                  <c:v>0.49999999999999328</c:v>
                </c:pt>
                <c:pt idx="16">
                  <c:v>0.50000000000001077</c:v>
                </c:pt>
                <c:pt idx="17">
                  <c:v>0.50000000000012235</c:v>
                </c:pt>
                <c:pt idx="18">
                  <c:v>0.50000000000036804</c:v>
                </c:pt>
                <c:pt idx="19">
                  <c:v>0.49999999999993516</c:v>
                </c:pt>
                <c:pt idx="20">
                  <c:v>0.50000000000051548</c:v>
                </c:pt>
                <c:pt idx="21">
                  <c:v>0.49999999999936101</c:v>
                </c:pt>
                <c:pt idx="22">
                  <c:v>0.50000000000023581</c:v>
                </c:pt>
                <c:pt idx="23">
                  <c:v>0.49999999999880967</c:v>
                </c:pt>
                <c:pt idx="24">
                  <c:v>0.50000000000335387</c:v>
                </c:pt>
                <c:pt idx="25">
                  <c:v>0.50000000000070977</c:v>
                </c:pt>
                <c:pt idx="26">
                  <c:v>0.50000000000644274</c:v>
                </c:pt>
                <c:pt idx="27">
                  <c:v>0.50000000000035971</c:v>
                </c:pt>
                <c:pt idx="28">
                  <c:v>0.50000000004532952</c:v>
                </c:pt>
                <c:pt idx="29">
                  <c:v>0.50000000004492851</c:v>
                </c:pt>
                <c:pt idx="30">
                  <c:v>0.49999999995833844</c:v>
                </c:pt>
                <c:pt idx="31">
                  <c:v>0.49999999993264682</c:v>
                </c:pt>
                <c:pt idx="32">
                  <c:v>0.50000000036175463</c:v>
                </c:pt>
                <c:pt idx="33">
                  <c:v>0.50000000047353976</c:v>
                </c:pt>
                <c:pt idx="34">
                  <c:v>0.50000000053659588</c:v>
                </c:pt>
                <c:pt idx="35">
                  <c:v>0.50000000075192008</c:v>
                </c:pt>
                <c:pt idx="36">
                  <c:v>0.49999999826334912</c:v>
                </c:pt>
                <c:pt idx="37">
                  <c:v>0.49999999897604475</c:v>
                </c:pt>
                <c:pt idx="38">
                  <c:v>0.5000000060630504</c:v>
                </c:pt>
                <c:pt idx="39">
                  <c:v>0.50000001001699024</c:v>
                </c:pt>
                <c:pt idx="40">
                  <c:v>0.49999999850941845</c:v>
                </c:pt>
                <c:pt idx="41">
                  <c:v>0.50000001929288518</c:v>
                </c:pt>
                <c:pt idx="42">
                  <c:v>0.49999997802163615</c:v>
                </c:pt>
                <c:pt idx="43">
                  <c:v>0.50000009805285339</c:v>
                </c:pt>
                <c:pt idx="44">
                  <c:v>0.50000005602886344</c:v>
                </c:pt>
                <c:pt idx="45">
                  <c:v>0.49999997063158075</c:v>
                </c:pt>
                <c:pt idx="46">
                  <c:v>0.50000009640073362</c:v>
                </c:pt>
                <c:pt idx="47">
                  <c:v>0.49999983904223788</c:v>
                </c:pt>
                <c:pt idx="48">
                  <c:v>0.49999995139795445</c:v>
                </c:pt>
                <c:pt idx="49">
                  <c:v>0.50000190913170672</c:v>
                </c:pt>
                <c:pt idx="50">
                  <c:v>0.49999879040744777</c:v>
                </c:pt>
                <c:pt idx="51">
                  <c:v>0.49999546802383105</c:v>
                </c:pt>
                <c:pt idx="52">
                  <c:v>0.49999429343781082</c:v>
                </c:pt>
                <c:pt idx="53">
                  <c:v>0.50000858159356876</c:v>
                </c:pt>
                <c:pt idx="54">
                  <c:v>0.50000651388546558</c:v>
                </c:pt>
                <c:pt idx="55">
                  <c:v>0.49999501838642285</c:v>
                </c:pt>
                <c:pt idx="56">
                  <c:v>0.50005762680291554</c:v>
                </c:pt>
                <c:pt idx="57">
                  <c:v>0.50002844442085725</c:v>
                </c:pt>
                <c:pt idx="58">
                  <c:v>0.49987078847467714</c:v>
                </c:pt>
                <c:pt idx="59">
                  <c:v>0.4999168127585078</c:v>
                </c:pt>
                <c:pt idx="60">
                  <c:v>0.50021553617919678</c:v>
                </c:pt>
                <c:pt idx="61">
                  <c:v>0.50011414912699514</c:v>
                </c:pt>
                <c:pt idx="62">
                  <c:v>0.50017933557713723</c:v>
                </c:pt>
                <c:pt idx="63">
                  <c:v>0.50030115129700703</c:v>
                </c:pt>
                <c:pt idx="64">
                  <c:v>0.50134884866714002</c:v>
                </c:pt>
                <c:pt idx="65">
                  <c:v>0.49956566445355305</c:v>
                </c:pt>
                <c:pt idx="66">
                  <c:v>0.5090431786117332</c:v>
                </c:pt>
                <c:pt idx="67">
                  <c:v>0.5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2-4664-ABF0-219CB2439FF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'E1'!$AD$9:$AD$108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'E1'!$AF$9:$AF$108</c:f>
              <c:numCache>
                <c:formatCode>General</c:formatCode>
                <c:ptCount val="100"/>
                <c:pt idx="0">
                  <c:v>0.1424503083327211</c:v>
                </c:pt>
                <c:pt idx="1">
                  <c:v>9.0466554967055843E-2</c:v>
                </c:pt>
                <c:pt idx="2">
                  <c:v>6.8551000723625563E-2</c:v>
                </c:pt>
                <c:pt idx="3">
                  <c:v>5.603140642676769E-2</c:v>
                </c:pt>
                <c:pt idx="4">
                  <c:v>4.7792956363503232E-2</c:v>
                </c:pt>
                <c:pt idx="5">
                  <c:v>4.1901453294367536E-2</c:v>
                </c:pt>
                <c:pt idx="6">
                  <c:v>3.7449613612674355E-2</c:v>
                </c:pt>
                <c:pt idx="7">
                  <c:v>3.3950777573339766E-2</c:v>
                </c:pt>
                <c:pt idx="8">
                  <c:v>3.1118614845900061E-2</c:v>
                </c:pt>
                <c:pt idx="9">
                  <c:v>2.8772813785193276E-2</c:v>
                </c:pt>
                <c:pt idx="10">
                  <c:v>2.6793741888812964E-2</c:v>
                </c:pt>
                <c:pt idx="11">
                  <c:v>2.5098669316537453E-2</c:v>
                </c:pt>
                <c:pt idx="12">
                  <c:v>2.3628424696329729E-2</c:v>
                </c:pt>
                <c:pt idx="13">
                  <c:v>2.2339485701441307E-2</c:v>
                </c:pt>
                <c:pt idx="14">
                  <c:v>2.1199075490588803E-2</c:v>
                </c:pt>
                <c:pt idx="15">
                  <c:v>2.0182005963731917E-2</c:v>
                </c:pt>
                <c:pt idx="16">
                  <c:v>1.9268579336023405E-2</c:v>
                </c:pt>
                <c:pt idx="17">
                  <c:v>1.844315412727051E-2</c:v>
                </c:pt>
                <c:pt idx="18">
                  <c:v>1.7693141308598156E-2</c:v>
                </c:pt>
                <c:pt idx="19">
                  <c:v>1.7008286531769903E-2</c:v>
                </c:pt>
                <c:pt idx="20">
                  <c:v>1.6380147186058357E-2</c:v>
                </c:pt>
                <c:pt idx="21">
                  <c:v>1.5801704960321718E-2</c:v>
                </c:pt>
                <c:pt idx="22">
                  <c:v>1.5267074443395067E-2</c:v>
                </c:pt>
                <c:pt idx="23">
                  <c:v>1.4771280955131513E-2</c:v>
                </c:pt>
                <c:pt idx="24">
                  <c:v>1.4310089055252965E-2</c:v>
                </c:pt>
                <c:pt idx="25">
                  <c:v>1.3879868670494955E-2</c:v>
                </c:pt>
                <c:pt idx="26">
                  <c:v>1.3477489504237541E-2</c:v>
                </c:pt>
                <c:pt idx="27">
                  <c:v>1.3100236959805039E-2</c:v>
                </c:pt>
                <c:pt idx="28">
                  <c:v>1.2745744605692678E-2</c:v>
                </c:pt>
                <c:pt idx="29">
                  <c:v>1.2411939487014486E-2</c:v>
                </c:pt>
                <c:pt idx="30">
                  <c:v>1.2096997505455074E-2</c:v>
                </c:pt>
                <c:pt idx="31">
                  <c:v>1.1799306758456616E-2</c:v>
                </c:pt>
                <c:pt idx="32">
                  <c:v>1.1517437220611149E-2</c:v>
                </c:pt>
                <c:pt idx="33">
                  <c:v>1.1250115516522143E-2</c:v>
                </c:pt>
                <c:pt idx="34">
                  <c:v>1.0996203809643262E-2</c:v>
                </c:pt>
                <c:pt idx="35">
                  <c:v>1.0754682040326586E-2</c:v>
                </c:pt>
                <c:pt idx="36">
                  <c:v>1.0524632905955643E-2</c:v>
                </c:pt>
                <c:pt idx="37">
                  <c:v>1.0305229099125167E-2</c:v>
                </c:pt>
                <c:pt idx="38">
                  <c:v>1.0095722415453569E-2</c:v>
                </c:pt>
                <c:pt idx="39">
                  <c:v>9.8954344174351869E-3</c:v>
                </c:pt>
                <c:pt idx="40">
                  <c:v>9.7037483996775427E-3</c:v>
                </c:pt>
                <c:pt idx="41">
                  <c:v>9.5201024475950261E-3</c:v>
                </c:pt>
                <c:pt idx="42">
                  <c:v>9.3439834188981385E-3</c:v>
                </c:pt>
                <c:pt idx="43">
                  <c:v>9.1749217071124475E-3</c:v>
                </c:pt>
                <c:pt idx="44">
                  <c:v>9.0124866704740913E-3</c:v>
                </c:pt>
                <c:pt idx="45">
                  <c:v>8.8562826290973853E-3</c:v>
                </c:pt>
                <c:pt idx="46">
                  <c:v>8.7059453492386325E-3</c:v>
                </c:pt>
                <c:pt idx="47">
                  <c:v>8.561138946518547E-3</c:v>
                </c:pt>
                <c:pt idx="48">
                  <c:v>8.4215531506884756E-3</c:v>
                </c:pt>
                <c:pt idx="49">
                  <c:v>8.2869008833794874E-3</c:v>
                </c:pt>
                <c:pt idx="50">
                  <c:v>8.1569161076172556E-3</c:v>
                </c:pt>
                <c:pt idx="51">
                  <c:v>8.0313519139977464E-3</c:v>
                </c:pt>
                <c:pt idx="52">
                  <c:v>7.9099788135283868E-3</c:v>
                </c:pt>
                <c:pt idx="53">
                  <c:v>7.7925832114231182E-3</c:v>
                </c:pt>
                <c:pt idx="54">
                  <c:v>7.678966039746514E-3</c:v>
                </c:pt>
                <c:pt idx="55">
                  <c:v>7.5689415298471271E-3</c:v>
                </c:pt>
                <c:pt idx="56">
                  <c:v>7.4623361080997097E-3</c:v>
                </c:pt>
                <c:pt idx="57">
                  <c:v>7.3589874006688158E-3</c:v>
                </c:pt>
                <c:pt idx="58">
                  <c:v>7.258743334874581E-3</c:v>
                </c:pt>
                <c:pt idx="59">
                  <c:v>7.1614613263386905E-3</c:v>
                </c:pt>
                <c:pt idx="60">
                  <c:v>7.0670075424577473E-3</c:v>
                </c:pt>
                <c:pt idx="61">
                  <c:v>6.9752562339279161E-3</c:v>
                </c:pt>
                <c:pt idx="62">
                  <c:v>6.8860891270586784E-3</c:v>
                </c:pt>
                <c:pt idx="63">
                  <c:v>6.7993948704893545E-3</c:v>
                </c:pt>
                <c:pt idx="64">
                  <c:v>6.715068530680322E-3</c:v>
                </c:pt>
                <c:pt idx="65">
                  <c:v>6.6330111312095357E-3</c:v>
                </c:pt>
                <c:pt idx="66">
                  <c:v>6.5531292314772831E-3</c:v>
                </c:pt>
                <c:pt idx="67">
                  <c:v>6.4753345409212012E-3</c:v>
                </c:pt>
                <c:pt idx="68">
                  <c:v>6.3995435652802954E-3</c:v>
                </c:pt>
                <c:pt idx="69">
                  <c:v>6.3256772818279109E-3</c:v>
                </c:pt>
                <c:pt idx="70">
                  <c:v>6.2536608408291219E-3</c:v>
                </c:pt>
                <c:pt idx="71">
                  <c:v>6.1834232907719703E-3</c:v>
                </c:pt>
                <c:pt idx="72">
                  <c:v>6.1148973251814792E-3</c:v>
                </c:pt>
                <c:pt idx="73">
                  <c:v>6.0480190490540507E-3</c:v>
                </c:pt>
                <c:pt idx="74">
                  <c:v>5.9827277631517833E-3</c:v>
                </c:pt>
                <c:pt idx="75">
                  <c:v>5.9189657645753067E-3</c:v>
                </c:pt>
                <c:pt idx="76">
                  <c:v>5.8566781621925725E-3</c:v>
                </c:pt>
                <c:pt idx="77">
                  <c:v>5.7958127056414411E-3</c:v>
                </c:pt>
                <c:pt idx="78">
                  <c:v>5.7363196267496237E-3</c:v>
                </c:pt>
                <c:pt idx="79">
                  <c:v>5.6781514923274299E-3</c:v>
                </c:pt>
                <c:pt idx="80">
                  <c:v>5.6212630673878519E-3</c:v>
                </c:pt>
                <c:pt idx="81">
                  <c:v>5.5656111879380668E-3</c:v>
                </c:pt>
                <c:pt idx="82">
                  <c:v>5.5111546425660046E-3</c:v>
                </c:pt>
                <c:pt idx="83">
                  <c:v>5.4578540621168965E-3</c:v>
                </c:pt>
                <c:pt idx="84">
                  <c:v>5.4056718168190871E-3</c:v>
                </c:pt>
                <c:pt idx="85">
                  <c:v>5.3545719202757061E-3</c:v>
                </c:pt>
                <c:pt idx="86">
                  <c:v>5.3045199397909436E-3</c:v>
                </c:pt>
                <c:pt idx="87">
                  <c:v>5.2554829125458771E-3</c:v>
                </c:pt>
                <c:pt idx="88">
                  <c:v>5.207429267181523E-3</c:v>
                </c:pt>
                <c:pt idx="89">
                  <c:v>5.1603287503840965E-3</c:v>
                </c:pt>
                <c:pt idx="90">
                  <c:v>5.1141523581026268E-3</c:v>
                </c:pt>
                <c:pt idx="91">
                  <c:v>5.0688722710592517E-3</c:v>
                </c:pt>
                <c:pt idx="92">
                  <c:v>5.0244617942418789E-3</c:v>
                </c:pt>
                <c:pt idx="93">
                  <c:v>4.9808953000931595E-3</c:v>
                </c:pt>
                <c:pt idx="94">
                  <c:v>4.9381481751341345E-3</c:v>
                </c:pt>
                <c:pt idx="95">
                  <c:v>4.8961967697811765E-3</c:v>
                </c:pt>
                <c:pt idx="96">
                  <c:v>4.8550183511347003E-3</c:v>
                </c:pt>
                <c:pt idx="97">
                  <c:v>4.8145910585349963E-3</c:v>
                </c:pt>
                <c:pt idx="98">
                  <c:v>4.7748938616970632E-3</c:v>
                </c:pt>
                <c:pt idx="99">
                  <c:v>4.7359065212506015E-3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22-4664-ABF0-219CB243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11359"/>
        <c:axId val="322609279"/>
      </c:scatterChart>
      <c:valAx>
        <c:axId val="32261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2609279"/>
        <c:crosses val="autoZero"/>
        <c:crossBetween val="midCat"/>
      </c:valAx>
      <c:valAx>
        <c:axId val="32260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2611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Variable de pérdida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'E2'!$I$25</c:f>
              <c:strCache>
                <c:ptCount val="1"/>
                <c:pt idx="0">
                  <c:v>f(x)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'E2'!$G$26:$G$40</c:f>
              <c:numCache>
                <c:formatCode>_(* #,##0.00_);_(* \(#,##0.00\);_(* "-"??_);_(@_)</c:formatCode>
                <c:ptCount val="15"/>
                <c:pt idx="0">
                  <c:v>6.1388042697388761</c:v>
                </c:pt>
                <c:pt idx="1">
                  <c:v>108.3270775310952</c:v>
                </c:pt>
                <c:pt idx="2">
                  <c:v>210.51535079245153</c:v>
                </c:pt>
                <c:pt idx="3">
                  <c:v>312.70362405380786</c:v>
                </c:pt>
                <c:pt idx="4">
                  <c:v>414.89189731516421</c:v>
                </c:pt>
                <c:pt idx="5">
                  <c:v>517.08017057652057</c:v>
                </c:pt>
                <c:pt idx="6">
                  <c:v>619.26844383787693</c:v>
                </c:pt>
                <c:pt idx="7">
                  <c:v>721.45671709923329</c:v>
                </c:pt>
                <c:pt idx="8">
                  <c:v>823.64499036058965</c:v>
                </c:pt>
                <c:pt idx="9">
                  <c:v>925.833263621946</c:v>
                </c:pt>
                <c:pt idx="10">
                  <c:v>1028.0215368833024</c:v>
                </c:pt>
                <c:pt idx="11">
                  <c:v>1130.2098101446586</c:v>
                </c:pt>
                <c:pt idx="12">
                  <c:v>1232.3980834060148</c:v>
                </c:pt>
                <c:pt idx="13">
                  <c:v>1334.5863566673711</c:v>
                </c:pt>
                <c:pt idx="14">
                  <c:v>1436.7746299287273</c:v>
                </c:pt>
              </c:numCache>
            </c:numRef>
          </c:xVal>
          <c:yVal>
            <c:numRef>
              <c:f>'E2'!$I$26:$I$40</c:f>
              <c:numCache>
                <c:formatCode>_-* #,##0.000000_-;\-* #,##0.000000_-;_-* "-"??_-;_-@_-</c:formatCode>
                <c:ptCount val="15"/>
                <c:pt idx="0">
                  <c:v>1E-4</c:v>
                </c:pt>
                <c:pt idx="1">
                  <c:v>0.12520000000000001</c:v>
                </c:pt>
                <c:pt idx="2">
                  <c:v>0.28649999999999998</c:v>
                </c:pt>
                <c:pt idx="3">
                  <c:v>0.25659999999999999</c:v>
                </c:pt>
                <c:pt idx="4">
                  <c:v>0.16769999999999999</c:v>
                </c:pt>
                <c:pt idx="5">
                  <c:v>8.8800000000000004E-2</c:v>
                </c:pt>
                <c:pt idx="6">
                  <c:v>4.2700000000000002E-2</c:v>
                </c:pt>
                <c:pt idx="7">
                  <c:v>1.95E-2</c:v>
                </c:pt>
                <c:pt idx="8">
                  <c:v>7.6E-3</c:v>
                </c:pt>
                <c:pt idx="9">
                  <c:v>3.0999999999999999E-3</c:v>
                </c:pt>
                <c:pt idx="10">
                  <c:v>1.5E-3</c:v>
                </c:pt>
                <c:pt idx="11">
                  <c:v>5.9999999999999995E-4</c:v>
                </c:pt>
                <c:pt idx="12">
                  <c:v>0</c:v>
                </c:pt>
                <c:pt idx="13">
                  <c:v>0</c:v>
                </c:pt>
                <c:pt idx="14">
                  <c:v>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DF-4B45-9142-5100D276A98E}"/>
            </c:ext>
          </c:extLst>
        </c:ser>
        <c:ser>
          <c:idx val="1"/>
          <c:order val="1"/>
          <c:tx>
            <c:strRef>
              <c:f>'E2'!$J$25</c:f>
              <c:strCache>
                <c:ptCount val="1"/>
                <c:pt idx="0">
                  <c:v>F(x)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'E2'!$G$26:$G$40</c:f>
              <c:numCache>
                <c:formatCode>_(* #,##0.00_);_(* \(#,##0.00\);_(* "-"??_);_(@_)</c:formatCode>
                <c:ptCount val="15"/>
                <c:pt idx="0">
                  <c:v>6.1388042697388761</c:v>
                </c:pt>
                <c:pt idx="1">
                  <c:v>108.3270775310952</c:v>
                </c:pt>
                <c:pt idx="2">
                  <c:v>210.51535079245153</c:v>
                </c:pt>
                <c:pt idx="3">
                  <c:v>312.70362405380786</c:v>
                </c:pt>
                <c:pt idx="4">
                  <c:v>414.89189731516421</c:v>
                </c:pt>
                <c:pt idx="5">
                  <c:v>517.08017057652057</c:v>
                </c:pt>
                <c:pt idx="6">
                  <c:v>619.26844383787693</c:v>
                </c:pt>
                <c:pt idx="7">
                  <c:v>721.45671709923329</c:v>
                </c:pt>
                <c:pt idx="8">
                  <c:v>823.64499036058965</c:v>
                </c:pt>
                <c:pt idx="9">
                  <c:v>925.833263621946</c:v>
                </c:pt>
                <c:pt idx="10">
                  <c:v>1028.0215368833024</c:v>
                </c:pt>
                <c:pt idx="11">
                  <c:v>1130.2098101446586</c:v>
                </c:pt>
                <c:pt idx="12">
                  <c:v>1232.3980834060148</c:v>
                </c:pt>
                <c:pt idx="13">
                  <c:v>1334.5863566673711</c:v>
                </c:pt>
                <c:pt idx="14">
                  <c:v>1436.7746299287273</c:v>
                </c:pt>
              </c:numCache>
            </c:numRef>
          </c:xVal>
          <c:yVal>
            <c:numRef>
              <c:f>'E2'!$J$26:$J$40</c:f>
              <c:numCache>
                <c:formatCode>_-* #,##0.000000000_-;\-* #,##0.000000000_-;_-* "-"??_-;_-@_-</c:formatCode>
                <c:ptCount val="15"/>
                <c:pt idx="0">
                  <c:v>1E-4</c:v>
                </c:pt>
                <c:pt idx="1">
                  <c:v>0.12529999999999999</c:v>
                </c:pt>
                <c:pt idx="2">
                  <c:v>0.41179999999999994</c:v>
                </c:pt>
                <c:pt idx="3">
                  <c:v>0.66839999999999988</c:v>
                </c:pt>
                <c:pt idx="4">
                  <c:v>0.83609999999999984</c:v>
                </c:pt>
                <c:pt idx="5">
                  <c:v>0.92489999999999983</c:v>
                </c:pt>
                <c:pt idx="6">
                  <c:v>0.96759999999999979</c:v>
                </c:pt>
                <c:pt idx="7">
                  <c:v>0.98709999999999976</c:v>
                </c:pt>
                <c:pt idx="8">
                  <c:v>0.99469999999999981</c:v>
                </c:pt>
                <c:pt idx="9">
                  <c:v>0.9977999999999998</c:v>
                </c:pt>
                <c:pt idx="10">
                  <c:v>0.99929999999999974</c:v>
                </c:pt>
                <c:pt idx="11">
                  <c:v>0.99989999999999979</c:v>
                </c:pt>
                <c:pt idx="12">
                  <c:v>0.99989999999999979</c:v>
                </c:pt>
                <c:pt idx="13">
                  <c:v>0.99989999999999979</c:v>
                </c:pt>
                <c:pt idx="14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DF-4B45-9142-5100D276A98E}"/>
            </c:ext>
          </c:extLst>
        </c:ser>
        <c:ser>
          <c:idx val="2"/>
          <c:order val="2"/>
          <c:tx>
            <c:strRef>
              <c:f>'E2'!$K$25</c:f>
              <c:strCache>
                <c:ptCount val="1"/>
                <c:pt idx="0">
                  <c:v>S(x)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'E2'!$G$26:$G$40</c:f>
              <c:numCache>
                <c:formatCode>_(* #,##0.00_);_(* \(#,##0.00\);_(* "-"??_);_(@_)</c:formatCode>
                <c:ptCount val="15"/>
                <c:pt idx="0">
                  <c:v>6.1388042697388761</c:v>
                </c:pt>
                <c:pt idx="1">
                  <c:v>108.3270775310952</c:v>
                </c:pt>
                <c:pt idx="2">
                  <c:v>210.51535079245153</c:v>
                </c:pt>
                <c:pt idx="3">
                  <c:v>312.70362405380786</c:v>
                </c:pt>
                <c:pt idx="4">
                  <c:v>414.89189731516421</c:v>
                </c:pt>
                <c:pt idx="5">
                  <c:v>517.08017057652057</c:v>
                </c:pt>
                <c:pt idx="6">
                  <c:v>619.26844383787693</c:v>
                </c:pt>
                <c:pt idx="7">
                  <c:v>721.45671709923329</c:v>
                </c:pt>
                <c:pt idx="8">
                  <c:v>823.64499036058965</c:v>
                </c:pt>
                <c:pt idx="9">
                  <c:v>925.833263621946</c:v>
                </c:pt>
                <c:pt idx="10">
                  <c:v>1028.0215368833024</c:v>
                </c:pt>
                <c:pt idx="11">
                  <c:v>1130.2098101446586</c:v>
                </c:pt>
                <c:pt idx="12">
                  <c:v>1232.3980834060148</c:v>
                </c:pt>
                <c:pt idx="13">
                  <c:v>1334.5863566673711</c:v>
                </c:pt>
                <c:pt idx="14">
                  <c:v>1436.7746299287273</c:v>
                </c:pt>
              </c:numCache>
            </c:numRef>
          </c:xVal>
          <c:yVal>
            <c:numRef>
              <c:f>'E2'!$K$26:$K$40</c:f>
              <c:numCache>
                <c:formatCode>_-* #,##0.000000_-;\-* #,##0.000000_-;_-* "-"??_-;_-@_-</c:formatCode>
                <c:ptCount val="15"/>
                <c:pt idx="0">
                  <c:v>0.99990000000000001</c:v>
                </c:pt>
                <c:pt idx="1">
                  <c:v>0.87470000000000003</c:v>
                </c:pt>
                <c:pt idx="2">
                  <c:v>0.58820000000000006</c:v>
                </c:pt>
                <c:pt idx="3">
                  <c:v>0.33160000000000012</c:v>
                </c:pt>
                <c:pt idx="4">
                  <c:v>0.16390000000000016</c:v>
                </c:pt>
                <c:pt idx="5">
                  <c:v>7.5100000000000167E-2</c:v>
                </c:pt>
                <c:pt idx="6">
                  <c:v>3.2400000000000206E-2</c:v>
                </c:pt>
                <c:pt idx="7">
                  <c:v>1.2900000000000245E-2</c:v>
                </c:pt>
                <c:pt idx="8">
                  <c:v>5.3000000000001934E-3</c:v>
                </c:pt>
                <c:pt idx="9">
                  <c:v>2.2000000000002018E-3</c:v>
                </c:pt>
                <c:pt idx="10">
                  <c:v>7.0000000000025597E-4</c:v>
                </c:pt>
                <c:pt idx="11">
                  <c:v>1.0000000000021103E-4</c:v>
                </c:pt>
                <c:pt idx="12">
                  <c:v>1.0000000000021103E-4</c:v>
                </c:pt>
                <c:pt idx="13">
                  <c:v>1.0000000000021103E-4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DF-4B45-9142-5100D276A98E}"/>
            </c:ext>
          </c:extLst>
        </c:ser>
        <c:ser>
          <c:idx val="3"/>
          <c:order val="3"/>
          <c:tx>
            <c:strRef>
              <c:f>'E2'!$L$25</c:f>
              <c:strCache>
                <c:ptCount val="1"/>
                <c:pt idx="0">
                  <c:v>Media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'E2'!$L$26:$L$40</c:f>
              <c:numCache>
                <c:formatCode>_(* #,##0.00_);_(* \(#,##0.00\);_(* "-"??_);_(@_)</c:formatCode>
                <c:ptCount val="15"/>
                <c:pt idx="0">
                  <c:v>271.17380794685556</c:v>
                </c:pt>
                <c:pt idx="1">
                  <c:v>271.17380794685556</c:v>
                </c:pt>
                <c:pt idx="2">
                  <c:v>271.17380794685556</c:v>
                </c:pt>
                <c:pt idx="3">
                  <c:v>271.17380794685556</c:v>
                </c:pt>
                <c:pt idx="4">
                  <c:v>271.17380794685556</c:v>
                </c:pt>
                <c:pt idx="5">
                  <c:v>271.17380794685556</c:v>
                </c:pt>
                <c:pt idx="6">
                  <c:v>271.17380794685556</c:v>
                </c:pt>
                <c:pt idx="7">
                  <c:v>271.17380794685556</c:v>
                </c:pt>
                <c:pt idx="8">
                  <c:v>271.17380794685556</c:v>
                </c:pt>
                <c:pt idx="9">
                  <c:v>271.17380794685556</c:v>
                </c:pt>
                <c:pt idx="10">
                  <c:v>271.17380794685556</c:v>
                </c:pt>
                <c:pt idx="11">
                  <c:v>271.17380794685556</c:v>
                </c:pt>
                <c:pt idx="12">
                  <c:v>271.17380794685556</c:v>
                </c:pt>
                <c:pt idx="13">
                  <c:v>271.17380794685556</c:v>
                </c:pt>
                <c:pt idx="14">
                  <c:v>271.17380794685556</c:v>
                </c:pt>
              </c:numCache>
            </c:numRef>
          </c:xVal>
          <c:yVal>
            <c:numRef>
              <c:f>'E2'!$E$26:$E$40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EDF-4B45-9142-5100D276A98E}"/>
            </c:ext>
          </c:extLst>
        </c:ser>
        <c:ser>
          <c:idx val="4"/>
          <c:order val="4"/>
          <c:tx>
            <c:strRef>
              <c:f>'E2'!$M$25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'E2'!$M$26:$M$40</c:f>
              <c:numCache>
                <c:formatCode>_(* #,##0.00_);_(* \(#,##0.00\);_(* "-"??_);_(@_)</c:formatCode>
                <c:ptCount val="15"/>
                <c:pt idx="0">
                  <c:v>154.64598603051013</c:v>
                </c:pt>
                <c:pt idx="1">
                  <c:v>154.64598603051013</c:v>
                </c:pt>
                <c:pt idx="2">
                  <c:v>154.64598603051013</c:v>
                </c:pt>
                <c:pt idx="3">
                  <c:v>154.64598603051013</c:v>
                </c:pt>
                <c:pt idx="4">
                  <c:v>154.64598603051013</c:v>
                </c:pt>
                <c:pt idx="5">
                  <c:v>154.64598603051013</c:v>
                </c:pt>
                <c:pt idx="6">
                  <c:v>154.64598603051013</c:v>
                </c:pt>
                <c:pt idx="7">
                  <c:v>154.64598603051013</c:v>
                </c:pt>
                <c:pt idx="8">
                  <c:v>154.64598603051013</c:v>
                </c:pt>
                <c:pt idx="9">
                  <c:v>154.64598603051013</c:v>
                </c:pt>
                <c:pt idx="10">
                  <c:v>154.64598603051013</c:v>
                </c:pt>
                <c:pt idx="11">
                  <c:v>154.64598603051013</c:v>
                </c:pt>
                <c:pt idx="12">
                  <c:v>154.64598603051013</c:v>
                </c:pt>
                <c:pt idx="13">
                  <c:v>154.64598603051013</c:v>
                </c:pt>
                <c:pt idx="14">
                  <c:v>154.64598603051013</c:v>
                </c:pt>
              </c:numCache>
            </c:numRef>
          </c:xVal>
          <c:yVal>
            <c:numRef>
              <c:f>'E2'!$E$26:$E$40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EDF-4B45-9142-5100D276A98E}"/>
            </c:ext>
          </c:extLst>
        </c:ser>
        <c:ser>
          <c:idx val="5"/>
          <c:order val="5"/>
          <c:tx>
            <c:strRef>
              <c:f>'E2'!$N$25</c:f>
              <c:strCache>
                <c:ptCount val="1"/>
                <c:pt idx="0">
                  <c:v>Mediana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'E2'!$N$26:$N$40</c:f>
              <c:numCache>
                <c:formatCode>_(* #,##0.00_);_(* \(#,##0.00\);_(* "-"??_);_(@_)</c:formatCode>
                <c:ptCount val="15"/>
                <c:pt idx="0">
                  <c:v>242.61103580435002</c:v>
                </c:pt>
                <c:pt idx="1">
                  <c:v>242.61103580435002</c:v>
                </c:pt>
                <c:pt idx="2">
                  <c:v>242.61103580435002</c:v>
                </c:pt>
                <c:pt idx="3">
                  <c:v>242.61103580435002</c:v>
                </c:pt>
                <c:pt idx="4">
                  <c:v>242.61103580435002</c:v>
                </c:pt>
                <c:pt idx="5">
                  <c:v>242.61103580435002</c:v>
                </c:pt>
                <c:pt idx="6">
                  <c:v>242.61103580435002</c:v>
                </c:pt>
                <c:pt idx="7">
                  <c:v>242.61103580435002</c:v>
                </c:pt>
                <c:pt idx="8">
                  <c:v>242.61103580435002</c:v>
                </c:pt>
                <c:pt idx="9">
                  <c:v>242.61103580435002</c:v>
                </c:pt>
                <c:pt idx="10">
                  <c:v>242.61103580435002</c:v>
                </c:pt>
                <c:pt idx="11">
                  <c:v>242.61103580435002</c:v>
                </c:pt>
                <c:pt idx="12">
                  <c:v>242.61103580435002</c:v>
                </c:pt>
                <c:pt idx="13">
                  <c:v>242.61103580435002</c:v>
                </c:pt>
                <c:pt idx="14">
                  <c:v>242.61103580435002</c:v>
                </c:pt>
              </c:numCache>
            </c:numRef>
          </c:xVal>
          <c:yVal>
            <c:numRef>
              <c:f>'E2'!$E$26:$E$40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EDF-4B45-9142-5100D276A98E}"/>
            </c:ext>
          </c:extLst>
        </c:ser>
        <c:ser>
          <c:idx val="6"/>
          <c:order val="6"/>
          <c:tx>
            <c:strRef>
              <c:f>'E2'!$O$25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'E2'!$O$26:$O$40</c:f>
              <c:numCache>
                <c:formatCode>_(* #,##0.00_);_(* \(#,##0.00\);_(* "-"??_);_(@_)</c:formatCode>
                <c:ptCount val="15"/>
                <c:pt idx="0">
                  <c:v>356.03119182953947</c:v>
                </c:pt>
                <c:pt idx="1">
                  <c:v>356.03119182953947</c:v>
                </c:pt>
                <c:pt idx="2">
                  <c:v>356.03119182953947</c:v>
                </c:pt>
                <c:pt idx="3">
                  <c:v>356.03119182953947</c:v>
                </c:pt>
                <c:pt idx="4">
                  <c:v>356.03119182953947</c:v>
                </c:pt>
                <c:pt idx="5">
                  <c:v>356.03119182953947</c:v>
                </c:pt>
                <c:pt idx="6">
                  <c:v>356.03119182953947</c:v>
                </c:pt>
                <c:pt idx="7">
                  <c:v>356.03119182953947</c:v>
                </c:pt>
                <c:pt idx="8">
                  <c:v>356.03119182953947</c:v>
                </c:pt>
                <c:pt idx="9">
                  <c:v>356.03119182953947</c:v>
                </c:pt>
                <c:pt idx="10">
                  <c:v>356.03119182953947</c:v>
                </c:pt>
                <c:pt idx="11">
                  <c:v>356.03119182953947</c:v>
                </c:pt>
                <c:pt idx="12">
                  <c:v>356.03119182953947</c:v>
                </c:pt>
                <c:pt idx="13">
                  <c:v>356.03119182953947</c:v>
                </c:pt>
                <c:pt idx="14">
                  <c:v>356.03119182953947</c:v>
                </c:pt>
              </c:numCache>
            </c:numRef>
          </c:xVal>
          <c:yVal>
            <c:numRef>
              <c:f>'E2'!$E$26:$E$40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EDF-4B45-9142-5100D276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925103"/>
        <c:axId val="1278928015"/>
      </c:scatterChart>
      <c:valAx>
        <c:axId val="127892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78928015"/>
        <c:crosses val="autoZero"/>
        <c:crossBetween val="midCat"/>
      </c:valAx>
      <c:valAx>
        <c:axId val="127892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-* #,##0.000000_-;\-* #,##0.0000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78925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Variable</a:t>
            </a:r>
            <a:r>
              <a:rPr lang="es-MX" baseline="0"/>
              <a:t> de Pérdida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7325375674210963E-2"/>
          <c:y val="3.4243488467440707E-2"/>
          <c:w val="0.87516958644762322"/>
          <c:h val="0.913723023610460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'E3'!$O$25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'E3'!$O$26:$O$40</c:f>
              <c:numCache>
                <c:formatCode>General</c:formatCode>
                <c:ptCount val="15"/>
                <c:pt idx="0" formatCode="_(* #,##0.00_);_(* \(#,##0.00\);_(* &quot;-&quot;??_);_(@_)">
                  <c:v>209.70818677275503</c:v>
                </c:pt>
                <c:pt idx="1">
                  <c:v>209.70818677275503</c:v>
                </c:pt>
                <c:pt idx="2">
                  <c:v>209.70818677275503</c:v>
                </c:pt>
                <c:pt idx="3">
                  <c:v>209.70818677275503</c:v>
                </c:pt>
                <c:pt idx="4">
                  <c:v>209.70818677275503</c:v>
                </c:pt>
                <c:pt idx="5">
                  <c:v>209.70818677275503</c:v>
                </c:pt>
                <c:pt idx="6">
                  <c:v>209.70818677275503</c:v>
                </c:pt>
                <c:pt idx="7">
                  <c:v>209.70818677275503</c:v>
                </c:pt>
                <c:pt idx="8">
                  <c:v>209.70818677275503</c:v>
                </c:pt>
                <c:pt idx="9">
                  <c:v>209.70818677275503</c:v>
                </c:pt>
                <c:pt idx="10">
                  <c:v>209.70818677275503</c:v>
                </c:pt>
                <c:pt idx="11">
                  <c:v>209.70818677275503</c:v>
                </c:pt>
                <c:pt idx="12">
                  <c:v>209.70818677275503</c:v>
                </c:pt>
                <c:pt idx="13">
                  <c:v>209.70818677275503</c:v>
                </c:pt>
                <c:pt idx="14">
                  <c:v>209.70818677275503</c:v>
                </c:pt>
              </c:numCache>
            </c:numRef>
          </c:xVal>
          <c:yVal>
            <c:numRef>
              <c:f>'E3'!$E$26:$E$40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0A-7540-93DE-26508CC7443D}"/>
            </c:ext>
          </c:extLst>
        </c:ser>
        <c:ser>
          <c:idx val="1"/>
          <c:order val="1"/>
          <c:tx>
            <c:strRef>
              <c:f>'E3'!$J$25</c:f>
              <c:strCache>
                <c:ptCount val="1"/>
                <c:pt idx="0">
                  <c:v>F(x)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'E3'!$G$26:$G$40</c:f>
              <c:numCache>
                <c:formatCode>_(* #,##0.00_);_(* \(#,##0.00\);_(* "-"??_);_(@_)</c:formatCode>
                <c:ptCount val="15"/>
                <c:pt idx="0">
                  <c:v>17.706371482915145</c:v>
                </c:pt>
                <c:pt idx="1">
                  <c:v>89.616115924965285</c:v>
                </c:pt>
                <c:pt idx="2" formatCode="General">
                  <c:v>161.52586036701541</c:v>
                </c:pt>
                <c:pt idx="3" formatCode="General">
                  <c:v>233.43560480906555</c:v>
                </c:pt>
                <c:pt idx="4" formatCode="General">
                  <c:v>305.34534925111569</c:v>
                </c:pt>
                <c:pt idx="5">
                  <c:v>377.2550936931658</c:v>
                </c:pt>
                <c:pt idx="6" formatCode="General">
                  <c:v>449.16483813521597</c:v>
                </c:pt>
                <c:pt idx="7" formatCode="General">
                  <c:v>521.07458257726614</c:v>
                </c:pt>
                <c:pt idx="8" formatCode="General">
                  <c:v>592.98432701931631</c:v>
                </c:pt>
                <c:pt idx="9" formatCode="General">
                  <c:v>664.89407146136648</c:v>
                </c:pt>
                <c:pt idx="10" formatCode="General">
                  <c:v>736.80381590341665</c:v>
                </c:pt>
                <c:pt idx="11" formatCode="General">
                  <c:v>808.71356034546682</c:v>
                </c:pt>
                <c:pt idx="12" formatCode="General">
                  <c:v>880.62330478751699</c:v>
                </c:pt>
                <c:pt idx="13" formatCode="General">
                  <c:v>952.53304922956715</c:v>
                </c:pt>
                <c:pt idx="14" formatCode="General">
                  <c:v>1024.4427936716172</c:v>
                </c:pt>
              </c:numCache>
            </c:numRef>
          </c:xVal>
          <c:yVal>
            <c:numRef>
              <c:f>'E3'!$J$26:$J$40</c:f>
              <c:numCache>
                <c:formatCode>General</c:formatCode>
                <c:ptCount val="15"/>
                <c:pt idx="0" formatCode="_(* #,##0.00_);_(* \(#,##0.00\);_(* &quot;-&quot;??_);_(@_)">
                  <c:v>1E-4</c:v>
                </c:pt>
                <c:pt idx="1">
                  <c:v>0.15689999999999998</c:v>
                </c:pt>
                <c:pt idx="2">
                  <c:v>0.56430000000000002</c:v>
                </c:pt>
                <c:pt idx="3">
                  <c:v>0.81770000000000009</c:v>
                </c:pt>
                <c:pt idx="4">
                  <c:v>0.92540000000000011</c:v>
                </c:pt>
                <c:pt idx="5">
                  <c:v>0.96830000000000016</c:v>
                </c:pt>
                <c:pt idx="6">
                  <c:v>0.98740000000000017</c:v>
                </c:pt>
                <c:pt idx="7">
                  <c:v>0.99500000000000022</c:v>
                </c:pt>
                <c:pt idx="8">
                  <c:v>0.9972000000000002</c:v>
                </c:pt>
                <c:pt idx="9">
                  <c:v>0.99930000000000019</c:v>
                </c:pt>
                <c:pt idx="10">
                  <c:v>0.99960000000000016</c:v>
                </c:pt>
                <c:pt idx="11">
                  <c:v>0.99990000000000012</c:v>
                </c:pt>
                <c:pt idx="12">
                  <c:v>0.99990000000000012</c:v>
                </c:pt>
                <c:pt idx="13">
                  <c:v>0.99990000000000012</c:v>
                </c:pt>
                <c:pt idx="14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E0A-7540-93DE-26508CC7443D}"/>
            </c:ext>
          </c:extLst>
        </c:ser>
        <c:ser>
          <c:idx val="2"/>
          <c:order val="2"/>
          <c:tx>
            <c:strRef>
              <c:f>'E3'!$K$25</c:f>
              <c:strCache>
                <c:ptCount val="1"/>
                <c:pt idx="0">
                  <c:v>S(x)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'E3'!$G$26:$G$40</c:f>
              <c:numCache>
                <c:formatCode>_(* #,##0.00_);_(* \(#,##0.00\);_(* "-"??_);_(@_)</c:formatCode>
                <c:ptCount val="15"/>
                <c:pt idx="0">
                  <c:v>17.706371482915145</c:v>
                </c:pt>
                <c:pt idx="1">
                  <c:v>89.616115924965285</c:v>
                </c:pt>
                <c:pt idx="2" formatCode="General">
                  <c:v>161.52586036701541</c:v>
                </c:pt>
                <c:pt idx="3" formatCode="General">
                  <c:v>233.43560480906555</c:v>
                </c:pt>
                <c:pt idx="4" formatCode="General">
                  <c:v>305.34534925111569</c:v>
                </c:pt>
                <c:pt idx="5">
                  <c:v>377.2550936931658</c:v>
                </c:pt>
                <c:pt idx="6" formatCode="General">
                  <c:v>449.16483813521597</c:v>
                </c:pt>
                <c:pt idx="7" formatCode="General">
                  <c:v>521.07458257726614</c:v>
                </c:pt>
                <c:pt idx="8" formatCode="General">
                  <c:v>592.98432701931631</c:v>
                </c:pt>
                <c:pt idx="9" formatCode="General">
                  <c:v>664.89407146136648</c:v>
                </c:pt>
                <c:pt idx="10" formatCode="General">
                  <c:v>736.80381590341665</c:v>
                </c:pt>
                <c:pt idx="11" formatCode="General">
                  <c:v>808.71356034546682</c:v>
                </c:pt>
                <c:pt idx="12" formatCode="General">
                  <c:v>880.62330478751699</c:v>
                </c:pt>
                <c:pt idx="13" formatCode="General">
                  <c:v>952.53304922956715</c:v>
                </c:pt>
                <c:pt idx="14" formatCode="General">
                  <c:v>1024.4427936716172</c:v>
                </c:pt>
              </c:numCache>
            </c:numRef>
          </c:xVal>
          <c:yVal>
            <c:numRef>
              <c:f>'E3'!$K$26:$K$40</c:f>
              <c:numCache>
                <c:formatCode>General</c:formatCode>
                <c:ptCount val="15"/>
                <c:pt idx="0">
                  <c:v>0.99990000000000001</c:v>
                </c:pt>
                <c:pt idx="1">
                  <c:v>0.84309999999999996</c:v>
                </c:pt>
                <c:pt idx="2">
                  <c:v>0.43569999999999998</c:v>
                </c:pt>
                <c:pt idx="3">
                  <c:v>0.18229999999999991</c:v>
                </c:pt>
                <c:pt idx="4">
                  <c:v>7.4599999999999889E-2</c:v>
                </c:pt>
                <c:pt idx="5">
                  <c:v>3.1699999999999839E-2</c:v>
                </c:pt>
                <c:pt idx="6">
                  <c:v>1.2599999999999834E-2</c:v>
                </c:pt>
                <c:pt idx="7">
                  <c:v>4.9999999999997824E-3</c:v>
                </c:pt>
                <c:pt idx="8">
                  <c:v>2.7999999999998026E-3</c:v>
                </c:pt>
                <c:pt idx="9">
                  <c:v>6.9999999999981188E-4</c:v>
                </c:pt>
                <c:pt idx="10">
                  <c:v>3.9999999999984492E-4</c:v>
                </c:pt>
                <c:pt idx="11">
                  <c:v>9.9999999999877964E-5</c:v>
                </c:pt>
                <c:pt idx="12">
                  <c:v>9.9999999999877964E-5</c:v>
                </c:pt>
                <c:pt idx="13">
                  <c:v>9.9999999999877964E-5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E0A-7540-93DE-26508CC7443D}"/>
            </c:ext>
          </c:extLst>
        </c:ser>
        <c:ser>
          <c:idx val="3"/>
          <c:order val="3"/>
          <c:tx>
            <c:strRef>
              <c:f>'E3'!$L$25</c:f>
              <c:strCache>
                <c:ptCount val="1"/>
                <c:pt idx="0">
                  <c:v>Media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'E3'!$L$26:$L$40</c:f>
              <c:numCache>
                <c:formatCode>General</c:formatCode>
                <c:ptCount val="15"/>
                <c:pt idx="0" formatCode="_(* #,##0.00_);_(* \(#,##0.00\);_(* &quot;-&quot;??_);_(@_)">
                  <c:v>168.02523385790394</c:v>
                </c:pt>
                <c:pt idx="1">
                  <c:v>168.02523385790394</c:v>
                </c:pt>
                <c:pt idx="2">
                  <c:v>168.02523385790394</c:v>
                </c:pt>
                <c:pt idx="3">
                  <c:v>168.02523385790394</c:v>
                </c:pt>
                <c:pt idx="4">
                  <c:v>168.02523385790394</c:v>
                </c:pt>
                <c:pt idx="5">
                  <c:v>168.02523385790394</c:v>
                </c:pt>
                <c:pt idx="6">
                  <c:v>168.02523385790394</c:v>
                </c:pt>
                <c:pt idx="7">
                  <c:v>168.02523385790394</c:v>
                </c:pt>
                <c:pt idx="8">
                  <c:v>168.02523385790394</c:v>
                </c:pt>
                <c:pt idx="9">
                  <c:v>168.02523385790394</c:v>
                </c:pt>
                <c:pt idx="10">
                  <c:v>168.02523385790394</c:v>
                </c:pt>
                <c:pt idx="11">
                  <c:v>168.02523385790394</c:v>
                </c:pt>
                <c:pt idx="12">
                  <c:v>168.02523385790394</c:v>
                </c:pt>
                <c:pt idx="13">
                  <c:v>168.02523385790394</c:v>
                </c:pt>
                <c:pt idx="14">
                  <c:v>168.02523385790394</c:v>
                </c:pt>
              </c:numCache>
            </c:numRef>
          </c:xVal>
          <c:yVal>
            <c:numRef>
              <c:f>'E3'!$E$26:$E$40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E0A-7540-93DE-26508CC7443D}"/>
            </c:ext>
          </c:extLst>
        </c:ser>
        <c:ser>
          <c:idx val="4"/>
          <c:order val="4"/>
          <c:tx>
            <c:strRef>
              <c:f>'E3'!$M$25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'E3'!$M$26:$M$40</c:f>
              <c:numCache>
                <c:formatCode>General</c:formatCode>
                <c:ptCount val="15"/>
                <c:pt idx="0">
                  <c:v>105.57913847409218</c:v>
                </c:pt>
                <c:pt idx="1">
                  <c:v>105.57913847409218</c:v>
                </c:pt>
                <c:pt idx="2">
                  <c:v>105.57913847409218</c:v>
                </c:pt>
                <c:pt idx="3">
                  <c:v>105.57913847409218</c:v>
                </c:pt>
                <c:pt idx="4">
                  <c:v>105.57913847409218</c:v>
                </c:pt>
                <c:pt idx="5">
                  <c:v>105.57913847409218</c:v>
                </c:pt>
                <c:pt idx="6">
                  <c:v>105.57913847409218</c:v>
                </c:pt>
                <c:pt idx="7">
                  <c:v>105.57913847409218</c:v>
                </c:pt>
                <c:pt idx="8">
                  <c:v>105.57913847409218</c:v>
                </c:pt>
                <c:pt idx="9">
                  <c:v>105.57913847409218</c:v>
                </c:pt>
                <c:pt idx="10">
                  <c:v>105.57913847409218</c:v>
                </c:pt>
                <c:pt idx="11">
                  <c:v>105.57913847409218</c:v>
                </c:pt>
                <c:pt idx="12">
                  <c:v>105.57913847409218</c:v>
                </c:pt>
                <c:pt idx="13">
                  <c:v>105.57913847409218</c:v>
                </c:pt>
                <c:pt idx="14">
                  <c:v>105.57913847409218</c:v>
                </c:pt>
              </c:numCache>
            </c:numRef>
          </c:xVal>
          <c:yVal>
            <c:numRef>
              <c:f>'E3'!$E$26:$E$40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E0A-7540-93DE-26508CC7443D}"/>
            </c:ext>
          </c:extLst>
        </c:ser>
        <c:ser>
          <c:idx val="5"/>
          <c:order val="5"/>
          <c:tx>
            <c:strRef>
              <c:f>'E3'!$N$25</c:f>
              <c:strCache>
                <c:ptCount val="1"/>
                <c:pt idx="0">
                  <c:v>Mediana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'E3'!$N$26:$N$40</c:f>
              <c:numCache>
                <c:formatCode>General</c:formatCode>
                <c:ptCount val="15"/>
                <c:pt idx="0">
                  <c:v>148.17587100243537</c:v>
                </c:pt>
                <c:pt idx="1">
                  <c:v>148.17587100243537</c:v>
                </c:pt>
                <c:pt idx="2">
                  <c:v>148.17587100243537</c:v>
                </c:pt>
                <c:pt idx="3">
                  <c:v>148.17587100243537</c:v>
                </c:pt>
                <c:pt idx="4">
                  <c:v>148.17587100243537</c:v>
                </c:pt>
                <c:pt idx="5">
                  <c:v>148.17587100243537</c:v>
                </c:pt>
                <c:pt idx="6" formatCode="_(* #,##0.00_);_(* \(#,##0.00\);_(* &quot;-&quot;??_);_(@_)">
                  <c:v>148.17587100243537</c:v>
                </c:pt>
                <c:pt idx="7">
                  <c:v>148.17587100243537</c:v>
                </c:pt>
                <c:pt idx="8">
                  <c:v>148.17587100243537</c:v>
                </c:pt>
                <c:pt idx="9">
                  <c:v>148.17587100243537</c:v>
                </c:pt>
                <c:pt idx="10">
                  <c:v>148.17587100243537</c:v>
                </c:pt>
                <c:pt idx="11">
                  <c:v>148.17587100243537</c:v>
                </c:pt>
                <c:pt idx="12">
                  <c:v>148.17587100243537</c:v>
                </c:pt>
                <c:pt idx="13">
                  <c:v>148.17587100243537</c:v>
                </c:pt>
                <c:pt idx="14">
                  <c:v>148.17587100243537</c:v>
                </c:pt>
              </c:numCache>
            </c:numRef>
          </c:xVal>
          <c:yVal>
            <c:numRef>
              <c:f>'E3'!$E$26:$E$40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E0A-7540-93DE-26508CC74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378592"/>
        <c:axId val="1373514032"/>
      </c:scatterChart>
      <c:valAx>
        <c:axId val="5033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73514032"/>
        <c:crosses val="autoZero"/>
        <c:crossBetween val="midCat"/>
      </c:valAx>
      <c:valAx>
        <c:axId val="13735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337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'E3'!$H$25</c:f>
              <c:strCache>
                <c:ptCount val="1"/>
                <c:pt idx="0">
                  <c:v>Frecuencia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'E3'!$H$26:$H$40</c:f>
              <c:numCache>
                <c:formatCode>General</c:formatCode>
                <c:ptCount val="15"/>
                <c:pt idx="0" formatCode="_(* #,##0.00_);_(* \(#,##0.00\);_(* &quot;-&quot;??_);_(@_)">
                  <c:v>1</c:v>
                </c:pt>
                <c:pt idx="1">
                  <c:v>1568</c:v>
                </c:pt>
                <c:pt idx="2">
                  <c:v>4074</c:v>
                </c:pt>
                <c:pt idx="3">
                  <c:v>2534</c:v>
                </c:pt>
                <c:pt idx="4">
                  <c:v>1077</c:v>
                </c:pt>
                <c:pt idx="5">
                  <c:v>429</c:v>
                </c:pt>
                <c:pt idx="6">
                  <c:v>191</c:v>
                </c:pt>
                <c:pt idx="7">
                  <c:v>76</c:v>
                </c:pt>
                <c:pt idx="8">
                  <c:v>22</c:v>
                </c:pt>
                <c:pt idx="9">
                  <c:v>21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B-FD41-A4A4-61F69BD3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968591"/>
        <c:axId val="1690364560"/>
      </c:barChart>
      <c:catAx>
        <c:axId val="126096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0364560"/>
        <c:crosses val="autoZero"/>
        <c:auto val="1"/>
        <c:lblAlgn val="ctr"/>
        <c:lblOffset val="100"/>
        <c:noMultiLvlLbl val="0"/>
      </c:catAx>
      <c:valAx>
        <c:axId val="16903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6096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8C79E8-D323-4444-93BE-6403FD7EB36A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0006FB-0D20-43AF-BB12-0152A72C0019}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3" name="4 Imagen" descr="Resultado de imagen para risk management consulting">
          <a:extLst>
            <a:ext uri="{FF2B5EF4-FFF2-40B4-BE49-F238E27FC236}">
              <a16:creationId xmlns:a16="http://schemas.microsoft.com/office/drawing/2014/main" id="{70ED4809-62B9-4D63-961C-0D8029BB8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6639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7A7938F-73FD-43DD-AF8F-4292692DE8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E1F7D3-986C-4E8F-BD1C-1D5FE27B23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689162</xdr:colOff>
      <xdr:row>42</xdr:row>
      <xdr:rowOff>101972</xdr:rowOff>
    </xdr:from>
    <xdr:to>
      <xdr:col>9</xdr:col>
      <xdr:colOff>224119</xdr:colOff>
      <xdr:row>62</xdr:row>
      <xdr:rowOff>100853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9BA56-5D64-47C5-BFE8-E5598CDF1D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698499</xdr:colOff>
      <xdr:row>45</xdr:row>
      <xdr:rowOff>186267</xdr:rowOff>
    </xdr:from>
    <xdr:to>
      <xdr:col>14</xdr:col>
      <xdr:colOff>880532</xdr:colOff>
      <xdr:row>80</xdr:row>
      <xdr:rowOff>152401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0098BD-BE57-2A4B-9E2F-0C564D6B0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815163</xdr:colOff>
      <xdr:row>8</xdr:row>
      <xdr:rowOff>16540</xdr:rowOff>
    </xdr:from>
    <xdr:to>
      <xdr:col>14</xdr:col>
      <xdr:colOff>723605</xdr:colOff>
      <xdr:row>22</xdr:row>
      <xdr:rowOff>132907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DE91E6-04EE-844B-90B8-A72E883F9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56</xdr:row>
      <xdr:rowOff>28575</xdr:rowOff>
    </xdr:from>
    <xdr:to>
      <xdr:col>2</xdr:col>
      <xdr:colOff>447675</xdr:colOff>
      <xdr:row>56</xdr:row>
      <xdr:rowOff>238125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B3ABC1-5A0A-4827-8E3B-7EED372EB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10429875"/>
          <a:ext cx="1619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285750</xdr:colOff>
      <xdr:row>56</xdr:row>
      <xdr:rowOff>28575</xdr:rowOff>
    </xdr:from>
    <xdr:to>
      <xdr:col>3</xdr:col>
      <xdr:colOff>447675</xdr:colOff>
      <xdr:row>56</xdr:row>
      <xdr:rowOff>238125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D2D67F7-E8CE-43C6-B19D-2151C958A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10429875"/>
          <a:ext cx="1619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285750</xdr:colOff>
      <xdr:row>56</xdr:row>
      <xdr:rowOff>28575</xdr:rowOff>
    </xdr:from>
    <xdr:to>
      <xdr:col>4</xdr:col>
      <xdr:colOff>470297</xdr:colOff>
      <xdr:row>56</xdr:row>
      <xdr:rowOff>267401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84B418A-1E13-4AD8-B57F-FDCCCCEBF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1781" y="11327606"/>
          <a:ext cx="184547" cy="238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285750</xdr:colOff>
      <xdr:row>56</xdr:row>
      <xdr:rowOff>28575</xdr:rowOff>
    </xdr:from>
    <xdr:to>
      <xdr:col>5</xdr:col>
      <xdr:colOff>447675</xdr:colOff>
      <xdr:row>56</xdr:row>
      <xdr:rowOff>247650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3727B4F-25C9-4D9C-9161-BA3BE103E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10429875"/>
          <a:ext cx="1619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285750</xdr:colOff>
      <xdr:row>56</xdr:row>
      <xdr:rowOff>28575</xdr:rowOff>
    </xdr:from>
    <xdr:to>
      <xdr:col>6</xdr:col>
      <xdr:colOff>447675</xdr:colOff>
      <xdr:row>56</xdr:row>
      <xdr:rowOff>238125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F8A1B8F-EED2-481A-BC6C-764587C5F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10429875"/>
          <a:ext cx="1619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285750</xdr:colOff>
      <xdr:row>56</xdr:row>
      <xdr:rowOff>28575</xdr:rowOff>
    </xdr:from>
    <xdr:to>
      <xdr:col>7</xdr:col>
      <xdr:colOff>447675</xdr:colOff>
      <xdr:row>56</xdr:row>
      <xdr:rowOff>238125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0726E81-6F98-4E0A-AF49-D856504FE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0429875"/>
          <a:ext cx="1619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285750</xdr:colOff>
      <xdr:row>56</xdr:row>
      <xdr:rowOff>28575</xdr:rowOff>
    </xdr:from>
    <xdr:to>
      <xdr:col>8</xdr:col>
      <xdr:colOff>447675</xdr:colOff>
      <xdr:row>56</xdr:row>
      <xdr:rowOff>247650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1AEC818-EAE3-4CD1-9977-495979E93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10429875"/>
          <a:ext cx="1619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285750</xdr:colOff>
      <xdr:row>56</xdr:row>
      <xdr:rowOff>28575</xdr:rowOff>
    </xdr:from>
    <xdr:to>
      <xdr:col>9</xdr:col>
      <xdr:colOff>447675</xdr:colOff>
      <xdr:row>56</xdr:row>
      <xdr:rowOff>247650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A9FBB50-AB26-42AF-9DF6-45D0B17C6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0" y="10429875"/>
          <a:ext cx="1619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is.ciencias751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FFDC-339B-429B-B087-E3B7D873D147}">
  <sheetPr codeName="Hoja1">
    <tabColor rgb="FF002060"/>
  </sheetPr>
  <dimension ref="A1:L29"/>
  <sheetViews>
    <sheetView topLeftCell="A7" zoomScale="115" zoomScaleNormal="115" workbookViewId="0">
      <selection activeCell="I23" sqref="I23"/>
    </sheetView>
  </sheetViews>
  <sheetFormatPr baseColWidth="10" defaultColWidth="0" defaultRowHeight="15" customHeight="1" zeroHeight="1" x14ac:dyDescent="0.2"/>
  <cols>
    <col min="1" max="1" width="5.6640625" style="20" customWidth="1"/>
    <col min="2" max="2" width="14.5" style="20" customWidth="1"/>
    <col min="3" max="12" width="11.5" style="20" customWidth="1"/>
    <col min="13" max="13" width="11.5" style="20" hidden="1" customWidth="1"/>
    <col min="14" max="16384" width="11.5" style="20" hidden="1"/>
  </cols>
  <sheetData>
    <row r="1" spans="2:9" s="43" customFormat="1" x14ac:dyDescent="0.2"/>
    <row r="2" spans="2:9" s="43" customFormat="1" x14ac:dyDescent="0.2">
      <c r="B2" s="44"/>
    </row>
    <row r="3" spans="2:9" s="43" customFormat="1" x14ac:dyDescent="0.2"/>
    <row r="4" spans="2:9" x14ac:dyDescent="0.2"/>
    <row r="5" spans="2:9" x14ac:dyDescent="0.2">
      <c r="D5"/>
    </row>
    <row r="6" spans="2:9" ht="26" x14ac:dyDescent="0.3">
      <c r="B6" s="24" t="s">
        <v>41</v>
      </c>
    </row>
    <row r="7" spans="2:9" x14ac:dyDescent="0.2">
      <c r="B7"/>
    </row>
    <row r="8" spans="2:9" s="21" customFormat="1" ht="16" x14ac:dyDescent="0.2">
      <c r="B8" s="21" t="s">
        <v>24</v>
      </c>
      <c r="I8" s="21" t="s">
        <v>24</v>
      </c>
    </row>
    <row r="9" spans="2:9" s="21" customFormat="1" ht="16" x14ac:dyDescent="0.2">
      <c r="B9" s="22" t="s">
        <v>37</v>
      </c>
      <c r="C9" s="21" t="s">
        <v>55</v>
      </c>
    </row>
    <row r="10" spans="2:9" s="21" customFormat="1" ht="16" x14ac:dyDescent="0.2">
      <c r="C10" s="21" t="s">
        <v>24</v>
      </c>
    </row>
    <row r="11" spans="2:9" s="21" customFormat="1" ht="16" x14ac:dyDescent="0.2">
      <c r="B11" s="22" t="s">
        <v>38</v>
      </c>
      <c r="C11" s="21" t="s">
        <v>56</v>
      </c>
    </row>
    <row r="12" spans="2:9" s="21" customFormat="1" ht="16" x14ac:dyDescent="0.2">
      <c r="C12" s="21" t="s">
        <v>57</v>
      </c>
    </row>
    <row r="13" spans="2:9" s="21" customFormat="1" ht="16" x14ac:dyDescent="0.2"/>
    <row r="14" spans="2:9" s="21" customFormat="1" ht="16" x14ac:dyDescent="0.2">
      <c r="B14" s="22" t="s">
        <v>39</v>
      </c>
      <c r="C14" s="21" t="s">
        <v>40</v>
      </c>
    </row>
    <row r="15" spans="2:9" s="21" customFormat="1" ht="16" x14ac:dyDescent="0.2">
      <c r="C15" s="23" t="s">
        <v>67</v>
      </c>
    </row>
    <row r="16" spans="2:9" s="21" customFormat="1" ht="16" x14ac:dyDescent="0.2"/>
    <row r="17" s="21" customFormat="1" ht="16" x14ac:dyDescent="0.2"/>
    <row r="18" s="21" customFormat="1" ht="16" x14ac:dyDescent="0.2"/>
    <row r="19" s="21" customFormat="1" ht="16" x14ac:dyDescent="0.2"/>
    <row r="20" s="21" customFormat="1" ht="16" x14ac:dyDescent="0.2"/>
    <row r="21" s="21" customFormat="1" ht="16" x14ac:dyDescent="0.2"/>
    <row r="22" s="21" customFormat="1" ht="16" x14ac:dyDescent="0.2"/>
    <row r="23" s="21" customFormat="1" ht="16" x14ac:dyDescent="0.2"/>
    <row r="24" s="21" customFormat="1" ht="16" x14ac:dyDescent="0.2"/>
    <row r="25" s="21" customFormat="1" ht="16" x14ac:dyDescent="0.2"/>
    <row r="26" s="21" customFormat="1" ht="16" hidden="1" x14ac:dyDescent="0.2"/>
    <row r="27" s="21" customFormat="1" ht="16" hidden="1" x14ac:dyDescent="0.2"/>
    <row r="28" s="21" customFormat="1" ht="16" hidden="1" x14ac:dyDescent="0.2"/>
    <row r="29" s="21" customFormat="1" ht="16" hidden="1" x14ac:dyDescent="0.2"/>
  </sheetData>
  <hyperlinks>
    <hyperlink ref="C15" r:id="rId1" xr:uid="{E1F92915-3566-4D39-882C-214E745115B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2B4F-4D86-407B-AA69-7A3E8B0D478C}">
  <sheetPr codeName="Hoja2"/>
  <dimension ref="B2:AF108"/>
  <sheetViews>
    <sheetView zoomScale="110" zoomScaleNormal="110" workbookViewId="0">
      <selection activeCell="AF9" sqref="AF9"/>
    </sheetView>
  </sheetViews>
  <sheetFormatPr baseColWidth="10" defaultColWidth="11.5" defaultRowHeight="15" x14ac:dyDescent="0.2"/>
  <cols>
    <col min="1" max="1" width="3.6640625" style="1" customWidth="1"/>
    <col min="2" max="2" width="15.5" style="1" customWidth="1"/>
    <col min="3" max="3" width="11.83203125" style="1" bestFit="1" customWidth="1"/>
    <col min="4" max="16384" width="11.5" style="1"/>
  </cols>
  <sheetData>
    <row r="2" spans="2:32" ht="19" x14ac:dyDescent="0.25">
      <c r="B2" s="50" t="s">
        <v>59</v>
      </c>
    </row>
    <row r="4" spans="2:32" x14ac:dyDescent="0.2">
      <c r="B4" s="49" t="s">
        <v>60</v>
      </c>
      <c r="H4" s="49" t="s">
        <v>25</v>
      </c>
      <c r="N4" s="49" t="s">
        <v>27</v>
      </c>
      <c r="T4" s="49" t="s">
        <v>29</v>
      </c>
      <c r="AA4" s="49" t="s">
        <v>60</v>
      </c>
      <c r="AB4" s="1" t="s">
        <v>61</v>
      </c>
    </row>
    <row r="5" spans="2:32" x14ac:dyDescent="0.2">
      <c r="B5" s="48" t="s">
        <v>63</v>
      </c>
      <c r="C5" s="48">
        <v>0.5</v>
      </c>
      <c r="H5" s="48" t="s">
        <v>63</v>
      </c>
      <c r="I5" s="48">
        <v>2</v>
      </c>
      <c r="N5" s="48" t="s">
        <v>63</v>
      </c>
      <c r="O5" s="48">
        <v>2</v>
      </c>
      <c r="T5" s="48" t="s">
        <v>63</v>
      </c>
      <c r="U5" s="48">
        <v>2</v>
      </c>
      <c r="AA5" s="49" t="s">
        <v>29</v>
      </c>
      <c r="AB5" s="1" t="s">
        <v>69</v>
      </c>
    </row>
    <row r="6" spans="2:32" x14ac:dyDescent="0.2">
      <c r="B6" s="1" t="s">
        <v>63</v>
      </c>
      <c r="H6" s="1" t="s">
        <v>63</v>
      </c>
      <c r="I6" s="1">
        <v>3</v>
      </c>
      <c r="N6" s="1" t="s">
        <v>63</v>
      </c>
      <c r="O6" s="1">
        <v>3</v>
      </c>
      <c r="T6" s="1" t="s">
        <v>63</v>
      </c>
      <c r="U6" s="1">
        <v>3</v>
      </c>
    </row>
    <row r="7" spans="2:32" x14ac:dyDescent="0.2">
      <c r="AA7" s="1" t="s">
        <v>68</v>
      </c>
    </row>
    <row r="8" spans="2:32" x14ac:dyDescent="0.2">
      <c r="B8" s="47" t="s">
        <v>61</v>
      </c>
      <c r="C8" s="47" t="s">
        <v>9</v>
      </c>
      <c r="D8" s="47" t="s">
        <v>10</v>
      </c>
      <c r="E8" s="47" t="s">
        <v>11</v>
      </c>
      <c r="F8" s="47" t="s">
        <v>62</v>
      </c>
      <c r="H8" s="47" t="s">
        <v>61</v>
      </c>
      <c r="I8" s="47" t="s">
        <v>9</v>
      </c>
      <c r="J8" s="47" t="s">
        <v>10</v>
      </c>
      <c r="K8" s="47" t="s">
        <v>11</v>
      </c>
      <c r="L8" s="47" t="s">
        <v>62</v>
      </c>
      <c r="N8" s="47" t="s">
        <v>61</v>
      </c>
      <c r="O8" s="47" t="s">
        <v>9</v>
      </c>
      <c r="P8" s="47" t="s">
        <v>10</v>
      </c>
      <c r="Q8" s="47" t="s">
        <v>11</v>
      </c>
      <c r="R8" s="47" t="s">
        <v>62</v>
      </c>
      <c r="T8" s="47" t="s">
        <v>61</v>
      </c>
      <c r="U8" s="47" t="s">
        <v>9</v>
      </c>
      <c r="V8" s="47" t="s">
        <v>10</v>
      </c>
      <c r="W8" s="47" t="s">
        <v>11</v>
      </c>
      <c r="X8" s="47" t="s">
        <v>62</v>
      </c>
      <c r="Z8" s="47" t="s">
        <v>61</v>
      </c>
      <c r="AA8" s="47" t="s">
        <v>64</v>
      </c>
      <c r="AB8" s="47" t="s">
        <v>65</v>
      </c>
      <c r="AD8" s="47" t="s">
        <v>61</v>
      </c>
      <c r="AE8" s="47" t="s">
        <v>62</v>
      </c>
      <c r="AF8" s="47" t="s">
        <v>66</v>
      </c>
    </row>
    <row r="9" spans="2:32" x14ac:dyDescent="0.2">
      <c r="B9" s="1">
        <v>1</v>
      </c>
      <c r="C9" s="1">
        <f>+EXPONDIST(B9,$C$5,FALSE)</f>
        <v>0.30326532985631671</v>
      </c>
      <c r="D9" s="1">
        <f>+EXPONDIST(B9,$C$5,TRUE)</f>
        <v>0.39346934028736658</v>
      </c>
      <c r="E9" s="1">
        <f>1-D9</f>
        <v>0.60653065971263342</v>
      </c>
      <c r="F9" s="1">
        <f>IFERROR(C9/E9,"")</f>
        <v>0.5</v>
      </c>
      <c r="H9" s="1">
        <v>1</v>
      </c>
      <c r="I9" s="1">
        <f>+GAMMADIST(H9,$I$5,$I$6,FALSE)</f>
        <v>7.9614590063754348E-2</v>
      </c>
      <c r="J9" s="1">
        <f>+GAMMADIST(H9,$I$5,$I$6,TRUE)</f>
        <v>4.4624919234947658E-2</v>
      </c>
      <c r="K9" s="1">
        <f>1-J9</f>
        <v>0.95537508076505229</v>
      </c>
      <c r="L9" s="1">
        <f>I9/K9</f>
        <v>8.3333333333333329E-2</v>
      </c>
      <c r="N9" s="1">
        <v>1</v>
      </c>
      <c r="O9" s="1">
        <f>+_xlfn.WEIBULL.DIST(N9,$O$5,$O$6,FALSE)</f>
        <v>0.19885318151430437</v>
      </c>
      <c r="P9" s="1">
        <f>+_xlfn.WEIBULL.DIST(N9,$O$5,$O$6,TRUE)</f>
        <v>0.1051606831856302</v>
      </c>
      <c r="Q9" s="1">
        <f>1-P9</f>
        <v>0.89483931681436979</v>
      </c>
      <c r="R9" s="1">
        <f>O9/Q9</f>
        <v>0.22222222222222218</v>
      </c>
      <c r="T9" s="1">
        <v>1</v>
      </c>
      <c r="U9" s="1">
        <f>+_xlfn.LOGNORM.DIST(T9,$U$5,$U$6,FALSE)</f>
        <v>0.10648266850745078</v>
      </c>
      <c r="V9" s="1">
        <f>+_xlfn.LOGNORM.DIST(T9,$U$5,$U$6,TRUE)</f>
        <v>0.25249253754692291</v>
      </c>
      <c r="W9" s="1">
        <f>1-V9</f>
        <v>0.74750746245307709</v>
      </c>
      <c r="X9" s="1">
        <f>U9/W9</f>
        <v>0.1424503083327211</v>
      </c>
      <c r="Z9" s="1">
        <v>1</v>
      </c>
      <c r="AA9" s="1">
        <f>+E9/W9</f>
        <v>0.81140415337419702</v>
      </c>
      <c r="AB9" s="1">
        <f>C9/U9</f>
        <v>2.8480252618302546</v>
      </c>
      <c r="AD9" s="1">
        <v>1</v>
      </c>
      <c r="AE9" s="1">
        <f>+F9</f>
        <v>0.5</v>
      </c>
      <c r="AF9" s="1">
        <f>+X9</f>
        <v>0.1424503083327211</v>
      </c>
    </row>
    <row r="10" spans="2:32" x14ac:dyDescent="0.2">
      <c r="B10" s="1">
        <v>2</v>
      </c>
      <c r="C10" s="1">
        <f t="shared" ref="C10:C73" si="0">+EXPONDIST(B10,$C$5,FALSE)</f>
        <v>0.18393972058572117</v>
      </c>
      <c r="D10" s="1">
        <f t="shared" ref="D10:D73" si="1">+EXPONDIST(B10,$C$5,TRUE)</f>
        <v>0.63212055882855767</v>
      </c>
      <c r="E10" s="1">
        <f t="shared" ref="E10:E73" si="2">1-D10</f>
        <v>0.36787944117144233</v>
      </c>
      <c r="F10" s="1">
        <f>+C10/E10</f>
        <v>0.5</v>
      </c>
      <c r="H10" s="1">
        <v>2</v>
      </c>
      <c r="I10" s="1">
        <f t="shared" ref="I10:I73" si="3">+GAMMADIST(H10,$I$5,$I$6,FALSE)</f>
        <v>0.11409269311835377</v>
      </c>
      <c r="J10" s="1">
        <f t="shared" ref="J10:J73" si="4">+GAMMADIST(H10,$I$5,$I$6,TRUE)</f>
        <v>0.14430480161234657</v>
      </c>
      <c r="K10" s="1">
        <f t="shared" ref="K10:K73" si="5">1-J10</f>
        <v>0.8556951983876534</v>
      </c>
      <c r="L10" s="1">
        <f t="shared" ref="L10:L73" si="6">I10/K10</f>
        <v>0.1333333333333333</v>
      </c>
      <c r="N10" s="1">
        <v>2</v>
      </c>
      <c r="O10" s="1">
        <f t="shared" ref="O10:O73" si="7">+_xlfn.WEIBULL.DIST(N10,$O$5,$O$6,FALSE)</f>
        <v>0.28496906152442425</v>
      </c>
      <c r="P10" s="1">
        <f t="shared" ref="P10:P73" si="8">+_xlfn.WEIBULL.DIST(N10,$O$5,$O$6,TRUE)</f>
        <v>0.35881961157004544</v>
      </c>
      <c r="Q10" s="1">
        <f t="shared" ref="Q10:Q73" si="9">1-P10</f>
        <v>0.64118038842995451</v>
      </c>
      <c r="R10" s="1">
        <f t="shared" ref="R10:R73" si="10">O10/Q10</f>
        <v>0.44444444444444448</v>
      </c>
      <c r="T10" s="1">
        <v>2</v>
      </c>
      <c r="U10" s="1">
        <f>+_xlfn.LOGNORM.DIST(T10,$U$5,$U$6,FALSE)</f>
        <v>6.047172660802691E-2</v>
      </c>
      <c r="V10" s="1">
        <f t="shared" ref="V10:V73" si="11">+_xlfn.LOGNORM.DIST(T10,$U$5,$U$6,TRUE)</f>
        <v>0.3315570972051694</v>
      </c>
      <c r="W10" s="1">
        <f t="shared" ref="W10:W73" si="12">1-V10</f>
        <v>0.66844290279483065</v>
      </c>
      <c r="X10" s="1">
        <f t="shared" ref="X10:X73" si="13">U10/W10</f>
        <v>9.0466554967055843E-2</v>
      </c>
      <c r="Z10" s="1">
        <v>2</v>
      </c>
      <c r="AA10" s="1">
        <f t="shared" ref="AA10:AA73" si="14">+E10/W10</f>
        <v>0.55035282689560971</v>
      </c>
      <c r="AB10" s="1">
        <f t="shared" ref="AB10:AB73" si="15">C10/U10</f>
        <v>3.041747456261739</v>
      </c>
      <c r="AD10" s="1">
        <v>2</v>
      </c>
      <c r="AE10" s="1">
        <f>+F10</f>
        <v>0.5</v>
      </c>
      <c r="AF10" s="1">
        <f>+X10</f>
        <v>9.0466554967055843E-2</v>
      </c>
    </row>
    <row r="11" spans="2:32" x14ac:dyDescent="0.2">
      <c r="B11" s="1">
        <v>3</v>
      </c>
      <c r="C11" s="1">
        <f t="shared" si="0"/>
        <v>0.11156508007421491</v>
      </c>
      <c r="D11" s="1">
        <f t="shared" si="1"/>
        <v>0.77686983985157021</v>
      </c>
      <c r="E11" s="1">
        <f t="shared" si="2"/>
        <v>0.22313016014842979</v>
      </c>
      <c r="F11" s="1">
        <f t="shared" ref="F11:F73" si="16">+C11/E11</f>
        <v>0.50000000000000011</v>
      </c>
      <c r="H11" s="1">
        <v>3</v>
      </c>
      <c r="I11" s="1">
        <f t="shared" si="3"/>
        <v>0.12262648039048075</v>
      </c>
      <c r="J11" s="1">
        <f t="shared" si="4"/>
        <v>0.26424111765711522</v>
      </c>
      <c r="K11" s="1">
        <f t="shared" si="5"/>
        <v>0.73575888234288478</v>
      </c>
      <c r="L11" s="1">
        <f t="shared" si="6"/>
        <v>0.1666666666666666</v>
      </c>
      <c r="N11" s="1">
        <v>3</v>
      </c>
      <c r="O11" s="1">
        <f t="shared" si="7"/>
        <v>0.24525296078096154</v>
      </c>
      <c r="P11" s="1">
        <f t="shared" si="8"/>
        <v>0.63212055882855767</v>
      </c>
      <c r="Q11" s="1">
        <f t="shared" si="9"/>
        <v>0.36787944117144233</v>
      </c>
      <c r="R11" s="1">
        <f t="shared" si="10"/>
        <v>0.66666666666666663</v>
      </c>
      <c r="T11" s="1">
        <v>3</v>
      </c>
      <c r="U11" s="1">
        <f t="shared" ref="U11:U74" si="17">+_xlfn.LOGNORM.DIST(T11,$U$5,$U$6,FALSE)</f>
        <v>4.2370539190656746E-2</v>
      </c>
      <c r="V11" s="1">
        <f t="shared" si="11"/>
        <v>0.38191217132656574</v>
      </c>
      <c r="W11" s="1">
        <f t="shared" si="12"/>
        <v>0.61808782867343426</v>
      </c>
      <c r="X11" s="1">
        <f t="shared" si="13"/>
        <v>6.8551000723625563E-2</v>
      </c>
      <c r="Z11" s="1">
        <v>3</v>
      </c>
      <c r="AA11" s="1">
        <f t="shared" si="14"/>
        <v>0.36100073451910708</v>
      </c>
      <c r="AB11" s="1">
        <f t="shared" si="15"/>
        <v>2.6330814335923405</v>
      </c>
      <c r="AD11" s="1">
        <v>3</v>
      </c>
      <c r="AE11" s="1">
        <f t="shared" ref="AE11:AE74" si="18">+F11</f>
        <v>0.50000000000000011</v>
      </c>
      <c r="AF11" s="1">
        <f t="shared" ref="AF11:AF74" si="19">+X11</f>
        <v>6.8551000723625563E-2</v>
      </c>
    </row>
    <row r="12" spans="2:32" x14ac:dyDescent="0.2">
      <c r="B12" s="1">
        <v>4</v>
      </c>
      <c r="C12" s="1">
        <f t="shared" si="0"/>
        <v>6.7667641618306351E-2</v>
      </c>
      <c r="D12" s="1">
        <f t="shared" si="1"/>
        <v>0.8646647167633873</v>
      </c>
      <c r="E12" s="1">
        <f t="shared" si="2"/>
        <v>0.1353352832366127</v>
      </c>
      <c r="F12" s="1">
        <f t="shared" si="16"/>
        <v>0.5</v>
      </c>
      <c r="H12" s="1">
        <v>4</v>
      </c>
      <c r="I12" s="1">
        <f t="shared" si="3"/>
        <v>0.11715428360698969</v>
      </c>
      <c r="J12" s="1">
        <f t="shared" si="4"/>
        <v>0.38494001106330422</v>
      </c>
      <c r="K12" s="1">
        <f t="shared" si="5"/>
        <v>0.61505998893669578</v>
      </c>
      <c r="L12" s="1">
        <f t="shared" si="6"/>
        <v>0.19047619047619052</v>
      </c>
      <c r="N12" s="1">
        <v>4</v>
      </c>
      <c r="O12" s="1">
        <f t="shared" si="7"/>
        <v>0.15023405813872542</v>
      </c>
      <c r="P12" s="1">
        <f t="shared" si="8"/>
        <v>0.83098668459393388</v>
      </c>
      <c r="Q12" s="1">
        <f t="shared" si="9"/>
        <v>0.16901331540606612</v>
      </c>
      <c r="R12" s="1">
        <f t="shared" si="10"/>
        <v>0.88888888888888873</v>
      </c>
      <c r="T12" s="1">
        <v>4</v>
      </c>
      <c r="U12" s="1">
        <f t="shared" si="17"/>
        <v>3.2556790060961287E-2</v>
      </c>
      <c r="V12" s="1">
        <f t="shared" si="11"/>
        <v>0.41895461604176248</v>
      </c>
      <c r="W12" s="1">
        <f t="shared" si="12"/>
        <v>0.58104538395823746</v>
      </c>
      <c r="X12" s="1">
        <f t="shared" si="13"/>
        <v>5.603140642676769E-2</v>
      </c>
      <c r="Z12" s="1">
        <v>4</v>
      </c>
      <c r="AA12" s="1">
        <f t="shared" si="14"/>
        <v>0.23291688906410776</v>
      </c>
      <c r="AB12" s="1">
        <f t="shared" si="15"/>
        <v>2.0784494261136124</v>
      </c>
      <c r="AD12" s="1">
        <v>4</v>
      </c>
      <c r="AE12" s="1">
        <f t="shared" si="18"/>
        <v>0.5</v>
      </c>
      <c r="AF12" s="1">
        <f t="shared" si="19"/>
        <v>5.603140642676769E-2</v>
      </c>
    </row>
    <row r="13" spans="2:32" x14ac:dyDescent="0.2">
      <c r="B13" s="1">
        <v>5</v>
      </c>
      <c r="C13" s="1">
        <f t="shared" si="0"/>
        <v>4.10424993119494E-2</v>
      </c>
      <c r="D13" s="1">
        <f t="shared" si="1"/>
        <v>0.91791500137610116</v>
      </c>
      <c r="E13" s="1">
        <f t="shared" si="2"/>
        <v>8.2084998623898842E-2</v>
      </c>
      <c r="F13" s="1">
        <f t="shared" si="16"/>
        <v>0.49999999999999972</v>
      </c>
      <c r="H13" s="1">
        <v>5</v>
      </c>
      <c r="I13" s="1">
        <f t="shared" si="3"/>
        <v>0.10493089046531218</v>
      </c>
      <c r="J13" s="1">
        <f t="shared" si="4"/>
        <v>0.49633172576650192</v>
      </c>
      <c r="K13" s="1">
        <f t="shared" si="5"/>
        <v>0.50366827423349814</v>
      </c>
      <c r="L13" s="1">
        <f t="shared" si="6"/>
        <v>0.20833333333333345</v>
      </c>
      <c r="N13" s="1">
        <v>5</v>
      </c>
      <c r="O13" s="1">
        <f t="shared" si="7"/>
        <v>6.9085026691240295E-2</v>
      </c>
      <c r="P13" s="1">
        <f t="shared" si="8"/>
        <v>0.93782347597788374</v>
      </c>
      <c r="Q13" s="1">
        <f t="shared" si="9"/>
        <v>6.2176524022116264E-2</v>
      </c>
      <c r="R13" s="1">
        <f t="shared" si="10"/>
        <v>1.1111111111111112</v>
      </c>
      <c r="T13" s="1">
        <v>5</v>
      </c>
      <c r="U13" s="1">
        <f t="shared" si="17"/>
        <v>2.6371718579138032E-2</v>
      </c>
      <c r="V13" s="1">
        <f t="shared" si="11"/>
        <v>0.44820909636641315</v>
      </c>
      <c r="W13" s="1">
        <f t="shared" si="12"/>
        <v>0.55179090363358685</v>
      </c>
      <c r="X13" s="1">
        <f t="shared" si="13"/>
        <v>4.7792956363503232E-2</v>
      </c>
      <c r="Z13" s="1">
        <v>5</v>
      </c>
      <c r="AA13" s="1">
        <f t="shared" si="14"/>
        <v>0.14876105800831912</v>
      </c>
      <c r="AB13" s="1">
        <f t="shared" si="15"/>
        <v>1.5563073445056794</v>
      </c>
      <c r="AD13" s="1">
        <v>5</v>
      </c>
      <c r="AE13" s="1">
        <f t="shared" si="18"/>
        <v>0.49999999999999972</v>
      </c>
      <c r="AF13" s="1">
        <f t="shared" si="19"/>
        <v>4.7792956363503232E-2</v>
      </c>
    </row>
    <row r="14" spans="2:32" x14ac:dyDescent="0.2">
      <c r="B14" s="1">
        <v>6</v>
      </c>
      <c r="C14" s="1">
        <f t="shared" si="0"/>
        <v>2.4893534183931972E-2</v>
      </c>
      <c r="D14" s="1">
        <f t="shared" si="1"/>
        <v>0.95021293163213605</v>
      </c>
      <c r="E14" s="1">
        <f t="shared" si="2"/>
        <v>4.9787068367863951E-2</v>
      </c>
      <c r="F14" s="1">
        <f t="shared" si="16"/>
        <v>0.49999999999999994</v>
      </c>
      <c r="H14" s="1">
        <v>6</v>
      </c>
      <c r="I14" s="1">
        <f t="shared" si="3"/>
        <v>9.022352215774182E-2</v>
      </c>
      <c r="J14" s="1">
        <f t="shared" si="4"/>
        <v>0.59399415029016189</v>
      </c>
      <c r="K14" s="1">
        <f t="shared" si="5"/>
        <v>0.40600584970983811</v>
      </c>
      <c r="L14" s="1">
        <f t="shared" si="6"/>
        <v>0.22222222222222227</v>
      </c>
      <c r="N14" s="1">
        <v>6</v>
      </c>
      <c r="O14" s="1">
        <f t="shared" si="7"/>
        <v>2.4420851851645567E-2</v>
      </c>
      <c r="P14" s="1">
        <f t="shared" si="8"/>
        <v>0.98168436111126578</v>
      </c>
      <c r="Q14" s="1">
        <f t="shared" si="9"/>
        <v>1.831563888873422E-2</v>
      </c>
      <c r="R14" s="1">
        <f t="shared" si="10"/>
        <v>1.3333333333333302</v>
      </c>
      <c r="T14" s="1">
        <v>6</v>
      </c>
      <c r="U14" s="1">
        <f t="shared" si="17"/>
        <v>2.2110129903459692E-2</v>
      </c>
      <c r="V14" s="1">
        <f t="shared" si="11"/>
        <v>0.4723302376141742</v>
      </c>
      <c r="W14" s="1">
        <f t="shared" si="12"/>
        <v>0.52766976238582575</v>
      </c>
      <c r="X14" s="1">
        <f t="shared" si="13"/>
        <v>4.1901453294367536E-2</v>
      </c>
      <c r="Z14" s="1">
        <v>6</v>
      </c>
      <c r="AA14" s="1">
        <f t="shared" si="14"/>
        <v>9.4352702991270229E-2</v>
      </c>
      <c r="AB14" s="1">
        <f t="shared" si="15"/>
        <v>1.1258881920922927</v>
      </c>
      <c r="AD14" s="1">
        <v>6</v>
      </c>
      <c r="AE14" s="1">
        <f t="shared" si="18"/>
        <v>0.49999999999999994</v>
      </c>
      <c r="AF14" s="1">
        <f t="shared" si="19"/>
        <v>4.1901453294367536E-2</v>
      </c>
    </row>
    <row r="15" spans="2:32" x14ac:dyDescent="0.2">
      <c r="B15" s="1">
        <v>7</v>
      </c>
      <c r="C15" s="1">
        <f t="shared" si="0"/>
        <v>1.509869171115925E-2</v>
      </c>
      <c r="D15" s="1">
        <f t="shared" si="1"/>
        <v>0.96980261657768152</v>
      </c>
      <c r="E15" s="1">
        <f t="shared" si="2"/>
        <v>3.019738342231848E-2</v>
      </c>
      <c r="F15" s="1">
        <f t="shared" si="16"/>
        <v>0.50000000000000033</v>
      </c>
      <c r="H15" s="1">
        <v>7</v>
      </c>
      <c r="I15" s="1">
        <f t="shared" si="3"/>
        <v>7.5422641672315063E-2</v>
      </c>
      <c r="J15" s="1">
        <f t="shared" si="4"/>
        <v>0.67676010711864976</v>
      </c>
      <c r="K15" s="1">
        <f t="shared" si="5"/>
        <v>0.32323989288135024</v>
      </c>
      <c r="L15" s="1">
        <f t="shared" si="6"/>
        <v>0.23333333333333336</v>
      </c>
      <c r="N15" s="1">
        <v>7</v>
      </c>
      <c r="O15" s="1">
        <f t="shared" si="7"/>
        <v>6.7203725152574344E-3</v>
      </c>
      <c r="P15" s="1">
        <f t="shared" si="8"/>
        <v>0.9956797605259059</v>
      </c>
      <c r="Q15" s="1">
        <f t="shared" si="9"/>
        <v>4.3202394740941008E-3</v>
      </c>
      <c r="R15" s="1">
        <f t="shared" si="10"/>
        <v>1.5555555555555427</v>
      </c>
      <c r="T15" s="1">
        <v>7</v>
      </c>
      <c r="U15" s="1">
        <f t="shared" si="17"/>
        <v>1.899416389383796E-2</v>
      </c>
      <c r="V15" s="1">
        <f t="shared" si="11"/>
        <v>0.49280748019761622</v>
      </c>
      <c r="W15" s="1">
        <f t="shared" si="12"/>
        <v>0.50719251980238378</v>
      </c>
      <c r="X15" s="1">
        <f t="shared" si="13"/>
        <v>3.7449613612674355E-2</v>
      </c>
      <c r="Z15" s="1">
        <v>7</v>
      </c>
      <c r="AA15" s="1">
        <f t="shared" si="14"/>
        <v>5.9538305955466803E-2</v>
      </c>
      <c r="AB15" s="1">
        <f t="shared" si="15"/>
        <v>0.79491215278275718</v>
      </c>
      <c r="AD15" s="1">
        <v>7</v>
      </c>
      <c r="AE15" s="1">
        <f t="shared" si="18"/>
        <v>0.50000000000000033</v>
      </c>
      <c r="AF15" s="1">
        <f t="shared" si="19"/>
        <v>3.7449613612674355E-2</v>
      </c>
    </row>
    <row r="16" spans="2:32" x14ac:dyDescent="0.2">
      <c r="B16" s="1">
        <v>8</v>
      </c>
      <c r="C16" s="1">
        <f t="shared" si="0"/>
        <v>9.1578194443670893E-3</v>
      </c>
      <c r="D16" s="1">
        <f t="shared" si="1"/>
        <v>0.98168436111126578</v>
      </c>
      <c r="E16" s="1">
        <f t="shared" si="2"/>
        <v>1.831563888873422E-2</v>
      </c>
      <c r="F16" s="1">
        <f t="shared" si="16"/>
        <v>0.49999999999999889</v>
      </c>
      <c r="H16" s="1">
        <v>8</v>
      </c>
      <c r="I16" s="1">
        <f t="shared" si="3"/>
        <v>6.1763067753601381E-2</v>
      </c>
      <c r="J16" s="1">
        <f t="shared" si="4"/>
        <v>0.74522734551639436</v>
      </c>
      <c r="K16" s="1">
        <f t="shared" si="5"/>
        <v>0.25477265448360564</v>
      </c>
      <c r="L16" s="1">
        <f t="shared" si="6"/>
        <v>0.24242424242424249</v>
      </c>
      <c r="N16" s="1">
        <v>8</v>
      </c>
      <c r="O16" s="1">
        <f t="shared" si="7"/>
        <v>1.4506450401282629E-3</v>
      </c>
      <c r="P16" s="1">
        <f t="shared" si="8"/>
        <v>0.9991840121649278</v>
      </c>
      <c r="Q16" s="1">
        <f t="shared" si="9"/>
        <v>8.1598783507219608E-4</v>
      </c>
      <c r="R16" s="1">
        <f t="shared" si="10"/>
        <v>1.7777777777776727</v>
      </c>
      <c r="T16" s="1">
        <v>8</v>
      </c>
      <c r="U16" s="1">
        <f t="shared" si="17"/>
        <v>1.6616768010060859E-2</v>
      </c>
      <c r="V16" s="1">
        <f t="shared" si="11"/>
        <v>0.51056296209517849</v>
      </c>
      <c r="W16" s="1">
        <f t="shared" si="12"/>
        <v>0.48943703790482151</v>
      </c>
      <c r="X16" s="1">
        <f t="shared" si="13"/>
        <v>3.3950777573339766E-2</v>
      </c>
      <c r="Z16" s="1">
        <v>8</v>
      </c>
      <c r="AA16" s="1">
        <f t="shared" si="14"/>
        <v>3.7421848920832952E-2</v>
      </c>
      <c r="AB16" s="1">
        <f t="shared" si="15"/>
        <v>0.55111917304390101</v>
      </c>
      <c r="AD16" s="1">
        <v>8</v>
      </c>
      <c r="AE16" s="1">
        <f t="shared" si="18"/>
        <v>0.49999999999999889</v>
      </c>
      <c r="AF16" s="1">
        <f t="shared" si="19"/>
        <v>3.3950777573339766E-2</v>
      </c>
    </row>
    <row r="17" spans="2:32" x14ac:dyDescent="0.2">
      <c r="B17" s="1">
        <v>9</v>
      </c>
      <c r="C17" s="1">
        <f t="shared" si="0"/>
        <v>5.554498269121153E-3</v>
      </c>
      <c r="D17" s="1">
        <f t="shared" si="1"/>
        <v>0.98889100346175773</v>
      </c>
      <c r="E17" s="1">
        <f t="shared" si="2"/>
        <v>1.1108996538242266E-2</v>
      </c>
      <c r="F17" s="1">
        <f t="shared" si="16"/>
        <v>0.50000000000000178</v>
      </c>
      <c r="H17" s="1">
        <v>9</v>
      </c>
      <c r="I17" s="1">
        <f t="shared" si="3"/>
        <v>4.9787068367863944E-2</v>
      </c>
      <c r="J17" s="1">
        <f t="shared" si="4"/>
        <v>0.80085172652854419</v>
      </c>
      <c r="K17" s="1">
        <f t="shared" si="5"/>
        <v>0.19914827347145581</v>
      </c>
      <c r="L17" s="1">
        <f t="shared" si="6"/>
        <v>0.24999999999999997</v>
      </c>
      <c r="N17" s="1">
        <v>9</v>
      </c>
      <c r="O17" s="1">
        <f t="shared" si="7"/>
        <v>2.4681960817335863E-4</v>
      </c>
      <c r="P17" s="1">
        <f t="shared" si="8"/>
        <v>0.99987659019591335</v>
      </c>
      <c r="Q17" s="1">
        <f t="shared" si="9"/>
        <v>1.2340980408664937E-4</v>
      </c>
      <c r="R17" s="1">
        <f t="shared" si="10"/>
        <v>2.0000000000004854</v>
      </c>
      <c r="T17" s="1">
        <v>9</v>
      </c>
      <c r="U17" s="1">
        <f t="shared" si="17"/>
        <v>1.4743744714269685E-2</v>
      </c>
      <c r="V17" s="1">
        <f t="shared" si="11"/>
        <v>0.52620819444306977</v>
      </c>
      <c r="W17" s="1">
        <f t="shared" si="12"/>
        <v>0.47379180555693023</v>
      </c>
      <c r="X17" s="1">
        <f t="shared" si="13"/>
        <v>3.1118614845900061E-2</v>
      </c>
      <c r="Z17" s="1">
        <v>9</v>
      </c>
      <c r="AA17" s="1">
        <f t="shared" si="14"/>
        <v>2.3447000154812561E-2</v>
      </c>
      <c r="AB17" s="1">
        <f t="shared" si="15"/>
        <v>0.37673592270932704</v>
      </c>
      <c r="AD17" s="1">
        <v>9</v>
      </c>
      <c r="AE17" s="1">
        <f t="shared" si="18"/>
        <v>0.50000000000000178</v>
      </c>
      <c r="AF17" s="1">
        <f t="shared" si="19"/>
        <v>3.1118614845900061E-2</v>
      </c>
    </row>
    <row r="18" spans="2:32" x14ac:dyDescent="0.2">
      <c r="B18" s="1">
        <v>10</v>
      </c>
      <c r="C18" s="1">
        <f t="shared" si="0"/>
        <v>3.3689734995427335E-3</v>
      </c>
      <c r="D18" s="1">
        <f t="shared" si="1"/>
        <v>0.99326205300091452</v>
      </c>
      <c r="E18" s="1">
        <f t="shared" si="2"/>
        <v>6.7379469990854757E-3</v>
      </c>
      <c r="F18" s="1">
        <f t="shared" si="16"/>
        <v>0.49999999999999933</v>
      </c>
      <c r="H18" s="1">
        <v>10</v>
      </c>
      <c r="I18" s="1">
        <f t="shared" si="3"/>
        <v>3.9637770385836005E-2</v>
      </c>
      <c r="J18" s="1">
        <f t="shared" si="4"/>
        <v>0.84541269549523956</v>
      </c>
      <c r="K18" s="1">
        <f t="shared" si="5"/>
        <v>0.15458730450476044</v>
      </c>
      <c r="L18" s="1">
        <f t="shared" si="6"/>
        <v>0.25641025641025639</v>
      </c>
      <c r="N18" s="1">
        <v>10</v>
      </c>
      <c r="O18" s="1">
        <f t="shared" si="7"/>
        <v>3.3211863388403107E-5</v>
      </c>
      <c r="P18" s="1">
        <f t="shared" si="8"/>
        <v>0.99998505466147525</v>
      </c>
      <c r="Q18" s="1">
        <f t="shared" si="9"/>
        <v>1.4945338524752216E-5</v>
      </c>
      <c r="R18" s="1">
        <f t="shared" si="10"/>
        <v>2.2222222222265611</v>
      </c>
      <c r="T18" s="1">
        <v>10</v>
      </c>
      <c r="U18" s="1">
        <f t="shared" si="17"/>
        <v>1.3230606542731352E-2</v>
      </c>
      <c r="V18" s="1">
        <f t="shared" si="11"/>
        <v>0.54016987558095797</v>
      </c>
      <c r="W18" s="1">
        <f t="shared" si="12"/>
        <v>0.45983012441904203</v>
      </c>
      <c r="X18" s="1">
        <f t="shared" si="13"/>
        <v>2.8772813785193276E-2</v>
      </c>
      <c r="Z18" s="1">
        <v>10</v>
      </c>
      <c r="AA18" s="1">
        <f t="shared" si="14"/>
        <v>1.4653122188543701E-2</v>
      </c>
      <c r="AB18" s="1">
        <f t="shared" si="15"/>
        <v>0.25463484902690153</v>
      </c>
      <c r="AD18" s="1">
        <v>10</v>
      </c>
      <c r="AE18" s="1">
        <f t="shared" si="18"/>
        <v>0.49999999999999933</v>
      </c>
      <c r="AF18" s="1">
        <f t="shared" si="19"/>
        <v>2.8772813785193276E-2</v>
      </c>
    </row>
    <row r="19" spans="2:32" x14ac:dyDescent="0.2">
      <c r="B19" s="1">
        <v>11</v>
      </c>
      <c r="C19" s="1">
        <f t="shared" si="0"/>
        <v>2.0433857192320333E-3</v>
      </c>
      <c r="D19" s="1">
        <f t="shared" si="1"/>
        <v>0.99591322856153597</v>
      </c>
      <c r="E19" s="1">
        <f t="shared" si="2"/>
        <v>4.0867714384640319E-3</v>
      </c>
      <c r="F19" s="1">
        <f t="shared" si="16"/>
        <v>0.50000000000000422</v>
      </c>
      <c r="H19" s="1">
        <v>11</v>
      </c>
      <c r="I19" s="1">
        <f t="shared" si="3"/>
        <v>3.1241873919064599E-2</v>
      </c>
      <c r="J19" s="1">
        <f t="shared" si="4"/>
        <v>0.88071284503629887</v>
      </c>
      <c r="K19" s="1">
        <f t="shared" si="5"/>
        <v>0.11928715496370113</v>
      </c>
      <c r="L19" s="1">
        <f t="shared" si="6"/>
        <v>0.26190476190476208</v>
      </c>
      <c r="N19" s="1">
        <v>11</v>
      </c>
      <c r="O19" s="1">
        <f t="shared" si="7"/>
        <v>3.5426817241389712E-6</v>
      </c>
      <c r="P19" s="1">
        <f t="shared" si="8"/>
        <v>0.99999855072111288</v>
      </c>
      <c r="Q19" s="1">
        <f t="shared" si="9"/>
        <v>1.4492788871223183E-6</v>
      </c>
      <c r="R19" s="1">
        <f t="shared" si="10"/>
        <v>2.4444444444873574</v>
      </c>
      <c r="T19" s="1">
        <v>11</v>
      </c>
      <c r="U19" s="1">
        <f t="shared" si="17"/>
        <v>1.1983294953774896E-2</v>
      </c>
      <c r="V19" s="1">
        <f t="shared" si="11"/>
        <v>0.55275769231851068</v>
      </c>
      <c r="W19" s="1">
        <f t="shared" si="12"/>
        <v>0.44724230768148932</v>
      </c>
      <c r="X19" s="1">
        <f t="shared" si="13"/>
        <v>2.6793741888812964E-2</v>
      </c>
      <c r="Z19" s="1">
        <v>11</v>
      </c>
      <c r="AA19" s="1">
        <f t="shared" si="14"/>
        <v>9.137712081958245E-3</v>
      </c>
      <c r="AB19" s="1">
        <f t="shared" si="15"/>
        <v>0.17051952130981637</v>
      </c>
      <c r="AD19" s="1">
        <v>11</v>
      </c>
      <c r="AE19" s="1">
        <f t="shared" si="18"/>
        <v>0.50000000000000422</v>
      </c>
      <c r="AF19" s="1">
        <f t="shared" si="19"/>
        <v>2.6793741888812964E-2</v>
      </c>
    </row>
    <row r="20" spans="2:32" x14ac:dyDescent="0.2">
      <c r="B20" s="1">
        <v>12</v>
      </c>
      <c r="C20" s="1">
        <f t="shared" si="0"/>
        <v>1.2393760883331792E-3</v>
      </c>
      <c r="D20" s="1">
        <f t="shared" si="1"/>
        <v>0.99752124782333362</v>
      </c>
      <c r="E20" s="1">
        <f t="shared" si="2"/>
        <v>2.4787521766663767E-3</v>
      </c>
      <c r="F20" s="1">
        <f t="shared" si="16"/>
        <v>0.49999999999999634</v>
      </c>
      <c r="H20" s="1">
        <v>12</v>
      </c>
      <c r="I20" s="1">
        <f t="shared" si="3"/>
        <v>2.4420851851645574E-2</v>
      </c>
      <c r="J20" s="1">
        <f t="shared" si="4"/>
        <v>0.90842180555632912</v>
      </c>
      <c r="K20" s="1">
        <f t="shared" si="5"/>
        <v>9.1578194443670879E-2</v>
      </c>
      <c r="L20" s="1">
        <f t="shared" si="6"/>
        <v>0.26666666666666672</v>
      </c>
      <c r="N20" s="1">
        <v>12</v>
      </c>
      <c r="O20" s="1">
        <f t="shared" si="7"/>
        <v>3.0009379925135809E-7</v>
      </c>
      <c r="P20" s="1">
        <f t="shared" si="8"/>
        <v>0.99999988746482527</v>
      </c>
      <c r="Q20" s="1">
        <f t="shared" si="9"/>
        <v>1.1253517473441832E-7</v>
      </c>
      <c r="R20" s="1">
        <f t="shared" si="10"/>
        <v>2.6666666663074539</v>
      </c>
      <c r="T20" s="1">
        <v>12</v>
      </c>
      <c r="U20" s="1">
        <f t="shared" si="17"/>
        <v>1.0937910493577886E-2</v>
      </c>
      <c r="V20" s="1">
        <f t="shared" si="11"/>
        <v>0.56420356969399477</v>
      </c>
      <c r="W20" s="1">
        <f t="shared" si="12"/>
        <v>0.43579643030600523</v>
      </c>
      <c r="X20" s="1">
        <f t="shared" si="13"/>
        <v>2.5098669316537453E-2</v>
      </c>
      <c r="Z20" s="1">
        <v>12</v>
      </c>
      <c r="AA20" s="1">
        <f t="shared" si="14"/>
        <v>5.687867096400628E-3</v>
      </c>
      <c r="AB20" s="1">
        <f t="shared" si="15"/>
        <v>0.11331013259441736</v>
      </c>
      <c r="AD20" s="1">
        <v>12</v>
      </c>
      <c r="AE20" s="1">
        <f t="shared" si="18"/>
        <v>0.49999999999999634</v>
      </c>
      <c r="AF20" s="1">
        <f t="shared" si="19"/>
        <v>2.5098669316537453E-2</v>
      </c>
    </row>
    <row r="21" spans="2:32" x14ac:dyDescent="0.2">
      <c r="B21" s="1">
        <v>13</v>
      </c>
      <c r="C21" s="1">
        <f t="shared" si="0"/>
        <v>7.5171959648878618E-4</v>
      </c>
      <c r="D21" s="1">
        <f t="shared" si="1"/>
        <v>0.99849656080702243</v>
      </c>
      <c r="E21" s="1">
        <f t="shared" si="2"/>
        <v>1.5034391929775737E-3</v>
      </c>
      <c r="F21" s="1">
        <f t="shared" si="16"/>
        <v>0.49999999999999956</v>
      </c>
      <c r="H21" s="1">
        <v>13</v>
      </c>
      <c r="I21" s="1">
        <f t="shared" si="3"/>
        <v>1.8956497064470286E-2</v>
      </c>
      <c r="J21" s="1">
        <f t="shared" si="4"/>
        <v>0.93000678006964821</v>
      </c>
      <c r="K21" s="1">
        <f t="shared" si="5"/>
        <v>6.9993219930351791E-2</v>
      </c>
      <c r="L21" s="1">
        <f t="shared" si="6"/>
        <v>0.27083333333333348</v>
      </c>
      <c r="N21" s="1">
        <v>13</v>
      </c>
      <c r="O21" s="1">
        <f t="shared" si="7"/>
        <v>2.0213688427876924E-8</v>
      </c>
      <c r="P21" s="1">
        <f t="shared" si="8"/>
        <v>0.99999999300295406</v>
      </c>
      <c r="Q21" s="1">
        <f t="shared" si="9"/>
        <v>6.9970459426471621E-9</v>
      </c>
      <c r="R21" s="1">
        <f t="shared" si="10"/>
        <v>2.8888889102005191</v>
      </c>
      <c r="T21" s="1">
        <v>13</v>
      </c>
      <c r="U21" s="1">
        <f t="shared" si="17"/>
        <v>1.0049506778244009E-2</v>
      </c>
      <c r="V21" s="1">
        <f t="shared" si="11"/>
        <v>0.57468570556863963</v>
      </c>
      <c r="W21" s="1">
        <f t="shared" si="12"/>
        <v>0.42531429443136037</v>
      </c>
      <c r="X21" s="1">
        <f t="shared" si="13"/>
        <v>2.3628424696329729E-2</v>
      </c>
      <c r="Z21" s="1">
        <v>13</v>
      </c>
      <c r="AA21" s="1">
        <f t="shared" si="14"/>
        <v>3.5348898747634434E-3</v>
      </c>
      <c r="AB21" s="1">
        <f t="shared" si="15"/>
        <v>7.4801640824420354E-2</v>
      </c>
      <c r="AD21" s="1">
        <v>13</v>
      </c>
      <c r="AE21" s="1">
        <f t="shared" si="18"/>
        <v>0.49999999999999956</v>
      </c>
      <c r="AF21" s="1">
        <f t="shared" si="19"/>
        <v>2.3628424696329729E-2</v>
      </c>
    </row>
    <row r="22" spans="2:32" x14ac:dyDescent="0.2">
      <c r="B22" s="1">
        <v>14</v>
      </c>
      <c r="C22" s="1">
        <f t="shared" si="0"/>
        <v>4.5594098277725812E-4</v>
      </c>
      <c r="D22" s="1">
        <f t="shared" si="1"/>
        <v>0.99908811803444553</v>
      </c>
      <c r="E22" s="1">
        <f t="shared" si="2"/>
        <v>9.1188196555447298E-4</v>
      </c>
      <c r="F22" s="1">
        <f t="shared" si="16"/>
        <v>0.50000000000002376</v>
      </c>
      <c r="H22" s="1">
        <v>14</v>
      </c>
      <c r="I22" s="1">
        <f t="shared" si="3"/>
        <v>1.4627763968992544E-2</v>
      </c>
      <c r="J22" s="1">
        <f t="shared" si="4"/>
        <v>0.94671314554152719</v>
      </c>
      <c r="K22" s="1">
        <f t="shared" si="5"/>
        <v>5.328685445847281E-2</v>
      </c>
      <c r="L22" s="1">
        <f t="shared" si="6"/>
        <v>0.27450980392156876</v>
      </c>
      <c r="N22" s="1">
        <v>14</v>
      </c>
      <c r="O22" s="1">
        <f t="shared" si="7"/>
        <v>1.0837941560119666E-9</v>
      </c>
      <c r="P22" s="1">
        <f t="shared" si="8"/>
        <v>0.99999999965163755</v>
      </c>
      <c r="Q22" s="1">
        <f t="shared" si="9"/>
        <v>3.4836244999780774E-10</v>
      </c>
      <c r="R22" s="1">
        <f t="shared" si="10"/>
        <v>3.1111107296977241</v>
      </c>
      <c r="T22" s="1">
        <v>14</v>
      </c>
      <c r="U22" s="1">
        <f t="shared" si="17"/>
        <v>9.2855419079503308E-3</v>
      </c>
      <c r="V22" s="1">
        <f t="shared" si="11"/>
        <v>0.58434397138555239</v>
      </c>
      <c r="W22" s="1">
        <f t="shared" si="12"/>
        <v>0.41565602861444761</v>
      </c>
      <c r="X22" s="1">
        <f t="shared" si="13"/>
        <v>2.2339485701441307E-2</v>
      </c>
      <c r="Z22" s="1">
        <v>14</v>
      </c>
      <c r="AA22" s="1">
        <f t="shared" si="14"/>
        <v>2.1938379399768369E-3</v>
      </c>
      <c r="AB22" s="1">
        <f t="shared" si="15"/>
        <v>4.9102248129091849E-2</v>
      </c>
      <c r="AD22" s="1">
        <v>14</v>
      </c>
      <c r="AE22" s="1">
        <f t="shared" si="18"/>
        <v>0.50000000000002376</v>
      </c>
      <c r="AF22" s="1">
        <f t="shared" si="19"/>
        <v>2.2339485701441307E-2</v>
      </c>
    </row>
    <row r="23" spans="2:32" x14ac:dyDescent="0.2">
      <c r="B23" s="1">
        <v>15</v>
      </c>
      <c r="C23" s="1">
        <f t="shared" si="0"/>
        <v>2.7654218507391681E-4</v>
      </c>
      <c r="D23" s="1">
        <f t="shared" si="1"/>
        <v>0.99944691562985222</v>
      </c>
      <c r="E23" s="1">
        <f t="shared" si="2"/>
        <v>5.5308437014778278E-4</v>
      </c>
      <c r="F23" s="1">
        <f t="shared" si="16"/>
        <v>0.50000000000004596</v>
      </c>
      <c r="H23" s="1">
        <v>15</v>
      </c>
      <c r="I23" s="1">
        <f t="shared" si="3"/>
        <v>1.1229911665142445E-2</v>
      </c>
      <c r="J23" s="1">
        <f t="shared" si="4"/>
        <v>0.95957231800548715</v>
      </c>
      <c r="K23" s="1">
        <f t="shared" si="5"/>
        <v>4.0427681994512854E-2</v>
      </c>
      <c r="L23" s="1">
        <f t="shared" si="6"/>
        <v>0.2777777777777774</v>
      </c>
      <c r="N23" s="1">
        <v>15</v>
      </c>
      <c r="O23" s="1">
        <f t="shared" si="7"/>
        <v>4.6293146216546885E-11</v>
      </c>
      <c r="P23" s="1">
        <f t="shared" si="8"/>
        <v>0.99999999998611211</v>
      </c>
      <c r="Q23" s="1">
        <f t="shared" si="9"/>
        <v>1.3887890837338546E-11</v>
      </c>
      <c r="R23" s="1">
        <f t="shared" si="10"/>
        <v>3.3333460608780556</v>
      </c>
      <c r="T23" s="1">
        <v>15</v>
      </c>
      <c r="U23" s="1">
        <f t="shared" si="17"/>
        <v>8.6218726573527929E-3</v>
      </c>
      <c r="V23" s="1">
        <f t="shared" si="11"/>
        <v>0.59329015733820945</v>
      </c>
      <c r="W23" s="1">
        <f t="shared" si="12"/>
        <v>0.40670984266179055</v>
      </c>
      <c r="X23" s="1">
        <f t="shared" si="13"/>
        <v>2.1199075490588803E-2</v>
      </c>
      <c r="Z23" s="1">
        <v>15</v>
      </c>
      <c r="AA23" s="1">
        <f t="shared" si="14"/>
        <v>1.3598991520048201E-3</v>
      </c>
      <c r="AB23" s="1">
        <f t="shared" si="15"/>
        <v>3.2074491942081715E-2</v>
      </c>
      <c r="AD23" s="1">
        <v>15</v>
      </c>
      <c r="AE23" s="1">
        <f t="shared" si="18"/>
        <v>0.50000000000004596</v>
      </c>
      <c r="AF23" s="1">
        <f t="shared" si="19"/>
        <v>2.1199075490588803E-2</v>
      </c>
    </row>
    <row r="24" spans="2:32" x14ac:dyDescent="0.2">
      <c r="B24" s="1">
        <v>16</v>
      </c>
      <c r="C24" s="1">
        <f t="shared" si="0"/>
        <v>1.6773131395125593E-4</v>
      </c>
      <c r="D24" s="1">
        <f t="shared" si="1"/>
        <v>0.99966453737209748</v>
      </c>
      <c r="E24" s="1">
        <f t="shared" si="2"/>
        <v>3.3546262790251635E-4</v>
      </c>
      <c r="F24" s="1">
        <f t="shared" si="16"/>
        <v>0.49999999999999328</v>
      </c>
      <c r="H24" s="1">
        <v>16</v>
      </c>
      <c r="I24" s="1">
        <f t="shared" si="3"/>
        <v>8.5830222112558956E-3</v>
      </c>
      <c r="J24" s="1">
        <f t="shared" si="4"/>
        <v>0.96942298337240085</v>
      </c>
      <c r="K24" s="1">
        <f t="shared" si="5"/>
        <v>3.0577016627599152E-2</v>
      </c>
      <c r="L24" s="1">
        <f t="shared" si="6"/>
        <v>0.28070175438596467</v>
      </c>
      <c r="N24" s="1">
        <v>16</v>
      </c>
      <c r="O24" s="1">
        <f t="shared" si="7"/>
        <v>1.5763120875832992E-12</v>
      </c>
      <c r="P24" s="1">
        <f t="shared" si="8"/>
        <v>0.99999999999955669</v>
      </c>
      <c r="Q24" s="1">
        <f t="shared" si="9"/>
        <v>4.4331205373282501E-13</v>
      </c>
      <c r="R24" s="1">
        <f t="shared" si="10"/>
        <v>3.5557618483645155</v>
      </c>
      <c r="T24" s="1">
        <v>16</v>
      </c>
      <c r="U24" s="1">
        <f t="shared" si="17"/>
        <v>8.0402083264620172E-3</v>
      </c>
      <c r="V24" s="1">
        <f t="shared" si="11"/>
        <v>0.6016150059161276</v>
      </c>
      <c r="W24" s="1">
        <f t="shared" si="12"/>
        <v>0.3983849940838724</v>
      </c>
      <c r="X24" s="1">
        <f t="shared" si="13"/>
        <v>2.0182005963731917E-2</v>
      </c>
      <c r="Z24" s="1">
        <v>16</v>
      </c>
      <c r="AA24" s="1">
        <f t="shared" si="14"/>
        <v>8.4205638486446375E-4</v>
      </c>
      <c r="AB24" s="1">
        <f t="shared" si="15"/>
        <v>2.0861563176070561E-2</v>
      </c>
      <c r="AD24" s="1">
        <v>16</v>
      </c>
      <c r="AE24" s="1">
        <f t="shared" si="18"/>
        <v>0.49999999999999328</v>
      </c>
      <c r="AF24" s="1">
        <f t="shared" si="19"/>
        <v>2.0182005963731917E-2</v>
      </c>
    </row>
    <row r="25" spans="2:32" x14ac:dyDescent="0.2">
      <c r="B25" s="1">
        <v>17</v>
      </c>
      <c r="C25" s="1">
        <f t="shared" si="0"/>
        <v>1.0173418450532208E-4</v>
      </c>
      <c r="D25" s="1">
        <f t="shared" si="1"/>
        <v>0.99979653163098936</v>
      </c>
      <c r="E25" s="1">
        <f t="shared" si="2"/>
        <v>2.034683690106398E-4</v>
      </c>
      <c r="F25" s="1">
        <f t="shared" si="16"/>
        <v>0.50000000000001077</v>
      </c>
      <c r="H25" s="1">
        <v>17</v>
      </c>
      <c r="I25" s="1">
        <f t="shared" si="3"/>
        <v>6.5343794133223242E-3</v>
      </c>
      <c r="J25" s="1">
        <f t="shared" si="4"/>
        <v>0.97693748442356831</v>
      </c>
      <c r="K25" s="1">
        <f t="shared" si="5"/>
        <v>2.3062515576431686E-2</v>
      </c>
      <c r="L25" s="1">
        <f t="shared" si="6"/>
        <v>0.28333333333333388</v>
      </c>
      <c r="N25" s="1">
        <v>17</v>
      </c>
      <c r="O25" s="1">
        <f t="shared" si="7"/>
        <v>4.2811263381240675E-14</v>
      </c>
      <c r="P25" s="1">
        <f t="shared" si="8"/>
        <v>0.99999999999998868</v>
      </c>
      <c r="Q25" s="1">
        <f t="shared" si="9"/>
        <v>1.1324274851176597E-14</v>
      </c>
      <c r="R25" s="1">
        <f t="shared" si="10"/>
        <v>3.7804860747257973</v>
      </c>
      <c r="T25" s="1">
        <v>17</v>
      </c>
      <c r="U25" s="1">
        <f t="shared" si="17"/>
        <v>7.5264386527987004E-3</v>
      </c>
      <c r="V25" s="1">
        <f t="shared" si="11"/>
        <v>0.60939317208883625</v>
      </c>
      <c r="W25" s="1">
        <f t="shared" si="12"/>
        <v>0.39060682791116375</v>
      </c>
      <c r="X25" s="1">
        <f t="shared" si="13"/>
        <v>1.9268579336023405E-2</v>
      </c>
      <c r="Z25" s="1">
        <v>17</v>
      </c>
      <c r="AA25" s="1">
        <f t="shared" si="14"/>
        <v>5.2090325737192409E-4</v>
      </c>
      <c r="AB25" s="1">
        <f t="shared" si="15"/>
        <v>1.351690875305179E-2</v>
      </c>
      <c r="AD25" s="1">
        <v>17</v>
      </c>
      <c r="AE25" s="1">
        <f t="shared" si="18"/>
        <v>0.50000000000001077</v>
      </c>
      <c r="AF25" s="1">
        <f t="shared" si="19"/>
        <v>1.9268579336023405E-2</v>
      </c>
    </row>
    <row r="26" spans="2:32" x14ac:dyDescent="0.2">
      <c r="B26" s="1">
        <v>18</v>
      </c>
      <c r="C26" s="1">
        <f t="shared" si="0"/>
        <v>6.1704902043339781E-5</v>
      </c>
      <c r="D26" s="1">
        <f t="shared" si="1"/>
        <v>0.99987659019591335</v>
      </c>
      <c r="E26" s="1">
        <f t="shared" si="2"/>
        <v>1.2340980408664937E-4</v>
      </c>
      <c r="F26" s="1">
        <f t="shared" si="16"/>
        <v>0.50000000000012235</v>
      </c>
      <c r="H26" s="1">
        <v>18</v>
      </c>
      <c r="I26" s="1">
        <f t="shared" si="3"/>
        <v>4.9575043533327178E-3</v>
      </c>
      <c r="J26" s="1">
        <f t="shared" si="4"/>
        <v>0.98264873476333547</v>
      </c>
      <c r="K26" s="1">
        <f t="shared" si="5"/>
        <v>1.7351265236664526E-2</v>
      </c>
      <c r="L26" s="1">
        <f t="shared" si="6"/>
        <v>0.28571428571428548</v>
      </c>
      <c r="N26" s="1">
        <v>18</v>
      </c>
      <c r="O26" s="1">
        <f t="shared" si="7"/>
        <v>9.2780913209742726E-16</v>
      </c>
      <c r="P26" s="1">
        <f t="shared" si="8"/>
        <v>0.99999999999999978</v>
      </c>
      <c r="Q26" s="1">
        <f t="shared" si="9"/>
        <v>0</v>
      </c>
      <c r="R26" s="1" t="e">
        <f t="shared" si="10"/>
        <v>#DIV/0!</v>
      </c>
      <c r="T26" s="1">
        <v>18</v>
      </c>
      <c r="U26" s="1">
        <f t="shared" si="17"/>
        <v>7.069504363329213E-3</v>
      </c>
      <c r="V26" s="1">
        <f t="shared" si="11"/>
        <v>0.61668680343152005</v>
      </c>
      <c r="W26" s="1">
        <f t="shared" si="12"/>
        <v>0.38331319656847995</v>
      </c>
      <c r="X26" s="1">
        <f t="shared" si="13"/>
        <v>1.844315412727051E-2</v>
      </c>
      <c r="Z26" s="1">
        <v>18</v>
      </c>
      <c r="AA26" s="1">
        <f t="shared" si="14"/>
        <v>3.2195553190301357E-4</v>
      </c>
      <c r="AB26" s="1">
        <f t="shared" si="15"/>
        <v>8.7283208089401817E-3</v>
      </c>
      <c r="AD26" s="1">
        <v>18</v>
      </c>
      <c r="AE26" s="1">
        <f t="shared" si="18"/>
        <v>0.50000000000012235</v>
      </c>
      <c r="AF26" s="1">
        <f t="shared" si="19"/>
        <v>1.844315412727051E-2</v>
      </c>
    </row>
    <row r="27" spans="2:32" x14ac:dyDescent="0.2">
      <c r="B27" s="1">
        <v>19</v>
      </c>
      <c r="C27" s="1">
        <f t="shared" si="0"/>
        <v>3.7425914943850299E-5</v>
      </c>
      <c r="D27" s="1">
        <f t="shared" si="1"/>
        <v>0.99992514817011235</v>
      </c>
      <c r="E27" s="1">
        <f t="shared" si="2"/>
        <v>7.4851829887645493E-5</v>
      </c>
      <c r="F27" s="1">
        <f t="shared" si="16"/>
        <v>0.50000000000036804</v>
      </c>
      <c r="H27" s="1">
        <v>19</v>
      </c>
      <c r="I27" s="1">
        <f t="shared" si="3"/>
        <v>3.7495519298836881E-3</v>
      </c>
      <c r="J27" s="1">
        <f t="shared" si="4"/>
        <v>0.98697524066461462</v>
      </c>
      <c r="K27" s="1">
        <f t="shared" si="5"/>
        <v>1.3024759335385383E-2</v>
      </c>
      <c r="L27" s="1">
        <f t="shared" si="6"/>
        <v>0.28787878787878918</v>
      </c>
      <c r="N27" s="1">
        <v>19</v>
      </c>
      <c r="O27" s="1">
        <f t="shared" si="7"/>
        <v>1.6051176437426807E-17</v>
      </c>
      <c r="P27" s="1">
        <f t="shared" si="8"/>
        <v>1</v>
      </c>
      <c r="Q27" s="1">
        <f t="shared" si="9"/>
        <v>0</v>
      </c>
      <c r="R27" s="1" t="e">
        <f t="shared" si="10"/>
        <v>#DIV/0!</v>
      </c>
      <c r="T27" s="1">
        <v>19</v>
      </c>
      <c r="U27" s="1">
        <f t="shared" si="17"/>
        <v>6.6606152998162161E-3</v>
      </c>
      <c r="V27" s="1">
        <f t="shared" si="11"/>
        <v>0.62354817702273002</v>
      </c>
      <c r="W27" s="1">
        <f t="shared" si="12"/>
        <v>0.37645182297726998</v>
      </c>
      <c r="X27" s="1">
        <f t="shared" si="13"/>
        <v>1.7693141308598156E-2</v>
      </c>
      <c r="Z27" s="1">
        <v>19</v>
      </c>
      <c r="AA27" s="1">
        <f t="shared" si="14"/>
        <v>1.9883508411689912E-4</v>
      </c>
      <c r="AB27" s="1">
        <f t="shared" si="15"/>
        <v>5.6189876248945014E-3</v>
      </c>
      <c r="AD27" s="1">
        <v>19</v>
      </c>
      <c r="AE27" s="1">
        <f t="shared" si="18"/>
        <v>0.50000000000036804</v>
      </c>
      <c r="AF27" s="1">
        <f t="shared" si="19"/>
        <v>1.7693141308598156E-2</v>
      </c>
    </row>
    <row r="28" spans="2:32" x14ac:dyDescent="0.2">
      <c r="B28" s="1">
        <v>20</v>
      </c>
      <c r="C28" s="1">
        <f t="shared" si="0"/>
        <v>2.2699964881242427E-5</v>
      </c>
      <c r="D28" s="1">
        <f t="shared" si="1"/>
        <v>0.99995460007023751</v>
      </c>
      <c r="E28" s="1">
        <f t="shared" si="2"/>
        <v>4.5399929762490743E-5</v>
      </c>
      <c r="F28" s="1">
        <f t="shared" si="16"/>
        <v>0.49999999999993516</v>
      </c>
      <c r="H28" s="1">
        <v>20</v>
      </c>
      <c r="I28" s="1">
        <f t="shared" si="3"/>
        <v>2.8280751140884637E-3</v>
      </c>
      <c r="J28" s="1">
        <f t="shared" si="4"/>
        <v>0.99024314085639475</v>
      </c>
      <c r="K28" s="1">
        <f t="shared" si="5"/>
        <v>9.7568591436052454E-3</v>
      </c>
      <c r="L28" s="1">
        <f t="shared" si="6"/>
        <v>0.28985507246376674</v>
      </c>
      <c r="N28" s="1">
        <v>20</v>
      </c>
      <c r="O28" s="1">
        <f t="shared" si="7"/>
        <v>2.2173819523533405E-19</v>
      </c>
      <c r="P28" s="1">
        <f t="shared" si="8"/>
        <v>1</v>
      </c>
      <c r="Q28" s="1">
        <f t="shared" si="9"/>
        <v>0</v>
      </c>
      <c r="R28" s="1" t="e">
        <f t="shared" si="10"/>
        <v>#DIV/0!</v>
      </c>
      <c r="T28" s="1">
        <v>20</v>
      </c>
      <c r="U28" s="1">
        <f t="shared" si="17"/>
        <v>6.2926973355122992E-3</v>
      </c>
      <c r="V28" s="1">
        <f t="shared" si="11"/>
        <v>0.63002167656582431</v>
      </c>
      <c r="W28" s="1">
        <f t="shared" si="12"/>
        <v>0.36997832343417569</v>
      </c>
      <c r="X28" s="1">
        <f t="shared" si="13"/>
        <v>1.7008286531769903E-2</v>
      </c>
      <c r="Z28" s="1">
        <v>20</v>
      </c>
      <c r="AA28" s="1">
        <f t="shared" si="14"/>
        <v>1.2270970185789283E-4</v>
      </c>
      <c r="AB28" s="1">
        <f t="shared" si="15"/>
        <v>3.6073505002595812E-3</v>
      </c>
      <c r="AD28" s="1">
        <v>20</v>
      </c>
      <c r="AE28" s="1">
        <f t="shared" si="18"/>
        <v>0.49999999999993516</v>
      </c>
      <c r="AF28" s="1">
        <f t="shared" si="19"/>
        <v>1.7008286531769903E-2</v>
      </c>
    </row>
    <row r="29" spans="2:32" x14ac:dyDescent="0.2">
      <c r="B29" s="1">
        <v>21</v>
      </c>
      <c r="C29" s="1">
        <f t="shared" si="0"/>
        <v>1.3768224674873579E-5</v>
      </c>
      <c r="D29" s="1">
        <f t="shared" si="1"/>
        <v>0.99997246355065028</v>
      </c>
      <c r="E29" s="1">
        <f t="shared" si="2"/>
        <v>2.7536449349718772E-5</v>
      </c>
      <c r="F29" s="1">
        <f t="shared" si="16"/>
        <v>0.50000000000051548</v>
      </c>
      <c r="H29" s="1">
        <v>21</v>
      </c>
      <c r="I29" s="1">
        <f t="shared" si="3"/>
        <v>2.1277245862938716E-3</v>
      </c>
      <c r="J29" s="1">
        <f t="shared" si="4"/>
        <v>0.99270494427556388</v>
      </c>
      <c r="K29" s="1">
        <f t="shared" si="5"/>
        <v>7.2950557244361169E-3</v>
      </c>
      <c r="L29" s="1">
        <f t="shared" si="6"/>
        <v>0.29166666666666724</v>
      </c>
      <c r="N29" s="1">
        <v>21</v>
      </c>
      <c r="O29" s="1">
        <f t="shared" si="7"/>
        <v>2.4466799762363003E-21</v>
      </c>
      <c r="P29" s="1">
        <f t="shared" si="8"/>
        <v>1</v>
      </c>
      <c r="Q29" s="1">
        <f t="shared" si="9"/>
        <v>0</v>
      </c>
      <c r="R29" s="1" t="e">
        <f t="shared" si="10"/>
        <v>#DIV/0!</v>
      </c>
      <c r="T29" s="1">
        <v>21</v>
      </c>
      <c r="U29" s="1">
        <f t="shared" si="17"/>
        <v>5.959993565404843E-3</v>
      </c>
      <c r="V29" s="1">
        <f t="shared" si="11"/>
        <v>0.6361452984697491</v>
      </c>
      <c r="W29" s="1">
        <f t="shared" si="12"/>
        <v>0.3638547015302509</v>
      </c>
      <c r="X29" s="1">
        <f t="shared" si="13"/>
        <v>1.6380147186058357E-2</v>
      </c>
      <c r="Z29" s="1">
        <v>21</v>
      </c>
      <c r="AA29" s="1">
        <f t="shared" si="14"/>
        <v>7.5679795352127371E-5</v>
      </c>
      <c r="AB29" s="1">
        <f t="shared" si="15"/>
        <v>2.3101073052816876E-3</v>
      </c>
      <c r="AD29" s="1">
        <v>21</v>
      </c>
      <c r="AE29" s="1">
        <f t="shared" si="18"/>
        <v>0.50000000000051548</v>
      </c>
      <c r="AF29" s="1">
        <f t="shared" si="19"/>
        <v>1.6380147186058357E-2</v>
      </c>
    </row>
    <row r="30" spans="2:32" x14ac:dyDescent="0.2">
      <c r="B30" s="1">
        <v>22</v>
      </c>
      <c r="C30" s="1">
        <f t="shared" si="0"/>
        <v>8.3508503951228296E-6</v>
      </c>
      <c r="D30" s="1">
        <f t="shared" si="1"/>
        <v>0.99998329829920973</v>
      </c>
      <c r="E30" s="1">
        <f t="shared" si="2"/>
        <v>1.6701700790267004E-5</v>
      </c>
      <c r="F30" s="1">
        <f t="shared" si="16"/>
        <v>0.49999999999936101</v>
      </c>
      <c r="H30" s="1">
        <v>22</v>
      </c>
      <c r="I30" s="1">
        <f t="shared" si="3"/>
        <v>1.5971803952313747E-3</v>
      </c>
      <c r="J30" s="1">
        <f t="shared" si="4"/>
        <v>0.99455506683443851</v>
      </c>
      <c r="K30" s="1">
        <f t="shared" si="5"/>
        <v>5.4449331655614941E-3</v>
      </c>
      <c r="L30" s="1">
        <f t="shared" si="6"/>
        <v>0.29333333333333389</v>
      </c>
      <c r="N30" s="1">
        <v>22</v>
      </c>
      <c r="O30" s="1">
        <f t="shared" si="7"/>
        <v>2.1568404963091867E-23</v>
      </c>
      <c r="P30" s="1">
        <f t="shared" si="8"/>
        <v>1</v>
      </c>
      <c r="Q30" s="1">
        <f t="shared" si="9"/>
        <v>0</v>
      </c>
      <c r="R30" s="1" t="e">
        <f t="shared" si="10"/>
        <v>#DIV/0!</v>
      </c>
      <c r="T30" s="1">
        <v>22</v>
      </c>
      <c r="U30" s="1">
        <f t="shared" si="17"/>
        <v>5.6577717736638273E-3</v>
      </c>
      <c r="V30" s="1">
        <f t="shared" si="11"/>
        <v>0.64195181546101743</v>
      </c>
      <c r="W30" s="1">
        <f t="shared" si="12"/>
        <v>0.35804818453898257</v>
      </c>
      <c r="X30" s="1">
        <f t="shared" si="13"/>
        <v>1.5801704960321718E-2</v>
      </c>
      <c r="Z30" s="1">
        <v>22</v>
      </c>
      <c r="AA30" s="1">
        <f t="shared" si="14"/>
        <v>4.6646517176932099E-5</v>
      </c>
      <c r="AB30" s="1">
        <f t="shared" si="15"/>
        <v>1.4759963337501389E-3</v>
      </c>
      <c r="AD30" s="1">
        <v>22</v>
      </c>
      <c r="AE30" s="1">
        <f t="shared" si="18"/>
        <v>0.49999999999936101</v>
      </c>
      <c r="AF30" s="1">
        <f t="shared" si="19"/>
        <v>1.5801704960321718E-2</v>
      </c>
    </row>
    <row r="31" spans="2:32" x14ac:dyDescent="0.2">
      <c r="B31" s="1">
        <v>23</v>
      </c>
      <c r="C31" s="1">
        <f t="shared" si="0"/>
        <v>5.0650467993153553E-6</v>
      </c>
      <c r="D31" s="1">
        <f t="shared" si="1"/>
        <v>0.99998986990640137</v>
      </c>
      <c r="E31" s="1">
        <f t="shared" si="2"/>
        <v>1.0130093598625933E-5</v>
      </c>
      <c r="F31" s="1">
        <f t="shared" si="16"/>
        <v>0.50000000000023581</v>
      </c>
      <c r="H31" s="1">
        <v>23</v>
      </c>
      <c r="I31" s="1">
        <f t="shared" si="3"/>
        <v>1.1964492964459856E-3</v>
      </c>
      <c r="J31" s="1">
        <f t="shared" si="4"/>
        <v>0.99594247629900923</v>
      </c>
      <c r="K31" s="1">
        <f t="shared" si="5"/>
        <v>4.0575237009907728E-3</v>
      </c>
      <c r="L31" s="1">
        <f t="shared" si="6"/>
        <v>0.29487179487179205</v>
      </c>
      <c r="N31" s="1">
        <v>23</v>
      </c>
      <c r="O31" s="1">
        <f t="shared" si="7"/>
        <v>1.5193253174594448E-25</v>
      </c>
      <c r="P31" s="1">
        <f t="shared" si="8"/>
        <v>1</v>
      </c>
      <c r="Q31" s="1">
        <f t="shared" si="9"/>
        <v>0</v>
      </c>
      <c r="R31" s="1" t="e">
        <f t="shared" si="10"/>
        <v>#DIV/0!</v>
      </c>
      <c r="T31" s="1">
        <v>23</v>
      </c>
      <c r="U31" s="1">
        <f t="shared" si="17"/>
        <v>5.3821065303740392E-3</v>
      </c>
      <c r="V31" s="1">
        <f t="shared" si="11"/>
        <v>0.64746968711464703</v>
      </c>
      <c r="W31" s="1">
        <f t="shared" si="12"/>
        <v>0.35253031288535297</v>
      </c>
      <c r="X31" s="1">
        <f t="shared" si="13"/>
        <v>1.5267074443395067E-2</v>
      </c>
      <c r="Z31" s="1">
        <v>23</v>
      </c>
      <c r="AA31" s="1">
        <f t="shared" si="14"/>
        <v>2.8735383109935172E-5</v>
      </c>
      <c r="AB31" s="1">
        <f t="shared" si="15"/>
        <v>9.4109003059130282E-4</v>
      </c>
      <c r="AD31" s="1">
        <v>23</v>
      </c>
      <c r="AE31" s="1">
        <f t="shared" si="18"/>
        <v>0.50000000000023581</v>
      </c>
      <c r="AF31" s="1">
        <f t="shared" si="19"/>
        <v>1.5267074443395067E-2</v>
      </c>
    </row>
    <row r="32" spans="2:32" x14ac:dyDescent="0.2">
      <c r="B32" s="1">
        <v>24</v>
      </c>
      <c r="C32" s="1">
        <f t="shared" si="0"/>
        <v>3.0721061766641049E-6</v>
      </c>
      <c r="D32" s="1">
        <f t="shared" si="1"/>
        <v>0.99999385578764666</v>
      </c>
      <c r="E32" s="1">
        <f t="shared" si="2"/>
        <v>6.1442123533428372E-6</v>
      </c>
      <c r="F32" s="1">
        <f t="shared" si="16"/>
        <v>0.49999999999880967</v>
      </c>
      <c r="H32" s="1">
        <v>24</v>
      </c>
      <c r="I32" s="1">
        <f t="shared" si="3"/>
        <v>8.9456700774003157E-4</v>
      </c>
      <c r="J32" s="1">
        <f t="shared" si="4"/>
        <v>0.99698083634887746</v>
      </c>
      <c r="K32" s="1">
        <f t="shared" si="5"/>
        <v>3.0191636511225362E-3</v>
      </c>
      <c r="L32" s="1">
        <f t="shared" si="6"/>
        <v>0.29629629629630322</v>
      </c>
      <c r="N32" s="1">
        <v>24</v>
      </c>
      <c r="O32" s="1">
        <f t="shared" si="7"/>
        <v>8.5536580829262507E-28</v>
      </c>
      <c r="P32" s="1">
        <f t="shared" si="8"/>
        <v>1</v>
      </c>
      <c r="Q32" s="1">
        <f t="shared" si="9"/>
        <v>0</v>
      </c>
      <c r="R32" s="1" t="e">
        <f t="shared" si="10"/>
        <v>#DIV/0!</v>
      </c>
      <c r="T32" s="1">
        <v>24</v>
      </c>
      <c r="U32" s="1">
        <f t="shared" si="17"/>
        <v>5.1297146058664799E-3</v>
      </c>
      <c r="V32" s="1">
        <f t="shared" si="11"/>
        <v>0.65272378059504532</v>
      </c>
      <c r="W32" s="1">
        <f t="shared" si="12"/>
        <v>0.34727621940495468</v>
      </c>
      <c r="X32" s="1">
        <f t="shared" si="13"/>
        <v>1.4771280955131513E-2</v>
      </c>
      <c r="Z32" s="1">
        <v>24</v>
      </c>
      <c r="AA32" s="1">
        <f t="shared" si="14"/>
        <v>1.7692580171111988E-5</v>
      </c>
      <c r="AB32" s="1">
        <f t="shared" si="15"/>
        <v>5.9888442393086767E-4</v>
      </c>
      <c r="AD32" s="1">
        <v>24</v>
      </c>
      <c r="AE32" s="1">
        <f t="shared" si="18"/>
        <v>0.49999999999880967</v>
      </c>
      <c r="AF32" s="1">
        <f t="shared" si="19"/>
        <v>1.4771280955131513E-2</v>
      </c>
    </row>
    <row r="33" spans="2:32" x14ac:dyDescent="0.2">
      <c r="B33" s="1">
        <v>25</v>
      </c>
      <c r="C33" s="1">
        <f t="shared" si="0"/>
        <v>1.8633265860393355E-6</v>
      </c>
      <c r="D33" s="1">
        <f t="shared" si="1"/>
        <v>0.99999627334682795</v>
      </c>
      <c r="E33" s="1">
        <f t="shared" si="2"/>
        <v>3.7266531720536733E-6</v>
      </c>
      <c r="F33" s="1">
        <f t="shared" si="16"/>
        <v>0.50000000000335387</v>
      </c>
      <c r="H33" s="1">
        <v>25</v>
      </c>
      <c r="I33" s="1">
        <f t="shared" si="3"/>
        <v>6.6769299005420605E-4</v>
      </c>
      <c r="J33" s="1">
        <f t="shared" si="4"/>
        <v>0.99775655155341791</v>
      </c>
      <c r="K33" s="1">
        <f t="shared" si="5"/>
        <v>2.2434484465820859E-3</v>
      </c>
      <c r="L33" s="1">
        <f t="shared" si="6"/>
        <v>0.29761904761905378</v>
      </c>
      <c r="N33" s="1">
        <v>25</v>
      </c>
      <c r="O33" s="1">
        <f t="shared" si="7"/>
        <v>3.8493595101834403E-30</v>
      </c>
      <c r="P33" s="1">
        <f t="shared" si="8"/>
        <v>1</v>
      </c>
      <c r="Q33" s="1">
        <f t="shared" si="9"/>
        <v>0</v>
      </c>
      <c r="R33" s="1" t="e">
        <f t="shared" si="10"/>
        <v>#DIV/0!</v>
      </c>
      <c r="T33" s="1">
        <v>25</v>
      </c>
      <c r="U33" s="1">
        <f t="shared" si="17"/>
        <v>4.8978290764840173E-3</v>
      </c>
      <c r="V33" s="1">
        <f t="shared" si="11"/>
        <v>0.65773594716476513</v>
      </c>
      <c r="W33" s="1">
        <f t="shared" si="12"/>
        <v>0.34226405283523487</v>
      </c>
      <c r="X33" s="1">
        <f t="shared" si="13"/>
        <v>1.4310089055252965E-2</v>
      </c>
      <c r="Z33" s="1">
        <v>25</v>
      </c>
      <c r="AA33" s="1">
        <f t="shared" si="14"/>
        <v>1.0888240062556834E-5</v>
      </c>
      <c r="AB33" s="1">
        <f t="shared" si="15"/>
        <v>3.8043928380141704E-4</v>
      </c>
      <c r="AD33" s="1">
        <v>25</v>
      </c>
      <c r="AE33" s="1">
        <f t="shared" si="18"/>
        <v>0.50000000000335387</v>
      </c>
      <c r="AF33" s="1">
        <f t="shared" si="19"/>
        <v>1.4310089055252965E-2</v>
      </c>
    </row>
    <row r="34" spans="2:32" x14ac:dyDescent="0.2">
      <c r="B34" s="1">
        <v>26</v>
      </c>
      <c r="C34" s="1">
        <f t="shared" si="0"/>
        <v>1.1301647034905271E-6</v>
      </c>
      <c r="D34" s="1">
        <f t="shared" si="1"/>
        <v>0.99999773967059302</v>
      </c>
      <c r="E34" s="1">
        <f t="shared" si="2"/>
        <v>2.2603294069778457E-6</v>
      </c>
      <c r="F34" s="1">
        <f t="shared" si="16"/>
        <v>0.50000000000070977</v>
      </c>
      <c r="H34" s="1">
        <v>26</v>
      </c>
      <c r="I34" s="1">
        <f t="shared" si="3"/>
        <v>4.9755985055345163E-4</v>
      </c>
      <c r="J34" s="1">
        <f t="shared" si="4"/>
        <v>0.99833508819237882</v>
      </c>
      <c r="K34" s="1">
        <f t="shared" si="5"/>
        <v>1.6649118076211833E-3</v>
      </c>
      <c r="L34" s="1">
        <f t="shared" si="6"/>
        <v>0.29885057471264043</v>
      </c>
      <c r="N34" s="1">
        <v>26</v>
      </c>
      <c r="O34" s="1">
        <f t="shared" si="7"/>
        <v>1.3849042531411558E-32</v>
      </c>
      <c r="P34" s="1">
        <f t="shared" si="8"/>
        <v>1</v>
      </c>
      <c r="Q34" s="1">
        <f t="shared" si="9"/>
        <v>0</v>
      </c>
      <c r="R34" s="1" t="e">
        <f t="shared" si="10"/>
        <v>#DIV/0!</v>
      </c>
      <c r="T34" s="1">
        <v>26</v>
      </c>
      <c r="U34" s="1">
        <f t="shared" si="17"/>
        <v>4.6841019096895897E-3</v>
      </c>
      <c r="V34" s="1">
        <f t="shared" si="11"/>
        <v>0.66252548774854114</v>
      </c>
      <c r="W34" s="1">
        <f t="shared" si="12"/>
        <v>0.33747451225145886</v>
      </c>
      <c r="X34" s="1">
        <f t="shared" si="13"/>
        <v>1.3879868670494955E-2</v>
      </c>
      <c r="Z34" s="1">
        <v>26</v>
      </c>
      <c r="AA34" s="1">
        <f t="shared" si="14"/>
        <v>6.6977781281853663E-6</v>
      </c>
      <c r="AB34" s="1">
        <f t="shared" si="15"/>
        <v>2.4127671115623141E-4</v>
      </c>
      <c r="AD34" s="1">
        <v>26</v>
      </c>
      <c r="AE34" s="1">
        <f t="shared" si="18"/>
        <v>0.50000000000070977</v>
      </c>
      <c r="AF34" s="1">
        <f t="shared" si="19"/>
        <v>1.3879868670494955E-2</v>
      </c>
    </row>
    <row r="35" spans="2:32" x14ac:dyDescent="0.2">
      <c r="B35" s="1">
        <v>27</v>
      </c>
      <c r="C35" s="1">
        <f t="shared" si="0"/>
        <v>6.8547954319204223E-7</v>
      </c>
      <c r="D35" s="1">
        <f t="shared" si="1"/>
        <v>0.99999862904091363</v>
      </c>
      <c r="E35" s="1">
        <f t="shared" si="2"/>
        <v>1.3709590863664189E-6</v>
      </c>
      <c r="F35" s="1">
        <f t="shared" si="16"/>
        <v>0.50000000000644274</v>
      </c>
      <c r="H35" s="1">
        <v>27</v>
      </c>
      <c r="I35" s="1">
        <f t="shared" si="3"/>
        <v>3.702294122600389E-4</v>
      </c>
      <c r="J35" s="1">
        <f t="shared" si="4"/>
        <v>0.99876590195913328</v>
      </c>
      <c r="K35" s="1">
        <f t="shared" si="5"/>
        <v>1.2340980408667157E-3</v>
      </c>
      <c r="L35" s="1">
        <f t="shared" si="6"/>
        <v>0.30000000000001958</v>
      </c>
      <c r="N35" s="1">
        <v>27</v>
      </c>
      <c r="O35" s="1">
        <f t="shared" si="7"/>
        <v>3.9838063197483262E-35</v>
      </c>
      <c r="P35" s="1">
        <f t="shared" si="8"/>
        <v>1</v>
      </c>
      <c r="Q35" s="1">
        <f t="shared" si="9"/>
        <v>0</v>
      </c>
      <c r="R35" s="1" t="e">
        <f t="shared" si="10"/>
        <v>#DIV/0!</v>
      </c>
      <c r="T35" s="1">
        <v>27</v>
      </c>
      <c r="U35" s="1">
        <f t="shared" si="17"/>
        <v>4.486527785725049E-3</v>
      </c>
      <c r="V35" s="1">
        <f t="shared" si="11"/>
        <v>0.66710953220817482</v>
      </c>
      <c r="W35" s="1">
        <f t="shared" si="12"/>
        <v>0.33289046779182518</v>
      </c>
      <c r="X35" s="1">
        <f t="shared" si="13"/>
        <v>1.3477489504237541E-2</v>
      </c>
      <c r="Z35" s="1">
        <v>27</v>
      </c>
      <c r="AA35" s="1">
        <f t="shared" si="14"/>
        <v>4.1183488835245213E-6</v>
      </c>
      <c r="AB35" s="1">
        <f t="shared" si="15"/>
        <v>1.5278620258924011E-4</v>
      </c>
      <c r="AD35" s="1">
        <v>27</v>
      </c>
      <c r="AE35" s="1">
        <f t="shared" si="18"/>
        <v>0.50000000000644274</v>
      </c>
      <c r="AF35" s="1">
        <f t="shared" si="19"/>
        <v>1.3477489504237541E-2</v>
      </c>
    </row>
    <row r="36" spans="2:32" x14ac:dyDescent="0.2">
      <c r="B36" s="1">
        <v>28</v>
      </c>
      <c r="C36" s="1">
        <f t="shared" si="0"/>
        <v>4.1576435955178394E-7</v>
      </c>
      <c r="D36" s="1">
        <f t="shared" si="1"/>
        <v>0.9999991684712809</v>
      </c>
      <c r="E36" s="1">
        <f t="shared" si="2"/>
        <v>8.3152871910296966E-7</v>
      </c>
      <c r="F36" s="1">
        <f t="shared" si="16"/>
        <v>0.50000000000035971</v>
      </c>
      <c r="H36" s="1">
        <v>28</v>
      </c>
      <c r="I36" s="1">
        <f t="shared" si="3"/>
        <v>2.7510618694185837E-4</v>
      </c>
      <c r="J36" s="1">
        <f t="shared" si="4"/>
        <v>0.99908625445051458</v>
      </c>
      <c r="K36" s="1">
        <f t="shared" si="5"/>
        <v>9.1374554948542297E-4</v>
      </c>
      <c r="L36" s="1">
        <f t="shared" si="6"/>
        <v>0.30107526881721591</v>
      </c>
      <c r="N36" s="1">
        <v>28</v>
      </c>
      <c r="O36" s="1">
        <f t="shared" si="7"/>
        <v>9.1636954988129413E-38</v>
      </c>
      <c r="P36" s="1">
        <f t="shared" si="8"/>
        <v>1</v>
      </c>
      <c r="Q36" s="1">
        <f t="shared" si="9"/>
        <v>0</v>
      </c>
      <c r="R36" s="1" t="e">
        <f t="shared" si="10"/>
        <v>#DIV/0!</v>
      </c>
      <c r="T36" s="1">
        <v>28</v>
      </c>
      <c r="U36" s="1">
        <f t="shared" si="17"/>
        <v>4.3033839447650648E-3</v>
      </c>
      <c r="V36" s="1">
        <f t="shared" si="11"/>
        <v>0.67150335081960921</v>
      </c>
      <c r="W36" s="1">
        <f t="shared" si="12"/>
        <v>0.32849664918039079</v>
      </c>
      <c r="X36" s="1">
        <f t="shared" si="13"/>
        <v>1.3100236959805039E-2</v>
      </c>
      <c r="Z36" s="1">
        <v>28</v>
      </c>
      <c r="AA36" s="1">
        <f t="shared" si="14"/>
        <v>2.5313156806246253E-6</v>
      </c>
      <c r="AB36" s="1">
        <f t="shared" si="15"/>
        <v>9.6613354719963707E-5</v>
      </c>
      <c r="AD36" s="1">
        <v>28</v>
      </c>
      <c r="AE36" s="1">
        <f t="shared" si="18"/>
        <v>0.50000000000035971</v>
      </c>
      <c r="AF36" s="1">
        <f t="shared" si="19"/>
        <v>1.3100236959805039E-2</v>
      </c>
    </row>
    <row r="37" spans="2:32" x14ac:dyDescent="0.2">
      <c r="B37" s="1">
        <v>29</v>
      </c>
      <c r="C37" s="1">
        <f t="shared" si="0"/>
        <v>2.5217383128394401E-7</v>
      </c>
      <c r="D37" s="1">
        <f t="shared" si="1"/>
        <v>0.99999949565233748</v>
      </c>
      <c r="E37" s="1">
        <f t="shared" si="2"/>
        <v>5.0434766252216434E-7</v>
      </c>
      <c r="F37" s="1">
        <f t="shared" si="16"/>
        <v>0.50000000004532952</v>
      </c>
      <c r="H37" s="1">
        <v>29</v>
      </c>
      <c r="I37" s="1">
        <f t="shared" si="3"/>
        <v>2.0416227512913684E-4</v>
      </c>
      <c r="J37" s="1">
        <f t="shared" si="4"/>
        <v>0.99932415246853801</v>
      </c>
      <c r="K37" s="1">
        <f t="shared" si="5"/>
        <v>6.7584753146199272E-4</v>
      </c>
      <c r="L37" s="1">
        <f t="shared" si="6"/>
        <v>0.30208333333332327</v>
      </c>
      <c r="N37" s="1">
        <v>29</v>
      </c>
      <c r="O37" s="1">
        <f t="shared" si="7"/>
        <v>1.6856946069882099E-40</v>
      </c>
      <c r="P37" s="1">
        <f t="shared" si="8"/>
        <v>1</v>
      </c>
      <c r="Q37" s="1">
        <f t="shared" si="9"/>
        <v>0</v>
      </c>
      <c r="R37" s="1" t="e">
        <f t="shared" si="10"/>
        <v>#DIV/0!</v>
      </c>
      <c r="T37" s="1">
        <v>29</v>
      </c>
      <c r="U37" s="1">
        <f t="shared" si="17"/>
        <v>4.1331822605889783E-3</v>
      </c>
      <c r="V37" s="1">
        <f t="shared" si="11"/>
        <v>0.67572061198033417</v>
      </c>
      <c r="W37" s="1">
        <f t="shared" si="12"/>
        <v>0.32427938801966583</v>
      </c>
      <c r="X37" s="1">
        <f t="shared" si="13"/>
        <v>1.2745744605692678E-2</v>
      </c>
      <c r="Z37" s="1">
        <v>29</v>
      </c>
      <c r="AA37" s="1">
        <f t="shared" si="14"/>
        <v>1.5552874501279691E-6</v>
      </c>
      <c r="AB37" s="1">
        <f t="shared" si="15"/>
        <v>6.1012027872201615E-5</v>
      </c>
      <c r="AD37" s="1">
        <v>29</v>
      </c>
      <c r="AE37" s="1">
        <f t="shared" si="18"/>
        <v>0.50000000004532952</v>
      </c>
      <c r="AF37" s="1">
        <f t="shared" si="19"/>
        <v>1.2745744605692678E-2</v>
      </c>
    </row>
    <row r="38" spans="2:32" x14ac:dyDescent="0.2">
      <c r="B38" s="1">
        <v>30</v>
      </c>
      <c r="C38" s="1">
        <f t="shared" si="0"/>
        <v>1.5295116025091289E-7</v>
      </c>
      <c r="D38" s="1">
        <f t="shared" si="1"/>
        <v>0.99999969409767953</v>
      </c>
      <c r="E38" s="1">
        <f t="shared" si="2"/>
        <v>3.059023204743383E-7</v>
      </c>
      <c r="F38" s="1">
        <f t="shared" si="16"/>
        <v>0.50000000004492851</v>
      </c>
      <c r="H38" s="1">
        <v>30</v>
      </c>
      <c r="I38" s="1">
        <f t="shared" si="3"/>
        <v>1.5133309920828297E-4</v>
      </c>
      <c r="J38" s="1">
        <f t="shared" si="4"/>
        <v>0.9995006007726126</v>
      </c>
      <c r="K38" s="1">
        <f t="shared" si="5"/>
        <v>4.9939922738739817E-4</v>
      </c>
      <c r="L38" s="1">
        <f t="shared" si="6"/>
        <v>0.30303030303026396</v>
      </c>
      <c r="N38" s="1">
        <v>30</v>
      </c>
      <c r="O38" s="1">
        <f t="shared" si="7"/>
        <v>2.4800506506804513E-43</v>
      </c>
      <c r="P38" s="1">
        <f t="shared" si="8"/>
        <v>1</v>
      </c>
      <c r="Q38" s="1">
        <f t="shared" si="9"/>
        <v>0</v>
      </c>
      <c r="R38" s="1" t="e">
        <f t="shared" si="10"/>
        <v>#DIV/0!</v>
      </c>
      <c r="T38" s="1">
        <v>30</v>
      </c>
      <c r="U38" s="1">
        <f t="shared" si="17"/>
        <v>3.9746307373911558E-3</v>
      </c>
      <c r="V38" s="1">
        <f t="shared" si="11"/>
        <v>0.67977359690244543</v>
      </c>
      <c r="W38" s="1">
        <f t="shared" si="12"/>
        <v>0.32022640309755457</v>
      </c>
      <c r="X38" s="1">
        <f t="shared" si="13"/>
        <v>1.2411939487014486E-2</v>
      </c>
      <c r="Z38" s="1">
        <v>30</v>
      </c>
      <c r="AA38" s="1">
        <f t="shared" si="14"/>
        <v>9.5526888949612149E-7</v>
      </c>
      <c r="AB38" s="1">
        <f t="shared" si="15"/>
        <v>3.8481854128493471E-5</v>
      </c>
      <c r="AD38" s="1">
        <v>30</v>
      </c>
      <c r="AE38" s="1">
        <f t="shared" si="18"/>
        <v>0.50000000004492851</v>
      </c>
      <c r="AF38" s="1">
        <f t="shared" si="19"/>
        <v>1.2411939487014486E-2</v>
      </c>
    </row>
    <row r="39" spans="2:32" x14ac:dyDescent="0.2">
      <c r="B39" s="1">
        <v>31</v>
      </c>
      <c r="C39" s="1">
        <f t="shared" si="0"/>
        <v>9.2769568130798918E-8</v>
      </c>
      <c r="D39" s="1">
        <f t="shared" si="1"/>
        <v>0.99999981446086372</v>
      </c>
      <c r="E39" s="1">
        <f t="shared" si="2"/>
        <v>1.8553913627705754E-7</v>
      </c>
      <c r="F39" s="1">
        <f t="shared" si="16"/>
        <v>0.49999999995833844</v>
      </c>
      <c r="H39" s="1">
        <v>31</v>
      </c>
      <c r="I39" s="1">
        <f t="shared" si="3"/>
        <v>1.1204940070586767E-4</v>
      </c>
      <c r="J39" s="1">
        <f t="shared" si="4"/>
        <v>0.99963132132670973</v>
      </c>
      <c r="K39" s="1">
        <f t="shared" si="5"/>
        <v>3.6867867329026804E-4</v>
      </c>
      <c r="L39" s="1">
        <f t="shared" si="6"/>
        <v>0.30392156862745612</v>
      </c>
      <c r="N39" s="1">
        <v>31</v>
      </c>
      <c r="O39" s="1">
        <f t="shared" si="7"/>
        <v>2.9184314802480794E-46</v>
      </c>
      <c r="P39" s="1">
        <f t="shared" si="8"/>
        <v>1</v>
      </c>
      <c r="Q39" s="1">
        <f t="shared" si="9"/>
        <v>0</v>
      </c>
      <c r="R39" s="1" t="e">
        <f t="shared" si="10"/>
        <v>#DIV/0!</v>
      </c>
      <c r="T39" s="1">
        <v>31</v>
      </c>
      <c r="U39" s="1">
        <f t="shared" si="17"/>
        <v>3.8266023376644564E-3</v>
      </c>
      <c r="V39" s="1">
        <f t="shared" si="11"/>
        <v>0.68367337961846553</v>
      </c>
      <c r="W39" s="1">
        <f t="shared" si="12"/>
        <v>0.31632662038153447</v>
      </c>
      <c r="X39" s="1">
        <f t="shared" si="13"/>
        <v>1.2096997505455074E-2</v>
      </c>
      <c r="Z39" s="1">
        <v>31</v>
      </c>
      <c r="AA39" s="1">
        <f t="shared" si="14"/>
        <v>5.8654290951950609E-7</v>
      </c>
      <c r="AB39" s="1">
        <f t="shared" si="15"/>
        <v>2.4243326048721399E-5</v>
      </c>
      <c r="AD39" s="1">
        <v>31</v>
      </c>
      <c r="AE39" s="1">
        <f t="shared" si="18"/>
        <v>0.49999999995833844</v>
      </c>
      <c r="AF39" s="1">
        <f t="shared" si="19"/>
        <v>1.2096997505455074E-2</v>
      </c>
    </row>
    <row r="40" spans="2:32" x14ac:dyDescent="0.2">
      <c r="B40" s="1">
        <v>32</v>
      </c>
      <c r="C40" s="1">
        <f t="shared" si="0"/>
        <v>5.6267587359629558E-8</v>
      </c>
      <c r="D40" s="1">
        <f t="shared" si="1"/>
        <v>0.99999988746482527</v>
      </c>
      <c r="E40" s="1">
        <f t="shared" si="2"/>
        <v>1.1253517473441832E-7</v>
      </c>
      <c r="F40" s="1">
        <f t="shared" si="16"/>
        <v>0.49999999993264682</v>
      </c>
      <c r="H40" s="1">
        <v>32</v>
      </c>
      <c r="I40" s="1">
        <f t="shared" si="3"/>
        <v>8.2876804063776116E-5</v>
      </c>
      <c r="J40" s="1">
        <f t="shared" si="4"/>
        <v>0.99972806048666574</v>
      </c>
      <c r="K40" s="1">
        <f t="shared" si="5"/>
        <v>2.7193951333426281E-4</v>
      </c>
      <c r="L40" s="1">
        <f t="shared" si="6"/>
        <v>0.30476190476190762</v>
      </c>
      <c r="N40" s="1">
        <v>32</v>
      </c>
      <c r="O40" s="1">
        <f t="shared" si="7"/>
        <v>2.7471122937236985E-49</v>
      </c>
      <c r="P40" s="1">
        <f t="shared" si="8"/>
        <v>1</v>
      </c>
      <c r="Q40" s="1">
        <f t="shared" si="9"/>
        <v>0</v>
      </c>
      <c r="R40" s="1" t="e">
        <f t="shared" si="10"/>
        <v>#DIV/0!</v>
      </c>
      <c r="T40" s="1">
        <v>32</v>
      </c>
      <c r="U40" s="1">
        <f t="shared" si="17"/>
        <v>3.6881095635674416E-3</v>
      </c>
      <c r="V40" s="1">
        <f t="shared" si="11"/>
        <v>0.6874299788058178</v>
      </c>
      <c r="W40" s="1">
        <f t="shared" si="12"/>
        <v>0.3125700211941822</v>
      </c>
      <c r="X40" s="1">
        <f t="shared" si="13"/>
        <v>1.1799306758456616E-2</v>
      </c>
      <c r="Z40" s="1">
        <v>32</v>
      </c>
      <c r="AA40" s="1">
        <f t="shared" si="14"/>
        <v>3.60031887589458E-7</v>
      </c>
      <c r="AB40" s="1">
        <f t="shared" si="15"/>
        <v>1.5256484762671459E-5</v>
      </c>
      <c r="AD40" s="1">
        <v>32</v>
      </c>
      <c r="AE40" s="1">
        <f t="shared" si="18"/>
        <v>0.49999999993264682</v>
      </c>
      <c r="AF40" s="1">
        <f t="shared" si="19"/>
        <v>1.1799306758456616E-2</v>
      </c>
    </row>
    <row r="41" spans="2:32" x14ac:dyDescent="0.2">
      <c r="B41" s="1">
        <v>33</v>
      </c>
      <c r="C41" s="1">
        <f t="shared" si="0"/>
        <v>3.412801688167435E-8</v>
      </c>
      <c r="D41" s="1">
        <f t="shared" si="1"/>
        <v>0.99999993174396629</v>
      </c>
      <c r="E41" s="1">
        <f t="shared" si="2"/>
        <v>6.8256033713964825E-8</v>
      </c>
      <c r="F41" s="1">
        <f t="shared" si="16"/>
        <v>0.50000000036175463</v>
      </c>
      <c r="H41" s="1">
        <v>33</v>
      </c>
      <c r="I41" s="1">
        <f t="shared" si="3"/>
        <v>6.1239569564234129E-5</v>
      </c>
      <c r="J41" s="1">
        <f t="shared" si="4"/>
        <v>0.99979957959051702</v>
      </c>
      <c r="K41" s="1">
        <f t="shared" si="5"/>
        <v>2.0042040948298201E-4</v>
      </c>
      <c r="L41" s="1">
        <f t="shared" si="6"/>
        <v>0.30555555555550379</v>
      </c>
      <c r="N41" s="1">
        <v>33</v>
      </c>
      <c r="O41" s="1">
        <f t="shared" si="7"/>
        <v>2.0685647315373738E-52</v>
      </c>
      <c r="P41" s="1">
        <f t="shared" si="8"/>
        <v>1</v>
      </c>
      <c r="Q41" s="1">
        <f t="shared" si="9"/>
        <v>0</v>
      </c>
      <c r="R41" s="1" t="e">
        <f t="shared" si="10"/>
        <v>#DIV/0!</v>
      </c>
      <c r="T41" s="1">
        <v>33</v>
      </c>
      <c r="U41" s="1">
        <f t="shared" si="17"/>
        <v>3.5582835905546232E-3</v>
      </c>
      <c r="V41" s="1">
        <f t="shared" si="11"/>
        <v>0.69105248655604912</v>
      </c>
      <c r="W41" s="1">
        <f t="shared" si="12"/>
        <v>0.30894751344395088</v>
      </c>
      <c r="X41" s="1">
        <f t="shared" si="13"/>
        <v>1.1517437220611149E-2</v>
      </c>
      <c r="Z41" s="1">
        <v>33</v>
      </c>
      <c r="AA41" s="1">
        <f t="shared" si="14"/>
        <v>2.209308401711665E-7</v>
      </c>
      <c r="AB41" s="1">
        <f t="shared" si="15"/>
        <v>9.5911458469095432E-6</v>
      </c>
      <c r="AD41" s="1">
        <v>33</v>
      </c>
      <c r="AE41" s="1">
        <f t="shared" si="18"/>
        <v>0.50000000036175463</v>
      </c>
      <c r="AF41" s="1">
        <f t="shared" si="19"/>
        <v>1.1517437220611149E-2</v>
      </c>
    </row>
    <row r="42" spans="2:32" x14ac:dyDescent="0.2">
      <c r="B42" s="1">
        <v>34</v>
      </c>
      <c r="C42" s="1">
        <f t="shared" si="0"/>
        <v>2.0699688593925834E-8</v>
      </c>
      <c r="D42" s="1">
        <f t="shared" si="1"/>
        <v>0.99999995860062285</v>
      </c>
      <c r="E42" s="1">
        <f t="shared" si="2"/>
        <v>4.1399377148643168E-8</v>
      </c>
      <c r="F42" s="1">
        <f t="shared" si="16"/>
        <v>0.50000000047353976</v>
      </c>
      <c r="H42" s="1">
        <v>34</v>
      </c>
      <c r="I42" s="1">
        <f t="shared" si="3"/>
        <v>4.5209768100618245E-5</v>
      </c>
      <c r="J42" s="1">
        <f t="shared" si="4"/>
        <v>0.99985240340414205</v>
      </c>
      <c r="K42" s="1">
        <f t="shared" si="5"/>
        <v>1.4759659585794616E-4</v>
      </c>
      <c r="L42" s="1">
        <f t="shared" si="6"/>
        <v>0.30630630630621208</v>
      </c>
      <c r="N42" s="1">
        <v>34</v>
      </c>
      <c r="O42" s="1">
        <f t="shared" si="7"/>
        <v>1.246100154642658E-55</v>
      </c>
      <c r="P42" s="1">
        <f t="shared" si="8"/>
        <v>1</v>
      </c>
      <c r="Q42" s="1">
        <f t="shared" si="9"/>
        <v>0</v>
      </c>
      <c r="R42" s="1" t="e">
        <f t="shared" si="10"/>
        <v>#DIV/0!</v>
      </c>
      <c r="T42" s="1">
        <v>34</v>
      </c>
      <c r="U42" s="1">
        <f t="shared" si="17"/>
        <v>3.4363570303201575E-3</v>
      </c>
      <c r="V42" s="1">
        <f t="shared" si="11"/>
        <v>0.69454917815968598</v>
      </c>
      <c r="W42" s="1">
        <f t="shared" si="12"/>
        <v>0.30545082184031402</v>
      </c>
      <c r="X42" s="1">
        <f t="shared" si="13"/>
        <v>1.1250115516522143E-2</v>
      </c>
      <c r="Z42" s="1">
        <v>34</v>
      </c>
      <c r="AA42" s="1">
        <f t="shared" si="14"/>
        <v>1.3553532741937181E-7</v>
      </c>
      <c r="AB42" s="1">
        <f t="shared" si="15"/>
        <v>6.023730482975249E-6</v>
      </c>
      <c r="AD42" s="1">
        <v>34</v>
      </c>
      <c r="AE42" s="1">
        <f t="shared" si="18"/>
        <v>0.50000000047353976</v>
      </c>
      <c r="AF42" s="1">
        <f t="shared" si="19"/>
        <v>1.1250115516522143E-2</v>
      </c>
    </row>
    <row r="43" spans="2:32" x14ac:dyDescent="0.2">
      <c r="B43" s="1">
        <v>35</v>
      </c>
      <c r="C43" s="1">
        <f t="shared" si="0"/>
        <v>1.2554995778719909E-8</v>
      </c>
      <c r="D43" s="1">
        <f t="shared" si="1"/>
        <v>0.99999997489000847</v>
      </c>
      <c r="E43" s="1">
        <f t="shared" si="2"/>
        <v>2.5109991530491982E-8</v>
      </c>
      <c r="F43" s="1">
        <f t="shared" si="16"/>
        <v>0.50000000053659588</v>
      </c>
      <c r="H43" s="1">
        <v>35</v>
      </c>
      <c r="I43" s="1">
        <f t="shared" si="3"/>
        <v>3.3346985399281164E-5</v>
      </c>
      <c r="J43" s="1">
        <f t="shared" si="4"/>
        <v>0.99989138410469947</v>
      </c>
      <c r="K43" s="1">
        <f t="shared" si="5"/>
        <v>1.086158953005345E-4</v>
      </c>
      <c r="L43" s="1">
        <f t="shared" si="6"/>
        <v>0.30701754385959623</v>
      </c>
      <c r="N43" s="1">
        <v>35</v>
      </c>
      <c r="O43" s="1">
        <f t="shared" si="7"/>
        <v>6.005525969269334E-59</v>
      </c>
      <c r="P43" s="1">
        <f t="shared" si="8"/>
        <v>1</v>
      </c>
      <c r="Q43" s="1">
        <f t="shared" si="9"/>
        <v>0</v>
      </c>
      <c r="R43" s="1" t="e">
        <f t="shared" si="10"/>
        <v>#DIV/0!</v>
      </c>
      <c r="T43" s="1">
        <v>35</v>
      </c>
      <c r="U43" s="1">
        <f t="shared" si="17"/>
        <v>3.3216496078927733E-3</v>
      </c>
      <c r="V43" s="1">
        <f t="shared" si="11"/>
        <v>0.6979276061635189</v>
      </c>
      <c r="W43" s="1">
        <f t="shared" si="12"/>
        <v>0.3020723938364811</v>
      </c>
      <c r="X43" s="1">
        <f t="shared" si="13"/>
        <v>1.0996203809643262E-2</v>
      </c>
      <c r="Z43" s="1">
        <v>35</v>
      </c>
      <c r="AA43" s="1">
        <f t="shared" si="14"/>
        <v>8.3125740858281183E-8</v>
      </c>
      <c r="AB43" s="1">
        <f t="shared" si="15"/>
        <v>3.7797471921442951E-6</v>
      </c>
      <c r="AD43" s="1">
        <v>35</v>
      </c>
      <c r="AE43" s="1">
        <f t="shared" si="18"/>
        <v>0.50000000053659588</v>
      </c>
      <c r="AF43" s="1">
        <f t="shared" si="19"/>
        <v>1.0996203809643262E-2</v>
      </c>
    </row>
    <row r="44" spans="2:32" x14ac:dyDescent="0.2">
      <c r="B44" s="1">
        <v>36</v>
      </c>
      <c r="C44" s="1">
        <f t="shared" si="0"/>
        <v>7.6149898723563146E-9</v>
      </c>
      <c r="D44" s="1">
        <f t="shared" si="1"/>
        <v>0.99999998477002028</v>
      </c>
      <c r="E44" s="1">
        <f t="shared" si="2"/>
        <v>1.5229979721809173E-8</v>
      </c>
      <c r="F44" s="1">
        <f t="shared" si="16"/>
        <v>0.50000000075192008</v>
      </c>
      <c r="H44" s="1">
        <v>36</v>
      </c>
      <c r="I44" s="1">
        <f t="shared" si="3"/>
        <v>2.4576849413312849E-5</v>
      </c>
      <c r="J44" s="1">
        <f t="shared" si="4"/>
        <v>0.99992012523940677</v>
      </c>
      <c r="K44" s="1">
        <f t="shared" si="5"/>
        <v>7.9874760593234839E-5</v>
      </c>
      <c r="L44" s="1">
        <f t="shared" si="6"/>
        <v>0.30769230769243067</v>
      </c>
      <c r="N44" s="1">
        <v>36</v>
      </c>
      <c r="O44" s="1">
        <f t="shared" si="7"/>
        <v>2.3157122493186398E-62</v>
      </c>
      <c r="P44" s="1">
        <f t="shared" si="8"/>
        <v>1</v>
      </c>
      <c r="Q44" s="1">
        <f t="shared" si="9"/>
        <v>0</v>
      </c>
      <c r="R44" s="1" t="e">
        <f t="shared" si="10"/>
        <v>#DIV/0!</v>
      </c>
      <c r="T44" s="1">
        <v>36</v>
      </c>
      <c r="U44" s="1">
        <f t="shared" si="17"/>
        <v>3.2135561943201934E-3</v>
      </c>
      <c r="V44" s="1">
        <f t="shared" si="11"/>
        <v>0.70119468132387408</v>
      </c>
      <c r="W44" s="1">
        <f t="shared" si="12"/>
        <v>0.29880531867612592</v>
      </c>
      <c r="X44" s="1">
        <f t="shared" si="13"/>
        <v>1.0754682040326586E-2</v>
      </c>
      <c r="Z44" s="1">
        <v>36</v>
      </c>
      <c r="AA44" s="1">
        <f t="shared" si="14"/>
        <v>5.0969573732109157E-8</v>
      </c>
      <c r="AB44" s="1">
        <f t="shared" si="15"/>
        <v>2.3696457792819818E-6</v>
      </c>
      <c r="AD44" s="1">
        <v>36</v>
      </c>
      <c r="AE44" s="1">
        <f t="shared" si="18"/>
        <v>0.50000000075192008</v>
      </c>
      <c r="AF44" s="1">
        <f t="shared" si="19"/>
        <v>1.0754682040326586E-2</v>
      </c>
    </row>
    <row r="45" spans="2:32" x14ac:dyDescent="0.2">
      <c r="B45" s="1">
        <v>37</v>
      </c>
      <c r="C45" s="1">
        <f t="shared" si="0"/>
        <v>4.6187248309852972E-9</v>
      </c>
      <c r="D45" s="1">
        <f t="shared" si="1"/>
        <v>0.99999999076255031</v>
      </c>
      <c r="E45" s="1">
        <f t="shared" si="2"/>
        <v>9.2374496940550443E-9</v>
      </c>
      <c r="F45" s="1">
        <f>+C45/E45</f>
        <v>0.49999999826334912</v>
      </c>
      <c r="H45" s="1">
        <v>37</v>
      </c>
      <c r="I45" s="1">
        <f t="shared" si="3"/>
        <v>1.8099251067670591E-5</v>
      </c>
      <c r="J45" s="1">
        <f t="shared" si="4"/>
        <v>0.999941299726267</v>
      </c>
      <c r="K45" s="1">
        <f t="shared" si="5"/>
        <v>5.870027373300335E-5</v>
      </c>
      <c r="L45" s="1">
        <f t="shared" si="6"/>
        <v>0.30833333333324064</v>
      </c>
      <c r="N45" s="1">
        <v>37</v>
      </c>
      <c r="O45" s="1">
        <f t="shared" si="7"/>
        <v>7.1445193790321659E-66</v>
      </c>
      <c r="P45" s="1">
        <f t="shared" si="8"/>
        <v>1</v>
      </c>
      <c r="Q45" s="1">
        <f t="shared" si="9"/>
        <v>0</v>
      </c>
      <c r="R45" s="1" t="e">
        <f t="shared" si="10"/>
        <v>#DIV/0!</v>
      </c>
      <c r="T45" s="1">
        <v>37</v>
      </c>
      <c r="U45" s="1">
        <f t="shared" si="17"/>
        <v>3.1115367554341534E-3</v>
      </c>
      <c r="V45" s="1">
        <f t="shared" si="11"/>
        <v>0.70435674258306835</v>
      </c>
      <c r="W45" s="1">
        <f t="shared" si="12"/>
        <v>0.29564325741693165</v>
      </c>
      <c r="X45" s="1">
        <f t="shared" si="13"/>
        <v>1.0524632905955643E-2</v>
      </c>
      <c r="Z45" s="1">
        <v>37</v>
      </c>
      <c r="AA45" s="1">
        <f t="shared" si="14"/>
        <v>3.1245257459154252E-8</v>
      </c>
      <c r="AB45" s="1">
        <f t="shared" si="15"/>
        <v>1.4843870389507404E-6</v>
      </c>
      <c r="AD45" s="1">
        <v>37</v>
      </c>
      <c r="AE45" s="1">
        <f t="shared" si="18"/>
        <v>0.49999999826334912</v>
      </c>
      <c r="AF45" s="1">
        <f t="shared" si="19"/>
        <v>1.0524632905955643E-2</v>
      </c>
    </row>
    <row r="46" spans="2:32" x14ac:dyDescent="0.2">
      <c r="B46" s="1">
        <v>38</v>
      </c>
      <c r="C46" s="1">
        <f t="shared" si="0"/>
        <v>2.8013982187686339E-9</v>
      </c>
      <c r="D46" s="1">
        <f t="shared" si="1"/>
        <v>0.99999999439720355</v>
      </c>
      <c r="E46" s="1">
        <f t="shared" si="2"/>
        <v>5.6027964490112936E-9</v>
      </c>
      <c r="F46" s="1">
        <f t="shared" si="16"/>
        <v>0.49999999897604475</v>
      </c>
      <c r="H46" s="1">
        <v>38</v>
      </c>
      <c r="I46" s="1">
        <f t="shared" si="3"/>
        <v>1.3319184955163212E-5</v>
      </c>
      <c r="J46" s="1">
        <f t="shared" si="4"/>
        <v>0.99995688790132942</v>
      </c>
      <c r="K46" s="1">
        <f t="shared" si="5"/>
        <v>4.3112098670583521E-5</v>
      </c>
      <c r="L46" s="1">
        <f t="shared" si="6"/>
        <v>0.30894308943144144</v>
      </c>
      <c r="N46" s="1">
        <v>38</v>
      </c>
      <c r="O46" s="1">
        <f t="shared" si="7"/>
        <v>1.763738554904505E-69</v>
      </c>
      <c r="P46" s="1">
        <f t="shared" si="8"/>
        <v>1</v>
      </c>
      <c r="Q46" s="1">
        <f t="shared" si="9"/>
        <v>0</v>
      </c>
      <c r="R46" s="1" t="e">
        <f t="shared" si="10"/>
        <v>#DIV/0!</v>
      </c>
      <c r="T46" s="1">
        <v>38</v>
      </c>
      <c r="U46" s="1">
        <f t="shared" si="17"/>
        <v>3.0151078684357512E-3</v>
      </c>
      <c r="V46" s="1">
        <f t="shared" si="11"/>
        <v>0.70741961780435236</v>
      </c>
      <c r="W46" s="1">
        <f t="shared" si="12"/>
        <v>0.29258038219564764</v>
      </c>
      <c r="X46" s="1">
        <f t="shared" si="13"/>
        <v>1.0305229099125167E-2</v>
      </c>
      <c r="Z46" s="1">
        <v>38</v>
      </c>
      <c r="AA46" s="1">
        <f t="shared" si="14"/>
        <v>1.9149597136231505E-8</v>
      </c>
      <c r="AB46" s="1">
        <f t="shared" si="15"/>
        <v>9.291203966848488E-7</v>
      </c>
      <c r="AD46" s="1">
        <v>38</v>
      </c>
      <c r="AE46" s="1">
        <f t="shared" si="18"/>
        <v>0.49999999897604475</v>
      </c>
      <c r="AF46" s="1">
        <f t="shared" si="19"/>
        <v>1.0305229099125167E-2</v>
      </c>
    </row>
    <row r="47" spans="2:32" x14ac:dyDescent="0.2">
      <c r="B47" s="1">
        <v>39</v>
      </c>
      <c r="C47" s="1">
        <f t="shared" si="0"/>
        <v>1.6991339097475355E-9</v>
      </c>
      <c r="D47" s="1">
        <f t="shared" si="1"/>
        <v>0.99999999660173222</v>
      </c>
      <c r="E47" s="1">
        <f t="shared" si="2"/>
        <v>3.3982677782873338E-9</v>
      </c>
      <c r="F47" s="1">
        <f t="shared" si="16"/>
        <v>0.5000000060630504</v>
      </c>
      <c r="H47" s="1">
        <v>39</v>
      </c>
      <c r="I47" s="1">
        <f t="shared" si="3"/>
        <v>9.7947607635845712E-6</v>
      </c>
      <c r="J47" s="1">
        <f t="shared" si="4"/>
        <v>0.99996835538830231</v>
      </c>
      <c r="K47" s="1">
        <f t="shared" si="5"/>
        <v>3.164461169768984E-5</v>
      </c>
      <c r="L47" s="1">
        <f t="shared" si="6"/>
        <v>0.30952380952424896</v>
      </c>
      <c r="N47" s="1">
        <v>39</v>
      </c>
      <c r="O47" s="1">
        <f t="shared" si="7"/>
        <v>3.4840521869775733E-73</v>
      </c>
      <c r="P47" s="1">
        <f t="shared" si="8"/>
        <v>1</v>
      </c>
      <c r="Q47" s="1">
        <f t="shared" si="9"/>
        <v>0</v>
      </c>
      <c r="R47" s="1" t="e">
        <f t="shared" si="10"/>
        <v>#DIV/0!</v>
      </c>
      <c r="T47" s="1">
        <v>39</v>
      </c>
      <c r="U47" s="1">
        <f t="shared" si="17"/>
        <v>2.9238355285188746E-3</v>
      </c>
      <c r="V47" s="1">
        <f t="shared" si="11"/>
        <v>0.71038867668911476</v>
      </c>
      <c r="W47" s="1">
        <f t="shared" si="12"/>
        <v>0.28961132331088524</v>
      </c>
      <c r="X47" s="1">
        <f t="shared" si="13"/>
        <v>1.0095722415453569E-2</v>
      </c>
      <c r="Z47" s="1">
        <v>39</v>
      </c>
      <c r="AA47" s="1">
        <f t="shared" si="14"/>
        <v>1.1733891269988226E-8</v>
      </c>
      <c r="AB47" s="1">
        <f t="shared" si="15"/>
        <v>5.8113183630690217E-7</v>
      </c>
      <c r="AD47" s="1">
        <v>39</v>
      </c>
      <c r="AE47" s="1">
        <f t="shared" si="18"/>
        <v>0.5000000060630504</v>
      </c>
      <c r="AF47" s="1">
        <f t="shared" si="19"/>
        <v>1.0095722415453569E-2</v>
      </c>
    </row>
    <row r="48" spans="2:32" x14ac:dyDescent="0.2">
      <c r="B48" s="1">
        <v>40</v>
      </c>
      <c r="C48" s="1">
        <f t="shared" si="0"/>
        <v>1.0305768112192789E-9</v>
      </c>
      <c r="D48" s="1">
        <f t="shared" si="1"/>
        <v>0.99999999793884642</v>
      </c>
      <c r="E48" s="1">
        <f t="shared" si="2"/>
        <v>2.0611535811454473E-9</v>
      </c>
      <c r="F48" s="1">
        <f t="shared" si="16"/>
        <v>0.50000001001699024</v>
      </c>
      <c r="H48" s="1">
        <v>40</v>
      </c>
      <c r="I48" s="1">
        <f t="shared" si="3"/>
        <v>7.1982079658338251E-6</v>
      </c>
      <c r="J48" s="1">
        <f t="shared" si="4"/>
        <v>0.99997678577931026</v>
      </c>
      <c r="K48" s="1">
        <f t="shared" si="5"/>
        <v>2.3214220689737886E-5</v>
      </c>
      <c r="L48" s="1">
        <f t="shared" si="6"/>
        <v>0.31007751938086281</v>
      </c>
      <c r="N48" s="1">
        <v>40</v>
      </c>
      <c r="O48" s="1">
        <f t="shared" si="7"/>
        <v>5.507310767792645E-77</v>
      </c>
      <c r="P48" s="1">
        <f t="shared" si="8"/>
        <v>1</v>
      </c>
      <c r="Q48" s="1">
        <f t="shared" si="9"/>
        <v>0</v>
      </c>
      <c r="R48" s="1" t="e">
        <f t="shared" si="10"/>
        <v>#DIV/0!</v>
      </c>
      <c r="T48" s="1">
        <v>40</v>
      </c>
      <c r="U48" s="1">
        <f t="shared" si="17"/>
        <v>2.8373290225805082E-3</v>
      </c>
      <c r="V48" s="1">
        <f t="shared" si="11"/>
        <v>0.71326887705088549</v>
      </c>
      <c r="W48" s="1">
        <f t="shared" si="12"/>
        <v>0.28673112294911451</v>
      </c>
      <c r="X48" s="1">
        <f t="shared" si="13"/>
        <v>9.8954344174351869E-3</v>
      </c>
      <c r="Z48" s="1">
        <v>40</v>
      </c>
      <c r="AA48" s="1">
        <f t="shared" si="14"/>
        <v>7.1884543259408758E-9</v>
      </c>
      <c r="AB48" s="1">
        <f t="shared" si="15"/>
        <v>3.6322076256139825E-7</v>
      </c>
      <c r="AD48" s="1">
        <v>40</v>
      </c>
      <c r="AE48" s="1">
        <f t="shared" si="18"/>
        <v>0.50000001001699024</v>
      </c>
      <c r="AF48" s="1">
        <f t="shared" si="19"/>
        <v>9.8954344174351869E-3</v>
      </c>
    </row>
    <row r="49" spans="2:32" x14ac:dyDescent="0.2">
      <c r="B49" s="1">
        <v>41</v>
      </c>
      <c r="C49" s="1">
        <f t="shared" si="0"/>
        <v>6.2507643319337128E-10</v>
      </c>
      <c r="D49" s="1">
        <f t="shared" si="1"/>
        <v>0.99999999874984713</v>
      </c>
      <c r="E49" s="1">
        <f t="shared" si="2"/>
        <v>1.2501528701136522E-9</v>
      </c>
      <c r="F49" s="1">
        <f t="shared" si="16"/>
        <v>0.49999999850941845</v>
      </c>
      <c r="H49" s="1">
        <v>41</v>
      </c>
      <c r="I49" s="1">
        <f t="shared" si="3"/>
        <v>5.2866849222301438E-6</v>
      </c>
      <c r="J49" s="1">
        <f t="shared" si="4"/>
        <v>0.99998297945342118</v>
      </c>
      <c r="K49" s="1">
        <f t="shared" si="5"/>
        <v>1.7020546578816464E-5</v>
      </c>
      <c r="L49" s="1">
        <f t="shared" si="6"/>
        <v>0.31060606060735313</v>
      </c>
      <c r="N49" s="1">
        <v>41</v>
      </c>
      <c r="O49" s="1">
        <f t="shared" si="7"/>
        <v>6.9664754647025432E-81</v>
      </c>
      <c r="P49" s="1">
        <f t="shared" si="8"/>
        <v>1</v>
      </c>
      <c r="Q49" s="1">
        <f t="shared" si="9"/>
        <v>0</v>
      </c>
      <c r="R49" s="1" t="e">
        <f t="shared" si="10"/>
        <v>#DIV/0!</v>
      </c>
      <c r="T49" s="1">
        <v>41</v>
      </c>
      <c r="U49" s="1">
        <f t="shared" si="17"/>
        <v>2.75523569001722E-3</v>
      </c>
      <c r="V49" s="1">
        <f t="shared" si="11"/>
        <v>0.71606480542006046</v>
      </c>
      <c r="W49" s="1">
        <f t="shared" si="12"/>
        <v>0.28393519457993954</v>
      </c>
      <c r="X49" s="1">
        <f t="shared" si="13"/>
        <v>9.7037483996775427E-3</v>
      </c>
      <c r="Z49" s="1">
        <v>41</v>
      </c>
      <c r="AA49" s="1">
        <f t="shared" si="14"/>
        <v>4.4029514268675211E-9</v>
      </c>
      <c r="AB49" s="1">
        <f t="shared" si="15"/>
        <v>2.2686858894073944E-7</v>
      </c>
      <c r="AD49" s="1">
        <v>41</v>
      </c>
      <c r="AE49" s="1">
        <f t="shared" si="18"/>
        <v>0.49999999850941845</v>
      </c>
      <c r="AF49" s="1">
        <f t="shared" si="19"/>
        <v>9.7037483996775427E-3</v>
      </c>
    </row>
    <row r="50" spans="2:32" x14ac:dyDescent="0.2">
      <c r="B50" s="1">
        <v>42</v>
      </c>
      <c r="C50" s="1">
        <f t="shared" si="0"/>
        <v>3.7912802139559533E-10</v>
      </c>
      <c r="D50" s="1">
        <f t="shared" si="1"/>
        <v>0.99999999924174399</v>
      </c>
      <c r="E50" s="1">
        <f t="shared" si="2"/>
        <v>7.582560135332983E-10</v>
      </c>
      <c r="F50" s="1">
        <f t="shared" si="16"/>
        <v>0.50000001929288518</v>
      </c>
      <c r="H50" s="1">
        <v>42</v>
      </c>
      <c r="I50" s="1">
        <f t="shared" si="3"/>
        <v>3.8804673558166539E-6</v>
      </c>
      <c r="J50" s="1">
        <f t="shared" si="4"/>
        <v>0.99998752706921346</v>
      </c>
      <c r="K50" s="1">
        <f t="shared" si="5"/>
        <v>1.2472930786544545E-5</v>
      </c>
      <c r="L50" s="1">
        <f t="shared" si="6"/>
        <v>0.31111111111133521</v>
      </c>
      <c r="N50" s="1">
        <v>42</v>
      </c>
      <c r="O50" s="1">
        <f t="shared" si="7"/>
        <v>7.0520977517317653E-85</v>
      </c>
      <c r="P50" s="1">
        <f t="shared" si="8"/>
        <v>1</v>
      </c>
      <c r="Q50" s="1">
        <f t="shared" si="9"/>
        <v>0</v>
      </c>
      <c r="R50" s="1" t="e">
        <f t="shared" si="10"/>
        <v>#DIV/0!</v>
      </c>
      <c r="T50" s="1">
        <v>42</v>
      </c>
      <c r="U50" s="1">
        <f t="shared" si="17"/>
        <v>2.6772364244706331E-3</v>
      </c>
      <c r="V50" s="1">
        <f t="shared" si="11"/>
        <v>0.71878071279086309</v>
      </c>
      <c r="W50" s="1">
        <f t="shared" si="12"/>
        <v>0.28121928720913691</v>
      </c>
      <c r="X50" s="1">
        <f t="shared" si="13"/>
        <v>9.5201024475950261E-3</v>
      </c>
      <c r="Z50" s="1">
        <v>42</v>
      </c>
      <c r="AA50" s="1">
        <f t="shared" si="14"/>
        <v>2.6963158219279575E-9</v>
      </c>
      <c r="AB50" s="1">
        <f t="shared" si="15"/>
        <v>1.4161170747949909E-7</v>
      </c>
      <c r="AD50" s="1">
        <v>42</v>
      </c>
      <c r="AE50" s="1">
        <f t="shared" si="18"/>
        <v>0.50000001929288518</v>
      </c>
      <c r="AF50" s="1">
        <f t="shared" si="19"/>
        <v>9.5201024475950261E-3</v>
      </c>
    </row>
    <row r="51" spans="2:32" x14ac:dyDescent="0.2">
      <c r="B51" s="1">
        <v>43</v>
      </c>
      <c r="C51" s="1">
        <f t="shared" si="0"/>
        <v>2.2995276893261583E-10</v>
      </c>
      <c r="D51" s="1">
        <f t="shared" si="1"/>
        <v>0.99999999954009444</v>
      </c>
      <c r="E51" s="1">
        <f t="shared" si="2"/>
        <v>4.5990555808117506E-10</v>
      </c>
      <c r="F51" s="1">
        <f t="shared" si="16"/>
        <v>0.49999997802163615</v>
      </c>
      <c r="H51" s="1">
        <v>43</v>
      </c>
      <c r="I51" s="1">
        <f t="shared" si="3"/>
        <v>2.84667817819978E-6</v>
      </c>
      <c r="J51" s="1">
        <f t="shared" si="4"/>
        <v>0.99999086414910254</v>
      </c>
      <c r="K51" s="1">
        <f t="shared" si="5"/>
        <v>9.135850897457054E-6</v>
      </c>
      <c r="L51" s="1">
        <f t="shared" si="6"/>
        <v>0.31159420289927753</v>
      </c>
      <c r="N51" s="1">
        <v>43</v>
      </c>
      <c r="O51" s="1">
        <f t="shared" si="7"/>
        <v>5.7130415405197274E-89</v>
      </c>
      <c r="P51" s="1">
        <f t="shared" si="8"/>
        <v>1</v>
      </c>
      <c r="Q51" s="1">
        <f t="shared" si="9"/>
        <v>0</v>
      </c>
      <c r="R51" s="1" t="e">
        <f t="shared" si="10"/>
        <v>#DIV/0!</v>
      </c>
      <c r="T51" s="1">
        <v>43</v>
      </c>
      <c r="U51" s="1">
        <f t="shared" si="17"/>
        <v>2.6030417972476424E-3</v>
      </c>
      <c r="V51" s="1">
        <f t="shared" si="11"/>
        <v>0.72142054618986062</v>
      </c>
      <c r="W51" s="1">
        <f t="shared" si="12"/>
        <v>0.27857945381013938</v>
      </c>
      <c r="X51" s="1">
        <f t="shared" si="13"/>
        <v>9.3439834188981385E-3</v>
      </c>
      <c r="Z51" s="1">
        <v>43</v>
      </c>
      <c r="AA51" s="1">
        <f t="shared" si="14"/>
        <v>1.6508954691059704E-9</v>
      </c>
      <c r="AB51" s="1">
        <f t="shared" si="15"/>
        <v>8.8340021729869714E-8</v>
      </c>
      <c r="AD51" s="1">
        <v>43</v>
      </c>
      <c r="AE51" s="1">
        <f t="shared" si="18"/>
        <v>0.49999997802163615</v>
      </c>
      <c r="AF51" s="1">
        <f t="shared" si="19"/>
        <v>9.3439834188981385E-3</v>
      </c>
    </row>
    <row r="52" spans="2:32" x14ac:dyDescent="0.2">
      <c r="B52" s="1">
        <v>44</v>
      </c>
      <c r="C52" s="1">
        <f t="shared" si="0"/>
        <v>1.3947340464344623E-10</v>
      </c>
      <c r="D52" s="1">
        <f t="shared" si="1"/>
        <v>0.99999999972105325</v>
      </c>
      <c r="E52" s="1">
        <f t="shared" si="2"/>
        <v>2.7894675458384199E-10</v>
      </c>
      <c r="F52" s="1">
        <f t="shared" si="16"/>
        <v>0.50000009805285339</v>
      </c>
      <c r="H52" s="1">
        <v>44</v>
      </c>
      <c r="I52" s="1">
        <f t="shared" si="3"/>
        <v>2.0871697212911882E-6</v>
      </c>
      <c r="J52" s="1">
        <f t="shared" si="4"/>
        <v>0.99999331156975679</v>
      </c>
      <c r="K52" s="1">
        <f t="shared" si="5"/>
        <v>6.6884302432068665E-6</v>
      </c>
      <c r="L52" s="1">
        <f t="shared" si="6"/>
        <v>0.31205673758966557</v>
      </c>
      <c r="N52" s="1">
        <v>44</v>
      </c>
      <c r="O52" s="1">
        <f t="shared" si="7"/>
        <v>3.7040053992995046E-93</v>
      </c>
      <c r="P52" s="1">
        <f t="shared" si="8"/>
        <v>1</v>
      </c>
      <c r="Q52" s="1">
        <f t="shared" si="9"/>
        <v>0</v>
      </c>
      <c r="R52" s="1" t="e">
        <f t="shared" si="10"/>
        <v>#DIV/0!</v>
      </c>
      <c r="T52" s="1">
        <v>44</v>
      </c>
      <c r="U52" s="1">
        <f t="shared" si="17"/>
        <v>2.5323887045753802E-3</v>
      </c>
      <c r="V52" s="1">
        <f t="shared" si="11"/>
        <v>0.72398797663720016</v>
      </c>
      <c r="W52" s="1">
        <f t="shared" si="12"/>
        <v>0.27601202336279984</v>
      </c>
      <c r="X52" s="1">
        <f t="shared" si="13"/>
        <v>9.1749217071124475E-3</v>
      </c>
      <c r="Z52" s="1">
        <v>44</v>
      </c>
      <c r="AA52" s="1">
        <f t="shared" si="14"/>
        <v>1.0106326209463152E-9</v>
      </c>
      <c r="AB52" s="1">
        <f t="shared" si="15"/>
        <v>5.5075827968847506E-8</v>
      </c>
      <c r="AD52" s="1">
        <v>44</v>
      </c>
      <c r="AE52" s="1">
        <f t="shared" si="18"/>
        <v>0.50000009805285339</v>
      </c>
      <c r="AF52" s="1">
        <f t="shared" si="19"/>
        <v>9.1749217071124475E-3</v>
      </c>
    </row>
    <row r="53" spans="2:32" x14ac:dyDescent="0.2">
      <c r="B53" s="1">
        <v>45</v>
      </c>
      <c r="C53" s="1">
        <f t="shared" si="0"/>
        <v>8.4594896130756521E-11</v>
      </c>
      <c r="D53" s="1">
        <f t="shared" si="1"/>
        <v>0.99999999983081023</v>
      </c>
      <c r="E53" s="1">
        <f t="shared" si="2"/>
        <v>1.6918977330249163E-10</v>
      </c>
      <c r="F53" s="1">
        <f t="shared" si="16"/>
        <v>0.50000005602886344</v>
      </c>
      <c r="H53" s="1">
        <v>45</v>
      </c>
      <c r="I53" s="1">
        <f t="shared" si="3"/>
        <v>1.529511602509131E-6</v>
      </c>
      <c r="J53" s="1">
        <f t="shared" si="4"/>
        <v>0.99999510556287197</v>
      </c>
      <c r="K53" s="1">
        <f t="shared" si="5"/>
        <v>4.8944371280335019E-6</v>
      </c>
      <c r="L53" s="1">
        <f t="shared" si="6"/>
        <v>0.31249999999972655</v>
      </c>
      <c r="N53" s="1">
        <v>45</v>
      </c>
      <c r="O53" s="1">
        <f t="shared" si="7"/>
        <v>1.9219477278238484E-97</v>
      </c>
      <c r="P53" s="1">
        <f t="shared" si="8"/>
        <v>1</v>
      </c>
      <c r="Q53" s="1">
        <f t="shared" si="9"/>
        <v>0</v>
      </c>
      <c r="R53" s="1" t="e">
        <f t="shared" si="10"/>
        <v>#DIV/0!</v>
      </c>
      <c r="T53" s="1">
        <v>45</v>
      </c>
      <c r="U53" s="1">
        <f t="shared" si="17"/>
        <v>2.4650374580487975E-3</v>
      </c>
      <c r="V53" s="1">
        <f t="shared" si="11"/>
        <v>0.72648642398279106</v>
      </c>
      <c r="W53" s="1">
        <f t="shared" si="12"/>
        <v>0.27351357601720894</v>
      </c>
      <c r="X53" s="1">
        <f t="shared" si="13"/>
        <v>9.0124866704740913E-3</v>
      </c>
      <c r="Z53" s="1">
        <v>45</v>
      </c>
      <c r="AA53" s="1">
        <f t="shared" si="14"/>
        <v>6.1857906933236303E-10</v>
      </c>
      <c r="AB53" s="1">
        <f t="shared" si="15"/>
        <v>3.4317894786766317E-8</v>
      </c>
      <c r="AD53" s="1">
        <v>45</v>
      </c>
      <c r="AE53" s="1">
        <f t="shared" si="18"/>
        <v>0.50000005602886344</v>
      </c>
      <c r="AF53" s="1">
        <f t="shared" si="19"/>
        <v>9.0124866704740913E-3</v>
      </c>
    </row>
    <row r="54" spans="2:32" x14ac:dyDescent="0.2">
      <c r="B54" s="1">
        <v>46</v>
      </c>
      <c r="C54" s="1">
        <f t="shared" si="0"/>
        <v>5.1309398158509451E-11</v>
      </c>
      <c r="D54" s="1">
        <f t="shared" si="1"/>
        <v>0.9999999998973812</v>
      </c>
      <c r="E54" s="1">
        <f t="shared" si="2"/>
        <v>1.0261880234452292E-10</v>
      </c>
      <c r="F54" s="1">
        <f t="shared" si="16"/>
        <v>0.49999997063158075</v>
      </c>
      <c r="H54" s="1">
        <v>46</v>
      </c>
      <c r="I54" s="1">
        <f t="shared" si="3"/>
        <v>1.1202972409299861E-6</v>
      </c>
      <c r="J54" s="1">
        <f t="shared" si="4"/>
        <v>0.99999641991968657</v>
      </c>
      <c r="K54" s="1">
        <f t="shared" si="5"/>
        <v>3.5800803134256043E-6</v>
      </c>
      <c r="L54" s="1">
        <f t="shared" si="6"/>
        <v>0.31292517006637438</v>
      </c>
      <c r="N54" s="1">
        <v>46</v>
      </c>
      <c r="O54" s="1">
        <f t="shared" si="7"/>
        <v>7.9815479711292042E-102</v>
      </c>
      <c r="P54" s="1">
        <f t="shared" si="8"/>
        <v>1</v>
      </c>
      <c r="Q54" s="1">
        <f t="shared" si="9"/>
        <v>0</v>
      </c>
      <c r="R54" s="1" t="e">
        <f t="shared" si="10"/>
        <v>#DIV/0!</v>
      </c>
      <c r="T54" s="1">
        <v>46</v>
      </c>
      <c r="U54" s="1">
        <f t="shared" si="17"/>
        <v>2.4007692514999191E-3</v>
      </c>
      <c r="V54" s="1">
        <f t="shared" si="11"/>
        <v>0.72891907902620756</v>
      </c>
      <c r="W54" s="1">
        <f t="shared" si="12"/>
        <v>0.27108092097379244</v>
      </c>
      <c r="X54" s="1">
        <f t="shared" si="13"/>
        <v>8.8562826290973853E-3</v>
      </c>
      <c r="Z54" s="1">
        <v>46</v>
      </c>
      <c r="AA54" s="1">
        <f t="shared" si="14"/>
        <v>3.7855413053744162E-10</v>
      </c>
      <c r="AB54" s="1">
        <f t="shared" si="15"/>
        <v>2.1372065693715913E-8</v>
      </c>
      <c r="AD54" s="1">
        <v>46</v>
      </c>
      <c r="AE54" s="1">
        <f t="shared" si="18"/>
        <v>0.49999997063158075</v>
      </c>
      <c r="AF54" s="1">
        <f t="shared" si="19"/>
        <v>8.8562826290973853E-3</v>
      </c>
    </row>
    <row r="55" spans="2:32" x14ac:dyDescent="0.2">
      <c r="B55" s="1">
        <v>47</v>
      </c>
      <c r="C55" s="1">
        <f t="shared" si="0"/>
        <v>3.1120723114538913E-11</v>
      </c>
      <c r="D55" s="1">
        <f t="shared" si="1"/>
        <v>0.99999999993775857</v>
      </c>
      <c r="E55" s="1">
        <f t="shared" si="2"/>
        <v>6.2241434228837988E-11</v>
      </c>
      <c r="F55" s="1">
        <f t="shared" si="16"/>
        <v>0.50000009640073362</v>
      </c>
      <c r="H55" s="1">
        <v>47</v>
      </c>
      <c r="I55" s="1">
        <f t="shared" si="3"/>
        <v>8.2017866006436867E-7</v>
      </c>
      <c r="J55" s="1">
        <f t="shared" si="4"/>
        <v>0.99999738240853175</v>
      </c>
      <c r="K55" s="1">
        <f t="shared" si="5"/>
        <v>2.6175914682458057E-6</v>
      </c>
      <c r="L55" s="1">
        <f t="shared" si="6"/>
        <v>0.31333333333868796</v>
      </c>
      <c r="N55" s="1">
        <v>47</v>
      </c>
      <c r="O55" s="1">
        <f t="shared" si="7"/>
        <v>2.6528794045309785E-106</v>
      </c>
      <c r="P55" s="1">
        <f t="shared" si="8"/>
        <v>1</v>
      </c>
      <c r="Q55" s="1">
        <f t="shared" si="9"/>
        <v>0</v>
      </c>
      <c r="R55" s="1" t="e">
        <f t="shared" si="10"/>
        <v>#DIV/0!</v>
      </c>
      <c r="T55" s="1">
        <v>47</v>
      </c>
      <c r="U55" s="1">
        <f t="shared" si="17"/>
        <v>2.3393839487627793E-3</v>
      </c>
      <c r="V55" s="1">
        <f t="shared" si="11"/>
        <v>0.73128892326812422</v>
      </c>
      <c r="W55" s="1">
        <f t="shared" si="12"/>
        <v>0.26871107673187578</v>
      </c>
      <c r="X55" s="1">
        <f t="shared" si="13"/>
        <v>8.7059453492386325E-3</v>
      </c>
      <c r="Z55" s="1">
        <v>47</v>
      </c>
      <c r="AA55" s="1">
        <f t="shared" si="14"/>
        <v>2.316295814293636E-10</v>
      </c>
      <c r="AB55" s="1">
        <f t="shared" si="15"/>
        <v>1.3302956588634204E-8</v>
      </c>
      <c r="AD55" s="1">
        <v>47</v>
      </c>
      <c r="AE55" s="1">
        <f t="shared" si="18"/>
        <v>0.50000009640073362</v>
      </c>
      <c r="AF55" s="1">
        <f t="shared" si="19"/>
        <v>8.7059453492386325E-3</v>
      </c>
    </row>
    <row r="56" spans="2:32" x14ac:dyDescent="0.2">
      <c r="B56" s="1">
        <v>48</v>
      </c>
      <c r="C56" s="1">
        <f t="shared" si="0"/>
        <v>1.8875672721395489E-11</v>
      </c>
      <c r="D56" s="1">
        <f t="shared" si="1"/>
        <v>0.99999999996224864</v>
      </c>
      <c r="E56" s="1">
        <f t="shared" si="2"/>
        <v>3.7751357595539048E-11</v>
      </c>
      <c r="F56" s="1">
        <f t="shared" si="16"/>
        <v>0.49999983904223788</v>
      </c>
      <c r="H56" s="1">
        <v>48</v>
      </c>
      <c r="I56" s="1">
        <f t="shared" si="3"/>
        <v>6.0018759850271596E-7</v>
      </c>
      <c r="J56" s="1">
        <f t="shared" si="4"/>
        <v>0.99999808690202974</v>
      </c>
      <c r="K56" s="1">
        <f t="shared" si="5"/>
        <v>1.9130979702630668E-6</v>
      </c>
      <c r="L56" s="1">
        <f t="shared" si="6"/>
        <v>0.31372549019023066</v>
      </c>
      <c r="N56" s="1">
        <v>48</v>
      </c>
      <c r="O56" s="1">
        <f t="shared" si="7"/>
        <v>7.0573451271571851E-111</v>
      </c>
      <c r="P56" s="1">
        <f t="shared" si="8"/>
        <v>1</v>
      </c>
      <c r="Q56" s="1">
        <f t="shared" si="9"/>
        <v>0</v>
      </c>
      <c r="R56" s="1" t="e">
        <f t="shared" si="10"/>
        <v>#DIV/0!</v>
      </c>
      <c r="T56" s="1">
        <v>48</v>
      </c>
      <c r="U56" s="1">
        <f t="shared" si="17"/>
        <v>2.2806981459670408E-3</v>
      </c>
      <c r="V56" s="1">
        <f t="shared" si="11"/>
        <v>0.73359874659031155</v>
      </c>
      <c r="W56" s="1">
        <f t="shared" si="12"/>
        <v>0.26640125340968845</v>
      </c>
      <c r="X56" s="1">
        <f t="shared" si="13"/>
        <v>8.561138946518547E-3</v>
      </c>
      <c r="Z56" s="1">
        <v>48</v>
      </c>
      <c r="AA56" s="1">
        <f t="shared" si="14"/>
        <v>1.4170863354566375E-10</v>
      </c>
      <c r="AB56" s="1">
        <f t="shared" si="15"/>
        <v>8.276269595243608E-9</v>
      </c>
      <c r="AD56" s="1">
        <v>48</v>
      </c>
      <c r="AE56" s="1">
        <f t="shared" si="18"/>
        <v>0.49999983904223788</v>
      </c>
      <c r="AF56" s="1">
        <f t="shared" si="19"/>
        <v>8.561138946518547E-3</v>
      </c>
    </row>
    <row r="57" spans="2:32" x14ac:dyDescent="0.2">
      <c r="B57" s="1">
        <v>49</v>
      </c>
      <c r="C57" s="1">
        <f t="shared" si="0"/>
        <v>1.1448674228227765E-11</v>
      </c>
      <c r="D57" s="1">
        <f t="shared" si="1"/>
        <v>0.99999999997710265</v>
      </c>
      <c r="E57" s="1">
        <f t="shared" si="2"/>
        <v>2.2897350682171691E-11</v>
      </c>
      <c r="F57" s="1">
        <f t="shared" si="16"/>
        <v>0.49999995139795445</v>
      </c>
      <c r="H57" s="1">
        <v>49</v>
      </c>
      <c r="I57" s="1">
        <f t="shared" si="3"/>
        <v>4.3901264834831332E-7</v>
      </c>
      <c r="J57" s="1">
        <f t="shared" si="4"/>
        <v>0.99999860232707871</v>
      </c>
      <c r="K57" s="1">
        <f t="shared" si="5"/>
        <v>1.3976729212883399E-6</v>
      </c>
      <c r="L57" s="1">
        <f t="shared" si="6"/>
        <v>0.31410256409893272</v>
      </c>
      <c r="N57" s="1">
        <v>49</v>
      </c>
      <c r="O57" s="1">
        <f t="shared" si="7"/>
        <v>1.5026809576392106E-115</v>
      </c>
      <c r="P57" s="1">
        <f t="shared" si="8"/>
        <v>1</v>
      </c>
      <c r="Q57" s="1">
        <f t="shared" si="9"/>
        <v>0</v>
      </c>
      <c r="R57" s="1" t="e">
        <f t="shared" si="10"/>
        <v>#DIV/0!</v>
      </c>
      <c r="T57" s="1">
        <v>49</v>
      </c>
      <c r="U57" s="1">
        <f t="shared" si="17"/>
        <v>2.2245434694882762E-3</v>
      </c>
      <c r="V57" s="1">
        <f t="shared" si="11"/>
        <v>0.73585116311871568</v>
      </c>
      <c r="W57" s="1">
        <f t="shared" si="12"/>
        <v>0.26414883688128432</v>
      </c>
      <c r="X57" s="1">
        <f t="shared" si="13"/>
        <v>8.4215531506884756E-3</v>
      </c>
      <c r="Z57" s="1">
        <v>49</v>
      </c>
      <c r="AA57" s="1">
        <f t="shared" si="14"/>
        <v>8.6683518854419121E-11</v>
      </c>
      <c r="AB57" s="1">
        <f t="shared" si="15"/>
        <v>5.146527539361308E-9</v>
      </c>
      <c r="AD57" s="1">
        <v>49</v>
      </c>
      <c r="AE57" s="1">
        <f t="shared" si="18"/>
        <v>0.49999995139795445</v>
      </c>
      <c r="AF57" s="1">
        <f t="shared" si="19"/>
        <v>8.4215531506884756E-3</v>
      </c>
    </row>
    <row r="58" spans="2:32" x14ac:dyDescent="0.2">
      <c r="B58" s="1">
        <v>50</v>
      </c>
      <c r="C58" s="1">
        <f t="shared" si="0"/>
        <v>6.9439719324820104E-12</v>
      </c>
      <c r="D58" s="1">
        <f t="shared" si="1"/>
        <v>0.99999999998611211</v>
      </c>
      <c r="E58" s="1">
        <f t="shared" si="2"/>
        <v>1.3887890837338546E-11</v>
      </c>
      <c r="F58" s="1">
        <f t="shared" si="16"/>
        <v>0.50000190913170672</v>
      </c>
      <c r="H58" s="1">
        <v>50</v>
      </c>
      <c r="I58" s="1">
        <f t="shared" si="3"/>
        <v>3.2098602885661862E-7</v>
      </c>
      <c r="J58" s="1">
        <f t="shared" si="4"/>
        <v>0.99999897926442816</v>
      </c>
      <c r="K58" s="1">
        <f t="shared" si="5"/>
        <v>1.0207355718439004E-6</v>
      </c>
      <c r="L58" s="1">
        <f t="shared" si="6"/>
        <v>0.3144654087804305</v>
      </c>
      <c r="N58" s="1">
        <v>50</v>
      </c>
      <c r="O58" s="1">
        <f t="shared" si="7"/>
        <v>2.5609518099683576E-120</v>
      </c>
      <c r="P58" s="1">
        <f t="shared" si="8"/>
        <v>1</v>
      </c>
      <c r="Q58" s="1">
        <f t="shared" si="9"/>
        <v>0</v>
      </c>
      <c r="R58" s="1" t="e">
        <f t="shared" si="10"/>
        <v>#DIV/0!</v>
      </c>
      <c r="T58" s="1">
        <v>50</v>
      </c>
      <c r="U58" s="1">
        <f t="shared" si="17"/>
        <v>2.1707650768421358E-3</v>
      </c>
      <c r="V58" s="1">
        <f t="shared" si="11"/>
        <v>0.73804862548846195</v>
      </c>
      <c r="W58" s="1">
        <f t="shared" si="12"/>
        <v>0.26195137451153805</v>
      </c>
      <c r="X58" s="1">
        <f t="shared" si="13"/>
        <v>8.2869008833794874E-3</v>
      </c>
      <c r="Z58" s="1">
        <v>50</v>
      </c>
      <c r="AA58" s="1">
        <f t="shared" si="14"/>
        <v>5.3017056555764826E-11</v>
      </c>
      <c r="AB58" s="1">
        <f t="shared" si="15"/>
        <v>3.1988592439415754E-9</v>
      </c>
      <c r="AD58" s="1">
        <v>50</v>
      </c>
      <c r="AE58" s="1">
        <f t="shared" si="18"/>
        <v>0.50000190913170672</v>
      </c>
      <c r="AF58" s="1">
        <f t="shared" si="19"/>
        <v>8.2869008833794874E-3</v>
      </c>
    </row>
    <row r="59" spans="2:32" x14ac:dyDescent="0.2">
      <c r="B59" s="1">
        <v>51</v>
      </c>
      <c r="C59" s="1">
        <f t="shared" si="0"/>
        <v>4.2117318772343236E-12</v>
      </c>
      <c r="D59" s="1">
        <f t="shared" si="1"/>
        <v>0.99999999999157652</v>
      </c>
      <c r="E59" s="1">
        <f t="shared" si="2"/>
        <v>8.4234841324359877E-12</v>
      </c>
      <c r="F59" s="1">
        <f t="shared" si="16"/>
        <v>0.49999879040744777</v>
      </c>
      <c r="H59" s="1">
        <v>51</v>
      </c>
      <c r="I59" s="1">
        <f t="shared" si="3"/>
        <v>2.3459647073115958E-7</v>
      </c>
      <c r="J59" s="1">
        <f t="shared" si="4"/>
        <v>0.99999925481121066</v>
      </c>
      <c r="K59" s="1">
        <f t="shared" si="5"/>
        <v>7.4518878934171084E-7</v>
      </c>
      <c r="L59" s="1">
        <f t="shared" si="6"/>
        <v>0.31481481483155266</v>
      </c>
      <c r="N59" s="1">
        <v>51</v>
      </c>
      <c r="O59" s="1">
        <f t="shared" si="7"/>
        <v>3.4934327898754457E-125</v>
      </c>
      <c r="P59" s="1">
        <f t="shared" si="8"/>
        <v>1</v>
      </c>
      <c r="Q59" s="1">
        <f t="shared" si="9"/>
        <v>0</v>
      </c>
      <c r="R59" s="1" t="e">
        <f t="shared" si="10"/>
        <v>#DIV/0!</v>
      </c>
      <c r="T59" s="1">
        <v>51</v>
      </c>
      <c r="U59" s="1">
        <f t="shared" si="17"/>
        <v>2.1192203328934218E-3</v>
      </c>
      <c r="V59" s="1">
        <f t="shared" si="11"/>
        <v>0.74019343769952362</v>
      </c>
      <c r="W59" s="1">
        <f t="shared" si="12"/>
        <v>0.25980656230047638</v>
      </c>
      <c r="X59" s="1">
        <f t="shared" si="13"/>
        <v>8.1569161076172556E-3</v>
      </c>
      <c r="Z59" s="1">
        <v>51</v>
      </c>
      <c r="AA59" s="1">
        <f t="shared" si="14"/>
        <v>3.2422137677546039E-11</v>
      </c>
      <c r="AB59" s="1">
        <f t="shared" si="15"/>
        <v>1.9873968798156754E-9</v>
      </c>
      <c r="AD59" s="1">
        <v>51</v>
      </c>
      <c r="AE59" s="1">
        <f t="shared" si="18"/>
        <v>0.49999879040744777</v>
      </c>
      <c r="AF59" s="1">
        <f t="shared" si="19"/>
        <v>8.1569161076172556E-3</v>
      </c>
    </row>
    <row r="60" spans="2:32" x14ac:dyDescent="0.2">
      <c r="B60" s="1">
        <v>52</v>
      </c>
      <c r="C60" s="1">
        <f t="shared" si="0"/>
        <v>2.5545445140316625E-12</v>
      </c>
      <c r="D60" s="1">
        <f t="shared" si="1"/>
        <v>0.99999999999489086</v>
      </c>
      <c r="E60" s="1">
        <f t="shared" si="2"/>
        <v>5.1091353370225079E-12</v>
      </c>
      <c r="F60" s="1">
        <f t="shared" si="16"/>
        <v>0.49999546802383105</v>
      </c>
      <c r="H60" s="1">
        <v>52</v>
      </c>
      <c r="I60" s="1">
        <f t="shared" si="3"/>
        <v>1.7139171107268921E-7</v>
      </c>
      <c r="J60" s="1">
        <f t="shared" si="4"/>
        <v>0.99999945616091679</v>
      </c>
      <c r="K60" s="1">
        <f t="shared" si="5"/>
        <v>5.4383908321131713E-7</v>
      </c>
      <c r="L60" s="1">
        <f t="shared" si="6"/>
        <v>0.31515151515157341</v>
      </c>
      <c r="N60" s="1">
        <v>52</v>
      </c>
      <c r="O60" s="1">
        <f t="shared" si="7"/>
        <v>3.8144022433939037E-130</v>
      </c>
      <c r="P60" s="1">
        <f t="shared" si="8"/>
        <v>1</v>
      </c>
      <c r="Q60" s="1">
        <f t="shared" si="9"/>
        <v>0</v>
      </c>
      <c r="R60" s="1" t="e">
        <f t="shared" si="10"/>
        <v>#DIV/0!</v>
      </c>
      <c r="T60" s="1">
        <v>52</v>
      </c>
      <c r="U60" s="1">
        <f t="shared" si="17"/>
        <v>2.0697776379630037E-3</v>
      </c>
      <c r="V60" s="1">
        <f t="shared" si="11"/>
        <v>0.74228776672634489</v>
      </c>
      <c r="W60" s="1">
        <f t="shared" si="12"/>
        <v>0.25771223327365511</v>
      </c>
      <c r="X60" s="1">
        <f t="shared" si="13"/>
        <v>8.0313519139977464E-3</v>
      </c>
      <c r="Z60" s="1">
        <v>52</v>
      </c>
      <c r="AA60" s="1">
        <f t="shared" si="14"/>
        <v>1.9824962409127493E-11</v>
      </c>
      <c r="AB60" s="1">
        <f t="shared" si="15"/>
        <v>1.2342120560089479E-9</v>
      </c>
      <c r="AD60" s="1">
        <v>52</v>
      </c>
      <c r="AE60" s="1">
        <f t="shared" si="18"/>
        <v>0.49999546802383105</v>
      </c>
      <c r="AF60" s="1">
        <f t="shared" si="19"/>
        <v>8.0313519139977464E-3</v>
      </c>
    </row>
    <row r="61" spans="2:32" x14ac:dyDescent="0.2">
      <c r="B61" s="1">
        <v>53</v>
      </c>
      <c r="C61" s="1">
        <f t="shared" si="0"/>
        <v>1.5494095693609128E-12</v>
      </c>
      <c r="D61" s="1">
        <f t="shared" si="1"/>
        <v>0.99999999999690115</v>
      </c>
      <c r="E61" s="1">
        <f t="shared" si="2"/>
        <v>3.0988545063337369E-12</v>
      </c>
      <c r="F61" s="1">
        <f t="shared" si="16"/>
        <v>0.49999429343781082</v>
      </c>
      <c r="H61" s="1">
        <v>53</v>
      </c>
      <c r="I61" s="1">
        <f t="shared" si="3"/>
        <v>1.251692105747902E-7</v>
      </c>
      <c r="J61" s="1">
        <f t="shared" si="4"/>
        <v>0.99999960323721937</v>
      </c>
      <c r="K61" s="1">
        <f t="shared" si="5"/>
        <v>3.9676278063005554E-7</v>
      </c>
      <c r="L61" s="1">
        <f t="shared" si="6"/>
        <v>0.31547619052377512</v>
      </c>
      <c r="N61" s="1">
        <v>53</v>
      </c>
      <c r="O61" s="1">
        <f t="shared" si="7"/>
        <v>3.3337272083848762E-135</v>
      </c>
      <c r="P61" s="1">
        <f t="shared" si="8"/>
        <v>1</v>
      </c>
      <c r="Q61" s="1">
        <f t="shared" si="9"/>
        <v>0</v>
      </c>
      <c r="R61" s="1" t="e">
        <f t="shared" si="10"/>
        <v>#DIV/0!</v>
      </c>
      <c r="T61" s="1">
        <v>53</v>
      </c>
      <c r="U61" s="1">
        <f t="shared" si="17"/>
        <v>2.0223153879195331E-3</v>
      </c>
      <c r="V61" s="1">
        <f t="shared" si="11"/>
        <v>0.74433365302309284</v>
      </c>
      <c r="W61" s="1">
        <f t="shared" si="12"/>
        <v>0.25566634697690716</v>
      </c>
      <c r="X61" s="1">
        <f t="shared" si="13"/>
        <v>7.9099788135283868E-3</v>
      </c>
      <c r="Z61" s="1">
        <v>53</v>
      </c>
      <c r="AA61" s="1">
        <f t="shared" si="14"/>
        <v>1.2120697710026101E-11</v>
      </c>
      <c r="AB61" s="1">
        <f t="shared" si="15"/>
        <v>7.6615624774277943E-10</v>
      </c>
      <c r="AD61" s="1">
        <v>53</v>
      </c>
      <c r="AE61" s="1">
        <f t="shared" si="18"/>
        <v>0.49999429343781082</v>
      </c>
      <c r="AF61" s="1">
        <f t="shared" si="19"/>
        <v>7.9099788135283868E-3</v>
      </c>
    </row>
    <row r="62" spans="2:32" x14ac:dyDescent="0.2">
      <c r="B62" s="1">
        <v>54</v>
      </c>
      <c r="C62" s="1">
        <f t="shared" si="0"/>
        <v>9.3976440826954162E-13</v>
      </c>
      <c r="D62" s="1">
        <f t="shared" si="1"/>
        <v>0.9999999999981205</v>
      </c>
      <c r="E62" s="1">
        <f t="shared" si="2"/>
        <v>1.8794965583879275E-12</v>
      </c>
      <c r="F62" s="1">
        <f t="shared" si="16"/>
        <v>0.50000858159356876</v>
      </c>
      <c r="H62" s="1">
        <v>54</v>
      </c>
      <c r="I62" s="1">
        <f t="shared" si="3"/>
        <v>9.1379878468275927E-8</v>
      </c>
      <c r="J62" s="1">
        <f t="shared" si="4"/>
        <v>0.99999971063038484</v>
      </c>
      <c r="K62" s="1">
        <f t="shared" si="5"/>
        <v>2.8936961515846349E-7</v>
      </c>
      <c r="L62" s="1">
        <f t="shared" si="6"/>
        <v>0.3157894736744728</v>
      </c>
      <c r="N62" s="1">
        <v>54</v>
      </c>
      <c r="O62" s="1">
        <f t="shared" si="7"/>
        <v>2.3322178200594165E-140</v>
      </c>
      <c r="P62" s="1">
        <f t="shared" si="8"/>
        <v>1</v>
      </c>
      <c r="Q62" s="1">
        <f t="shared" si="9"/>
        <v>0</v>
      </c>
      <c r="R62" s="1" t="e">
        <f t="shared" si="10"/>
        <v>#DIV/0!</v>
      </c>
      <c r="T62" s="1">
        <v>54</v>
      </c>
      <c r="U62" s="1">
        <f t="shared" si="17"/>
        <v>1.9767210492678692E-3</v>
      </c>
      <c r="V62" s="1">
        <f t="shared" si="11"/>
        <v>0.74633302004780633</v>
      </c>
      <c r="W62" s="1">
        <f t="shared" si="12"/>
        <v>0.25366697995219367</v>
      </c>
      <c r="X62" s="1">
        <f t="shared" si="13"/>
        <v>7.7925832114231182E-3</v>
      </c>
      <c r="Z62" s="1">
        <v>54</v>
      </c>
      <c r="AA62" s="1">
        <f t="shared" si="14"/>
        <v>7.4093071110088474E-12</v>
      </c>
      <c r="AB62" s="1">
        <f t="shared" si="15"/>
        <v>4.7541579456423968E-10</v>
      </c>
      <c r="AD62" s="1">
        <v>54</v>
      </c>
      <c r="AE62" s="1">
        <f t="shared" si="18"/>
        <v>0.50000858159356876</v>
      </c>
      <c r="AF62" s="1">
        <f t="shared" si="19"/>
        <v>7.7925832114231182E-3</v>
      </c>
    </row>
    <row r="63" spans="2:32" x14ac:dyDescent="0.2">
      <c r="B63" s="1">
        <v>55</v>
      </c>
      <c r="C63" s="1">
        <f t="shared" si="0"/>
        <v>5.6999592652217769E-13</v>
      </c>
      <c r="D63" s="1">
        <f t="shared" si="1"/>
        <v>0.99999999999886002</v>
      </c>
      <c r="E63" s="1">
        <f t="shared" si="2"/>
        <v>1.1399770016851107E-12</v>
      </c>
      <c r="F63" s="1">
        <f t="shared" si="16"/>
        <v>0.50000651388546558</v>
      </c>
      <c r="H63" s="1">
        <v>55</v>
      </c>
      <c r="I63" s="1">
        <f t="shared" si="3"/>
        <v>6.6689072673001894E-8</v>
      </c>
      <c r="J63" s="1">
        <f t="shared" si="4"/>
        <v>0.99999978902002462</v>
      </c>
      <c r="K63" s="1">
        <f t="shared" si="5"/>
        <v>2.1097997537911084E-7</v>
      </c>
      <c r="L63" s="1">
        <f t="shared" si="6"/>
        <v>0.31609195400259199</v>
      </c>
      <c r="N63" s="1">
        <v>55</v>
      </c>
      <c r="O63" s="1">
        <f t="shared" si="7"/>
        <v>1.3060184547298978E-145</v>
      </c>
      <c r="P63" s="1">
        <f t="shared" si="8"/>
        <v>1</v>
      </c>
      <c r="Q63" s="1">
        <f t="shared" si="9"/>
        <v>0</v>
      </c>
      <c r="R63" s="1" t="e">
        <f t="shared" si="10"/>
        <v>#DIV/0!</v>
      </c>
      <c r="T63" s="1">
        <v>55</v>
      </c>
      <c r="U63" s="1">
        <f t="shared" si="17"/>
        <v>1.9328903346971108E-3</v>
      </c>
      <c r="V63" s="1">
        <f t="shared" si="11"/>
        <v>0.74828768291298287</v>
      </c>
      <c r="W63" s="1">
        <f t="shared" si="12"/>
        <v>0.25171231708701713</v>
      </c>
      <c r="X63" s="1">
        <f t="shared" si="13"/>
        <v>7.678966039746514E-3</v>
      </c>
      <c r="Z63" s="1">
        <v>55</v>
      </c>
      <c r="AA63" s="1">
        <f t="shared" si="14"/>
        <v>4.5288884345338568E-12</v>
      </c>
      <c r="AB63" s="1">
        <f t="shared" si="15"/>
        <v>2.9489305021099278E-10</v>
      </c>
      <c r="AD63" s="1">
        <v>55</v>
      </c>
      <c r="AE63" s="1">
        <f t="shared" si="18"/>
        <v>0.50000651388546558</v>
      </c>
      <c r="AF63" s="1">
        <f t="shared" si="19"/>
        <v>7.678966039746514E-3</v>
      </c>
    </row>
    <row r="64" spans="2:32" x14ac:dyDescent="0.2">
      <c r="B64" s="1">
        <v>56</v>
      </c>
      <c r="C64" s="1">
        <f t="shared" si="0"/>
        <v>3.4572000534701015E-13</v>
      </c>
      <c r="D64" s="1">
        <f t="shared" si="1"/>
        <v>0.99999999999930855</v>
      </c>
      <c r="E64" s="1">
        <f t="shared" si="2"/>
        <v>6.9144689973654749E-13</v>
      </c>
      <c r="F64" s="1">
        <f t="shared" si="16"/>
        <v>0.49999501838642285</v>
      </c>
      <c r="H64" s="1">
        <v>56</v>
      </c>
      <c r="I64" s="1">
        <f t="shared" si="3"/>
        <v>4.865362334594275E-8</v>
      </c>
      <c r="J64" s="1">
        <f t="shared" si="4"/>
        <v>0.99999984621979765</v>
      </c>
      <c r="K64" s="1">
        <f t="shared" si="5"/>
        <v>1.5378020234990686E-7</v>
      </c>
      <c r="L64" s="1">
        <f t="shared" si="6"/>
        <v>0.3163841808143662</v>
      </c>
      <c r="N64" s="1">
        <v>56</v>
      </c>
      <c r="O64" s="1">
        <f t="shared" si="7"/>
        <v>5.8543143878267041E-151</v>
      </c>
      <c r="P64" s="1">
        <f t="shared" si="8"/>
        <v>1</v>
      </c>
      <c r="Q64" s="1">
        <f t="shared" si="9"/>
        <v>0</v>
      </c>
      <c r="R64" s="1" t="e">
        <f t="shared" si="10"/>
        <v>#DIV/0!</v>
      </c>
      <c r="T64" s="1">
        <v>56</v>
      </c>
      <c r="U64" s="1">
        <f t="shared" si="17"/>
        <v>1.8907264666114475E-3</v>
      </c>
      <c r="V64" s="1">
        <f t="shared" si="11"/>
        <v>0.75019935625666867</v>
      </c>
      <c r="W64" s="1">
        <f t="shared" si="12"/>
        <v>0.24980064374333133</v>
      </c>
      <c r="X64" s="1">
        <f t="shared" si="13"/>
        <v>7.5689415298471271E-3</v>
      </c>
      <c r="Z64" s="1">
        <v>56</v>
      </c>
      <c r="AA64" s="1">
        <f t="shared" si="14"/>
        <v>2.7679948673271035E-12</v>
      </c>
      <c r="AB64" s="1">
        <f t="shared" si="15"/>
        <v>1.8285035485149164E-10</v>
      </c>
      <c r="AD64" s="1">
        <v>56</v>
      </c>
      <c r="AE64" s="1">
        <f t="shared" si="18"/>
        <v>0.49999501838642285</v>
      </c>
      <c r="AF64" s="1">
        <f t="shared" si="19"/>
        <v>7.5689415298471271E-3</v>
      </c>
    </row>
    <row r="65" spans="2:32" x14ac:dyDescent="0.2">
      <c r="B65" s="1">
        <v>57</v>
      </c>
      <c r="C65" s="1">
        <f t="shared" si="0"/>
        <v>2.0968978291897723E-13</v>
      </c>
      <c r="D65" s="1">
        <f t="shared" si="1"/>
        <v>0.99999999999958067</v>
      </c>
      <c r="E65" s="1">
        <f t="shared" si="2"/>
        <v>4.1933123640092163E-13</v>
      </c>
      <c r="F65" s="1">
        <f t="shared" si="16"/>
        <v>0.50005762680291554</v>
      </c>
      <c r="H65" s="1">
        <v>57</v>
      </c>
      <c r="I65" s="1">
        <f t="shared" si="3"/>
        <v>3.5484377437736026E-8</v>
      </c>
      <c r="J65" s="1">
        <f t="shared" si="4"/>
        <v>0.99999988794407124</v>
      </c>
      <c r="K65" s="1">
        <f t="shared" si="5"/>
        <v>1.1205592875818127E-7</v>
      </c>
      <c r="L65" s="1">
        <f t="shared" si="6"/>
        <v>0.31666666664565296</v>
      </c>
      <c r="N65" s="1">
        <v>57</v>
      </c>
      <c r="O65" s="1">
        <f t="shared" si="7"/>
        <v>2.1006532717298085E-156</v>
      </c>
      <c r="P65" s="1">
        <f t="shared" si="8"/>
        <v>1</v>
      </c>
      <c r="Q65" s="1">
        <f t="shared" si="9"/>
        <v>0</v>
      </c>
      <c r="R65" s="1" t="e">
        <f t="shared" si="10"/>
        <v>#DIV/0!</v>
      </c>
      <c r="T65" s="1">
        <v>57</v>
      </c>
      <c r="U65" s="1">
        <f t="shared" si="17"/>
        <v>1.8501395179048091E-3</v>
      </c>
      <c r="V65" s="1">
        <f t="shared" si="11"/>
        <v>0.75206966141653075</v>
      </c>
      <c r="W65" s="1">
        <f t="shared" si="12"/>
        <v>0.24793033858346925</v>
      </c>
      <c r="X65" s="1">
        <f t="shared" si="13"/>
        <v>7.4623361080997097E-3</v>
      </c>
      <c r="Z65" s="1">
        <v>57</v>
      </c>
      <c r="AA65" s="1">
        <f t="shared" si="14"/>
        <v>1.6913268412278147E-12</v>
      </c>
      <c r="AB65" s="1">
        <f t="shared" si="15"/>
        <v>1.1333728126430188E-10</v>
      </c>
      <c r="AD65" s="1">
        <v>57</v>
      </c>
      <c r="AE65" s="1">
        <f t="shared" si="18"/>
        <v>0.50005762680291554</v>
      </c>
      <c r="AF65" s="1">
        <f t="shared" si="19"/>
        <v>7.4623361080997097E-3</v>
      </c>
    </row>
    <row r="66" spans="2:32" x14ac:dyDescent="0.2">
      <c r="B66" s="1">
        <v>58</v>
      </c>
      <c r="C66" s="1">
        <f t="shared" si="0"/>
        <v>1.2718328236884614E-13</v>
      </c>
      <c r="D66" s="1">
        <f t="shared" si="1"/>
        <v>0.99999999999974565</v>
      </c>
      <c r="E66" s="1">
        <f t="shared" si="2"/>
        <v>2.5435209494162336E-13</v>
      </c>
      <c r="F66" s="1">
        <f t="shared" si="16"/>
        <v>0.50002844442085725</v>
      </c>
      <c r="H66" s="1">
        <v>58</v>
      </c>
      <c r="I66" s="1">
        <f t="shared" si="3"/>
        <v>2.5871731811941198E-8</v>
      </c>
      <c r="J66" s="1">
        <f t="shared" si="4"/>
        <v>0.9999999183702255</v>
      </c>
      <c r="K66" s="1">
        <f t="shared" si="5"/>
        <v>8.1629774495439733E-8</v>
      </c>
      <c r="L66" s="1">
        <f t="shared" si="6"/>
        <v>0.31693989076726564</v>
      </c>
      <c r="N66" s="1">
        <v>58</v>
      </c>
      <c r="O66" s="1">
        <f t="shared" si="7"/>
        <v>6.0337752997795748E-162</v>
      </c>
      <c r="P66" s="1">
        <f t="shared" si="8"/>
        <v>1</v>
      </c>
      <c r="Q66" s="1">
        <f t="shared" si="9"/>
        <v>0</v>
      </c>
      <c r="R66" s="1" t="e">
        <f t="shared" si="10"/>
        <v>#DIV/0!</v>
      </c>
      <c r="T66" s="1">
        <v>58</v>
      </c>
      <c r="U66" s="1">
        <f t="shared" si="17"/>
        <v>1.811045820710803E-3</v>
      </c>
      <c r="V66" s="1">
        <f t="shared" si="11"/>
        <v>0.75390013297940861</v>
      </c>
      <c r="W66" s="1">
        <f t="shared" si="12"/>
        <v>0.24609986702059139</v>
      </c>
      <c r="X66" s="1">
        <f t="shared" si="13"/>
        <v>7.3589874006688158E-3</v>
      </c>
      <c r="Z66" s="1">
        <v>58</v>
      </c>
      <c r="AA66" s="1">
        <f t="shared" si="14"/>
        <v>1.033532029175544E-12</v>
      </c>
      <c r="AB66" s="1">
        <f t="shared" si="15"/>
        <v>7.0226429897245214E-11</v>
      </c>
      <c r="AD66" s="1">
        <v>58</v>
      </c>
      <c r="AE66" s="1">
        <f t="shared" si="18"/>
        <v>0.50002844442085725</v>
      </c>
      <c r="AF66" s="1">
        <f t="shared" si="19"/>
        <v>7.3589874006688158E-3</v>
      </c>
    </row>
    <row r="67" spans="2:32" x14ac:dyDescent="0.2">
      <c r="B67" s="1">
        <v>59</v>
      </c>
      <c r="C67" s="1">
        <f t="shared" si="0"/>
        <v>7.7140560159594387E-14</v>
      </c>
      <c r="D67" s="1">
        <f t="shared" si="1"/>
        <v>0.99999999999984568</v>
      </c>
      <c r="E67" s="1">
        <f t="shared" si="2"/>
        <v>1.5432100042289676E-13</v>
      </c>
      <c r="F67" s="1">
        <f t="shared" si="16"/>
        <v>0.49987078847467714</v>
      </c>
      <c r="H67" s="1">
        <v>59</v>
      </c>
      <c r="I67" s="1">
        <f t="shared" si="3"/>
        <v>1.8857524969300068E-8</v>
      </c>
      <c r="J67" s="1">
        <f t="shared" si="4"/>
        <v>0.99999994055085351</v>
      </c>
      <c r="K67" s="1">
        <f t="shared" si="5"/>
        <v>5.9449146494472416E-8</v>
      </c>
      <c r="L67" s="1">
        <f t="shared" si="6"/>
        <v>0.31720430117619003</v>
      </c>
      <c r="N67" s="1">
        <v>59</v>
      </c>
      <c r="O67" s="1">
        <f t="shared" si="7"/>
        <v>1.3873463189090596E-167</v>
      </c>
      <c r="P67" s="1">
        <f t="shared" si="8"/>
        <v>1</v>
      </c>
      <c r="Q67" s="1">
        <f t="shared" si="9"/>
        <v>0</v>
      </c>
      <c r="R67" s="1" t="e">
        <f t="shared" si="10"/>
        <v>#DIV/0!</v>
      </c>
      <c r="T67" s="1">
        <v>59</v>
      </c>
      <c r="U67" s="1">
        <f t="shared" si="17"/>
        <v>1.7733674351072381E-3</v>
      </c>
      <c r="V67" s="1">
        <f t="shared" si="11"/>
        <v>0.75569222477021514</v>
      </c>
      <c r="W67" s="1">
        <f t="shared" si="12"/>
        <v>0.24430777522978486</v>
      </c>
      <c r="X67" s="1">
        <f t="shared" si="13"/>
        <v>7.258743334874581E-3</v>
      </c>
      <c r="Z67" s="1">
        <v>59</v>
      </c>
      <c r="AA67" s="1">
        <f t="shared" si="14"/>
        <v>6.3166634904578616E-13</v>
      </c>
      <c r="AB67" s="1">
        <f t="shared" si="15"/>
        <v>4.3499479370404468E-11</v>
      </c>
      <c r="AD67" s="1">
        <v>59</v>
      </c>
      <c r="AE67" s="1">
        <f t="shared" si="18"/>
        <v>0.49987078847467714</v>
      </c>
      <c r="AF67" s="1">
        <f t="shared" si="19"/>
        <v>7.258743334874581E-3</v>
      </c>
    </row>
    <row r="68" spans="2:32" x14ac:dyDescent="0.2">
      <c r="B68" s="1">
        <v>60</v>
      </c>
      <c r="C68" s="1">
        <f t="shared" si="0"/>
        <v>4.6788114844200874E-14</v>
      </c>
      <c r="D68" s="1">
        <f t="shared" si="1"/>
        <v>0.99999999999990641</v>
      </c>
      <c r="E68" s="1">
        <f t="shared" si="2"/>
        <v>9.3591800975900696E-14</v>
      </c>
      <c r="F68" s="1">
        <f t="shared" si="16"/>
        <v>0.4999168127585078</v>
      </c>
      <c r="H68" s="1">
        <v>60</v>
      </c>
      <c r="I68" s="1">
        <f t="shared" si="3"/>
        <v>1.3741024149590373E-8</v>
      </c>
      <c r="J68" s="1">
        <f t="shared" si="4"/>
        <v>0.99999995671577391</v>
      </c>
      <c r="K68" s="1">
        <f t="shared" si="5"/>
        <v>4.3284226092232814E-8</v>
      </c>
      <c r="L68" s="1">
        <f t="shared" si="6"/>
        <v>0.31746031730612706</v>
      </c>
      <c r="N68" s="1">
        <v>60</v>
      </c>
      <c r="O68" s="1">
        <f t="shared" si="7"/>
        <v>2.5535594622856303E-173</v>
      </c>
      <c r="P68" s="1">
        <f t="shared" si="8"/>
        <v>1</v>
      </c>
      <c r="Q68" s="1">
        <f t="shared" si="9"/>
        <v>0</v>
      </c>
      <c r="R68" s="1" t="e">
        <f t="shared" si="10"/>
        <v>#DIV/0!</v>
      </c>
      <c r="T68" s="1">
        <v>60</v>
      </c>
      <c r="U68" s="1">
        <f t="shared" si="17"/>
        <v>1.7370316708167118E-3</v>
      </c>
      <c r="V68" s="1">
        <f t="shared" si="11"/>
        <v>0.75744731533657916</v>
      </c>
      <c r="W68" s="1">
        <f t="shared" si="12"/>
        <v>0.24255268466342084</v>
      </c>
      <c r="X68" s="1">
        <f t="shared" si="13"/>
        <v>7.1614613263386905E-3</v>
      </c>
      <c r="Z68" s="1">
        <v>60</v>
      </c>
      <c r="AA68" s="1">
        <f t="shared" si="14"/>
        <v>3.8586174012369197E-13</v>
      </c>
      <c r="AB68" s="1">
        <f t="shared" si="15"/>
        <v>2.6935671715301651E-11</v>
      </c>
      <c r="AD68" s="1">
        <v>60</v>
      </c>
      <c r="AE68" s="1">
        <f t="shared" si="18"/>
        <v>0.4999168127585078</v>
      </c>
      <c r="AF68" s="1">
        <f t="shared" si="19"/>
        <v>7.1614613263386905E-3</v>
      </c>
    </row>
    <row r="69" spans="2:32" x14ac:dyDescent="0.2">
      <c r="B69" s="1">
        <v>61</v>
      </c>
      <c r="C69" s="1">
        <f t="shared" si="0"/>
        <v>2.8378426163163614E-14</v>
      </c>
      <c r="D69" s="1">
        <f t="shared" si="1"/>
        <v>0.99999999999994327</v>
      </c>
      <c r="E69" s="1">
        <f t="shared" si="2"/>
        <v>5.6732396558345499E-14</v>
      </c>
      <c r="F69" s="1">
        <f t="shared" si="16"/>
        <v>0.50021553617919678</v>
      </c>
      <c r="H69" s="1">
        <v>61</v>
      </c>
      <c r="I69" s="1">
        <f t="shared" si="3"/>
        <v>1.0009971943240967E-8</v>
      </c>
      <c r="J69" s="1">
        <f t="shared" si="4"/>
        <v>0.99999996849320305</v>
      </c>
      <c r="K69" s="1">
        <f t="shared" si="5"/>
        <v>3.1506796949187788E-8</v>
      </c>
      <c r="L69" s="1">
        <f t="shared" si="6"/>
        <v>0.31770833320138603</v>
      </c>
      <c r="N69" s="1">
        <v>61</v>
      </c>
      <c r="O69" s="1">
        <f t="shared" si="7"/>
        <v>3.762500146029904E-179</v>
      </c>
      <c r="P69" s="1">
        <f t="shared" si="8"/>
        <v>1</v>
      </c>
      <c r="Q69" s="1">
        <f t="shared" si="9"/>
        <v>0</v>
      </c>
      <c r="R69" s="1" t="e">
        <f t="shared" si="10"/>
        <v>#DIV/0!</v>
      </c>
      <c r="T69" s="1">
        <v>61</v>
      </c>
      <c r="U69" s="1">
        <f t="shared" si="17"/>
        <v>1.7019706558513627E-3</v>
      </c>
      <c r="V69" s="1">
        <f t="shared" si="11"/>
        <v>0.75916671297913241</v>
      </c>
      <c r="W69" s="1">
        <f t="shared" si="12"/>
        <v>0.24083328702086759</v>
      </c>
      <c r="X69" s="1">
        <f t="shared" si="13"/>
        <v>7.0670075424577473E-3</v>
      </c>
      <c r="Z69" s="1">
        <v>61</v>
      </c>
      <c r="AA69" s="1">
        <f t="shared" si="14"/>
        <v>2.3556708983268488E-13</v>
      </c>
      <c r="AB69" s="1">
        <f t="shared" si="15"/>
        <v>1.6673863362801697E-11</v>
      </c>
      <c r="AD69" s="1">
        <v>61</v>
      </c>
      <c r="AE69" s="1">
        <f t="shared" si="18"/>
        <v>0.50021553617919678</v>
      </c>
      <c r="AF69" s="1">
        <f t="shared" si="19"/>
        <v>7.0670075424577473E-3</v>
      </c>
    </row>
    <row r="70" spans="2:32" x14ac:dyDescent="0.2">
      <c r="B70" s="1">
        <v>62</v>
      </c>
      <c r="C70" s="1">
        <f t="shared" si="0"/>
        <v>1.7212385542349884E-14</v>
      </c>
      <c r="D70" s="1">
        <f t="shared" si="1"/>
        <v>0.99999999999996558</v>
      </c>
      <c r="E70" s="1">
        <f t="shared" si="2"/>
        <v>3.4416913763379853E-14</v>
      </c>
      <c r="F70" s="1">
        <f t="shared" si="16"/>
        <v>0.50011414912699514</v>
      </c>
      <c r="H70" s="1">
        <v>62</v>
      </c>
      <c r="I70" s="1">
        <f t="shared" si="3"/>
        <v>7.2900395991546252E-9</v>
      </c>
      <c r="J70" s="1">
        <f t="shared" si="4"/>
        <v>0.99999997707164967</v>
      </c>
      <c r="K70" s="1">
        <f t="shared" si="5"/>
        <v>2.2928350329465275E-8</v>
      </c>
      <c r="L70" s="1">
        <f t="shared" si="6"/>
        <v>0.31794871826370252</v>
      </c>
      <c r="N70" s="1">
        <v>62</v>
      </c>
      <c r="O70" s="1">
        <f t="shared" si="7"/>
        <v>4.4379301310991568E-185</v>
      </c>
      <c r="P70" s="1">
        <f t="shared" si="8"/>
        <v>1</v>
      </c>
      <c r="Q70" s="1">
        <f t="shared" si="9"/>
        <v>0</v>
      </c>
      <c r="R70" s="1" t="e">
        <f t="shared" si="10"/>
        <v>#DIV/0!</v>
      </c>
      <c r="T70" s="1">
        <v>62</v>
      </c>
      <c r="U70" s="1">
        <f t="shared" si="17"/>
        <v>1.6681209468259251E-3</v>
      </c>
      <c r="V70" s="1">
        <f t="shared" si="11"/>
        <v>0.7608516603716835</v>
      </c>
      <c r="W70" s="1">
        <f t="shared" si="12"/>
        <v>0.2391483396283165</v>
      </c>
      <c r="X70" s="1">
        <f t="shared" si="13"/>
        <v>6.9752562339279161E-3</v>
      </c>
      <c r="Z70" s="1">
        <v>62</v>
      </c>
      <c r="AA70" s="1">
        <f t="shared" si="14"/>
        <v>1.4391450016701141E-13</v>
      </c>
      <c r="AB70" s="1">
        <f t="shared" si="15"/>
        <v>1.0318427794520143E-11</v>
      </c>
      <c r="AD70" s="1">
        <v>62</v>
      </c>
      <c r="AE70" s="1">
        <f t="shared" si="18"/>
        <v>0.50011414912699514</v>
      </c>
      <c r="AF70" s="1">
        <f t="shared" si="19"/>
        <v>6.9752562339279161E-3</v>
      </c>
    </row>
    <row r="71" spans="2:32" x14ac:dyDescent="0.2">
      <c r="B71" s="1">
        <v>63</v>
      </c>
      <c r="C71" s="1">
        <f t="shared" si="0"/>
        <v>1.0439839558229668E-14</v>
      </c>
      <c r="D71" s="1">
        <f t="shared" si="1"/>
        <v>0.99999999999997913</v>
      </c>
      <c r="E71" s="1">
        <f t="shared" si="2"/>
        <v>2.0872192862952943E-14</v>
      </c>
      <c r="F71" s="1">
        <f t="shared" si="16"/>
        <v>0.50017933557713723</v>
      </c>
      <c r="H71" s="1">
        <v>63</v>
      </c>
      <c r="I71" s="1">
        <f t="shared" si="3"/>
        <v>5.3077922995383317E-9</v>
      </c>
      <c r="J71" s="1">
        <f t="shared" si="4"/>
        <v>0.99999998331836704</v>
      </c>
      <c r="K71" s="1">
        <f t="shared" si="5"/>
        <v>1.6681632963866377E-8</v>
      </c>
      <c r="L71" s="1">
        <f t="shared" si="6"/>
        <v>0.31818181775341742</v>
      </c>
      <c r="N71" s="1">
        <v>63</v>
      </c>
      <c r="O71" s="1">
        <f t="shared" si="7"/>
        <v>4.1904582331642687E-191</v>
      </c>
      <c r="P71" s="1">
        <f t="shared" si="8"/>
        <v>1</v>
      </c>
      <c r="Q71" s="1">
        <f t="shared" si="9"/>
        <v>0</v>
      </c>
      <c r="R71" s="1" t="e">
        <f t="shared" si="10"/>
        <v>#DIV/0!</v>
      </c>
      <c r="T71" s="1">
        <v>63</v>
      </c>
      <c r="U71" s="1">
        <f t="shared" si="17"/>
        <v>1.6354231763290987E-3</v>
      </c>
      <c r="V71" s="1">
        <f t="shared" si="11"/>
        <v>0.76250333881059529</v>
      </c>
      <c r="W71" s="1">
        <f t="shared" si="12"/>
        <v>0.23749666118940471</v>
      </c>
      <c r="X71" s="1">
        <f t="shared" si="13"/>
        <v>6.8860891270586784E-3</v>
      </c>
      <c r="Z71" s="1">
        <v>63</v>
      </c>
      <c r="AA71" s="1">
        <f t="shared" si="14"/>
        <v>8.788415280628838E-14</v>
      </c>
      <c r="AB71" s="1">
        <f t="shared" si="15"/>
        <v>6.3835707536340085E-12</v>
      </c>
      <c r="AD71" s="1">
        <v>63</v>
      </c>
      <c r="AE71" s="1">
        <f t="shared" si="18"/>
        <v>0.50017933557713723</v>
      </c>
      <c r="AF71" s="1">
        <f t="shared" si="19"/>
        <v>6.8860891270586784E-3</v>
      </c>
    </row>
    <row r="72" spans="2:32" x14ac:dyDescent="0.2">
      <c r="B72" s="1">
        <v>64</v>
      </c>
      <c r="C72" s="1">
        <f t="shared" si="0"/>
        <v>6.3320827745470878E-15</v>
      </c>
      <c r="D72" s="1">
        <f t="shared" si="1"/>
        <v>0.99999999999998734</v>
      </c>
      <c r="E72" s="1">
        <f t="shared" si="2"/>
        <v>1.2656542480726785E-14</v>
      </c>
      <c r="F72" s="1">
        <f t="shared" si="16"/>
        <v>0.50030115129700703</v>
      </c>
      <c r="H72" s="1">
        <v>64</v>
      </c>
      <c r="I72" s="1">
        <f t="shared" si="3"/>
        <v>3.8635676166518631E-9</v>
      </c>
      <c r="J72" s="1">
        <f t="shared" si="4"/>
        <v>0.99999998786598288</v>
      </c>
      <c r="K72" s="1">
        <f t="shared" si="5"/>
        <v>1.2134017124409979E-8</v>
      </c>
      <c r="L72" s="1">
        <f t="shared" si="6"/>
        <v>0.31840795814269385</v>
      </c>
      <c r="N72" s="1">
        <v>64</v>
      </c>
      <c r="O72" s="1">
        <f t="shared" si="7"/>
        <v>3.1675483430273402E-197</v>
      </c>
      <c r="P72" s="1">
        <f t="shared" si="8"/>
        <v>1</v>
      </c>
      <c r="Q72" s="1">
        <f t="shared" si="9"/>
        <v>0</v>
      </c>
      <c r="R72" s="1" t="e">
        <f t="shared" si="10"/>
        <v>#DIV/0!</v>
      </c>
      <c r="T72" s="1">
        <v>64</v>
      </c>
      <c r="U72" s="1">
        <f t="shared" si="17"/>
        <v>1.6038217333162084E-3</v>
      </c>
      <c r="V72" s="1">
        <f t="shared" si="11"/>
        <v>0.76412287212835739</v>
      </c>
      <c r="W72" s="1">
        <f t="shared" si="12"/>
        <v>0.23587712787164261</v>
      </c>
      <c r="X72" s="1">
        <f t="shared" si="13"/>
        <v>6.7993948704893545E-3</v>
      </c>
      <c r="Z72" s="1">
        <v>64</v>
      </c>
      <c r="AA72" s="1">
        <f t="shared" si="14"/>
        <v>5.3657353703298027E-14</v>
      </c>
      <c r="AB72" s="1">
        <f t="shared" si="15"/>
        <v>3.9481213173575688E-12</v>
      </c>
      <c r="AD72" s="1">
        <v>64</v>
      </c>
      <c r="AE72" s="1">
        <f t="shared" si="18"/>
        <v>0.50030115129700703</v>
      </c>
      <c r="AF72" s="1">
        <f t="shared" si="19"/>
        <v>6.7993948704893545E-3</v>
      </c>
    </row>
    <row r="73" spans="2:32" x14ac:dyDescent="0.2">
      <c r="B73" s="1">
        <v>65</v>
      </c>
      <c r="C73" s="1">
        <f t="shared" si="0"/>
        <v>3.8406023426010477E-15</v>
      </c>
      <c r="D73" s="1">
        <f t="shared" si="1"/>
        <v>0.99999999999999234</v>
      </c>
      <c r="E73" s="1">
        <f t="shared" si="2"/>
        <v>7.6605388699135801E-15</v>
      </c>
      <c r="F73" s="1">
        <f t="shared" si="16"/>
        <v>0.50134884866714002</v>
      </c>
      <c r="H73" s="1">
        <v>65</v>
      </c>
      <c r="I73" s="1">
        <f t="shared" si="3"/>
        <v>2.8116229048476605E-9</v>
      </c>
      <c r="J73" s="1">
        <f t="shared" si="4"/>
        <v>0.99999999117582972</v>
      </c>
      <c r="K73" s="1">
        <f t="shared" si="5"/>
        <v>8.8241702833613544E-9</v>
      </c>
      <c r="L73" s="1">
        <f t="shared" si="6"/>
        <v>0.31862745329713205</v>
      </c>
      <c r="N73" s="1">
        <v>65</v>
      </c>
      <c r="O73" s="1">
        <f t="shared" si="7"/>
        <v>1.9167658381880998E-203</v>
      </c>
      <c r="P73" s="1">
        <f t="shared" si="8"/>
        <v>1</v>
      </c>
      <c r="Q73" s="1">
        <f t="shared" si="9"/>
        <v>0</v>
      </c>
      <c r="R73" s="1" t="e">
        <f t="shared" si="10"/>
        <v>#DIV/0!</v>
      </c>
      <c r="T73" s="1">
        <v>65</v>
      </c>
      <c r="U73" s="1">
        <f t="shared" si="17"/>
        <v>1.5732644729801813E-3</v>
      </c>
      <c r="V73" s="1">
        <f t="shared" si="11"/>
        <v>0.76571133030256811</v>
      </c>
      <c r="W73" s="1">
        <f t="shared" si="12"/>
        <v>0.23428866969743189</v>
      </c>
      <c r="X73" s="1">
        <f t="shared" si="13"/>
        <v>6.715068530680322E-3</v>
      </c>
      <c r="Z73" s="1">
        <v>65</v>
      </c>
      <c r="AA73" s="1">
        <f t="shared" si="14"/>
        <v>3.2697009547267701E-14</v>
      </c>
      <c r="AB73" s="1">
        <f t="shared" si="15"/>
        <v>2.4411676539837738E-12</v>
      </c>
      <c r="AD73" s="1">
        <v>65</v>
      </c>
      <c r="AE73" s="1">
        <f t="shared" si="18"/>
        <v>0.50134884866714002</v>
      </c>
      <c r="AF73" s="1">
        <f t="shared" si="19"/>
        <v>6.715068530680322E-3</v>
      </c>
    </row>
    <row r="74" spans="2:32" x14ac:dyDescent="0.2">
      <c r="B74" s="1">
        <v>66</v>
      </c>
      <c r="C74" s="1">
        <f t="shared" ref="C74:C108" si="20">+EXPONDIST(B74,$C$5,FALSE)</f>
        <v>2.3294430725516989E-15</v>
      </c>
      <c r="D74" s="1">
        <f t="shared" ref="D74:D108" si="21">+EXPONDIST(B74,$C$5,TRUE)</f>
        <v>0.99999999999999534</v>
      </c>
      <c r="E74" s="1">
        <f t="shared" ref="E74:E108" si="22">1-D74</f>
        <v>4.6629367034256575E-15</v>
      </c>
      <c r="F74" s="1">
        <f t="shared" ref="F74:F108" si="23">+C74/E74</f>
        <v>0.49956566445355305</v>
      </c>
      <c r="H74" s="1">
        <v>66</v>
      </c>
      <c r="I74" s="1">
        <f t="shared" ref="I74:I108" si="24">+GAMMADIST(H74,$I$5,$I$6,FALSE)</f>
        <v>2.0456099347705469E-9</v>
      </c>
      <c r="J74" s="1">
        <f t="shared" ref="J74:J108" si="25">+GAMMADIST(H74,$I$5,$I$6,TRUE)</f>
        <v>0.99999999358422342</v>
      </c>
      <c r="K74" s="1">
        <f t="shared" ref="K74:K108" si="26">1-J74</f>
        <v>6.4157765766736929E-9</v>
      </c>
      <c r="L74" s="1">
        <f t="shared" ref="L74:L108" si="27">I74/K74</f>
        <v>0.31884058154517414</v>
      </c>
      <c r="N74" s="1">
        <v>66</v>
      </c>
      <c r="O74" s="1">
        <f t="shared" ref="O74:O108" si="28">+_xlfn.WEIBULL.DIST(N74,$O$5,$O$6,FALSE)</f>
        <v>9.2854334264400835E-210</v>
      </c>
      <c r="P74" s="1">
        <f t="shared" ref="P74:P108" si="29">+_xlfn.WEIBULL.DIST(N74,$O$5,$O$6,TRUE)</f>
        <v>1</v>
      </c>
      <c r="Q74" s="1">
        <f t="shared" ref="Q74:Q108" si="30">1-P74</f>
        <v>0</v>
      </c>
      <c r="R74" s="1" t="e">
        <f t="shared" ref="R74:R108" si="31">O74/Q74</f>
        <v>#DIV/0!</v>
      </c>
      <c r="T74" s="1">
        <v>66</v>
      </c>
      <c r="U74" s="1">
        <f t="shared" si="17"/>
        <v>1.543702452985164E-3</v>
      </c>
      <c r="V74" s="1">
        <f t="shared" ref="V74:V108" si="32">+_xlfn.LOGNORM.DIST(T74,$U$5,$U$6,TRUE)</f>
        <v>0.76726973278821131</v>
      </c>
      <c r="W74" s="1">
        <f t="shared" ref="W74:W108" si="33">1-V74</f>
        <v>0.23273026721178869</v>
      </c>
      <c r="X74" s="1">
        <f t="shared" ref="X74:X108" si="34">U74/W74</f>
        <v>6.6330111312095357E-3</v>
      </c>
      <c r="Z74" s="1">
        <v>66</v>
      </c>
      <c r="AA74" s="1">
        <f t="shared" ref="AA74:AA108" si="35">+E74/W74</f>
        <v>2.0035798348404346E-14</v>
      </c>
      <c r="AB74" s="1">
        <f t="shared" ref="AB74:AB108" si="36">C74/U74</f>
        <v>1.5089974548185073E-12</v>
      </c>
      <c r="AD74" s="1">
        <v>66</v>
      </c>
      <c r="AE74" s="1">
        <f t="shared" si="18"/>
        <v>0.49956566445355305</v>
      </c>
      <c r="AF74" s="1">
        <f t="shared" si="19"/>
        <v>6.6330111312095357E-3</v>
      </c>
    </row>
    <row r="75" spans="2:32" x14ac:dyDescent="0.2">
      <c r="B75" s="1">
        <v>67</v>
      </c>
      <c r="C75" s="1">
        <f t="shared" si="20"/>
        <v>1.4128786435578055E-15</v>
      </c>
      <c r="D75" s="1">
        <f t="shared" si="21"/>
        <v>0.99999999999999722</v>
      </c>
      <c r="E75" s="1">
        <f t="shared" si="22"/>
        <v>2.7755575615628914E-15</v>
      </c>
      <c r="F75" s="1">
        <f t="shared" si="23"/>
        <v>0.5090431786117332</v>
      </c>
      <c r="H75" s="1">
        <v>67</v>
      </c>
      <c r="I75" s="1">
        <f t="shared" si="24"/>
        <v>1.4879518033548706E-9</v>
      </c>
      <c r="J75" s="1">
        <f t="shared" si="25"/>
        <v>0.99999999533627049</v>
      </c>
      <c r="K75" s="1">
        <f t="shared" si="26"/>
        <v>4.6637295136875423E-9</v>
      </c>
      <c r="L75" s="1">
        <f t="shared" si="27"/>
        <v>0.31904762036217854</v>
      </c>
      <c r="N75" s="1">
        <v>67</v>
      </c>
      <c r="O75" s="1">
        <f t="shared" si="28"/>
        <v>3.6010214147937522E-216</v>
      </c>
      <c r="P75" s="1">
        <f t="shared" si="29"/>
        <v>1</v>
      </c>
      <c r="Q75" s="1">
        <f t="shared" si="30"/>
        <v>0</v>
      </c>
      <c r="R75" s="1" t="e">
        <f t="shared" si="31"/>
        <v>#DIV/0!</v>
      </c>
      <c r="T75" s="1">
        <v>67</v>
      </c>
      <c r="U75" s="1">
        <f t="shared" ref="U75:U108" si="37">+_xlfn.LOGNORM.DIST(T75,$U$5,$U$6,FALSE)</f>
        <v>1.5150896933171674E-3</v>
      </c>
      <c r="V75" s="1">
        <f t="shared" si="32"/>
        <v>0.76879905159819073</v>
      </c>
      <c r="W75" s="1">
        <f t="shared" si="33"/>
        <v>0.23120094840180927</v>
      </c>
      <c r="X75" s="1">
        <f t="shared" si="34"/>
        <v>6.5531292314772831E-3</v>
      </c>
      <c r="Z75" s="1">
        <v>67</v>
      </c>
      <c r="AA75" s="1">
        <f t="shared" si="35"/>
        <v>1.2004957508821236E-14</v>
      </c>
      <c r="AB75" s="1">
        <f t="shared" si="36"/>
        <v>9.325379545447379E-13</v>
      </c>
      <c r="AD75" s="1">
        <v>67</v>
      </c>
      <c r="AE75" s="1">
        <f t="shared" ref="AE75:AE108" si="38">+F75</f>
        <v>0.5090431786117332</v>
      </c>
      <c r="AF75" s="1">
        <f t="shared" ref="AF75:AF108" si="39">+X75</f>
        <v>6.5531292314772831E-3</v>
      </c>
    </row>
    <row r="76" spans="2:32" x14ac:dyDescent="0.2">
      <c r="B76" s="1">
        <v>68</v>
      </c>
      <c r="C76" s="1">
        <f t="shared" si="20"/>
        <v>8.569542157710065E-16</v>
      </c>
      <c r="D76" s="1">
        <f t="shared" si="21"/>
        <v>0.99999999999999833</v>
      </c>
      <c r="E76" s="1">
        <f t="shared" si="22"/>
        <v>0</v>
      </c>
      <c r="F76" s="1">
        <f>IFERROR(C9/E9,"0")</f>
        <v>0.5</v>
      </c>
      <c r="H76" s="1">
        <v>68</v>
      </c>
      <c r="I76" s="1">
        <f t="shared" si="24"/>
        <v>1.082076952082654E-9</v>
      </c>
      <c r="J76" s="1">
        <f t="shared" si="25"/>
        <v>0.99999999661055305</v>
      </c>
      <c r="K76" s="1">
        <f t="shared" si="26"/>
        <v>3.3894469453343845E-9</v>
      </c>
      <c r="L76" s="1">
        <f t="shared" si="27"/>
        <v>0.31924882422843237</v>
      </c>
      <c r="N76" s="1">
        <v>68</v>
      </c>
      <c r="O76" s="1">
        <f t="shared" si="28"/>
        <v>1.1180020130361123E-222</v>
      </c>
      <c r="P76" s="1">
        <f t="shared" si="29"/>
        <v>1</v>
      </c>
      <c r="Q76" s="1">
        <f t="shared" si="30"/>
        <v>0</v>
      </c>
      <c r="R76" s="1" t="e">
        <f t="shared" si="31"/>
        <v>#DIV/0!</v>
      </c>
      <c r="T76" s="1">
        <v>68</v>
      </c>
      <c r="U76" s="1">
        <f t="shared" si="37"/>
        <v>1.4873829573275653E-3</v>
      </c>
      <c r="V76" s="1">
        <f t="shared" si="32"/>
        <v>0.77030021415450056</v>
      </c>
      <c r="W76" s="1">
        <f t="shared" si="33"/>
        <v>0.22969978584549944</v>
      </c>
      <c r="X76" s="1">
        <f t="shared" si="34"/>
        <v>6.4753345409212012E-3</v>
      </c>
      <c r="Z76" s="1">
        <v>68</v>
      </c>
      <c r="AA76" s="1">
        <f t="shared" si="35"/>
        <v>0</v>
      </c>
      <c r="AB76" s="1">
        <f t="shared" si="36"/>
        <v>5.761490082626247E-13</v>
      </c>
      <c r="AD76" s="1">
        <v>68</v>
      </c>
      <c r="AE76" s="1">
        <f t="shared" si="38"/>
        <v>0.5</v>
      </c>
      <c r="AF76" s="1">
        <f t="shared" si="39"/>
        <v>6.4753345409212012E-3</v>
      </c>
    </row>
    <row r="77" spans="2:32" x14ac:dyDescent="0.2">
      <c r="B77" s="1">
        <v>69</v>
      </c>
      <c r="C77" s="1">
        <f t="shared" si="20"/>
        <v>5.1976900583511098E-16</v>
      </c>
      <c r="D77" s="1">
        <f t="shared" si="21"/>
        <v>0.999999999999999</v>
      </c>
      <c r="E77" s="1">
        <f t="shared" si="22"/>
        <v>0</v>
      </c>
      <c r="F77" s="1" t="e">
        <f t="shared" si="23"/>
        <v>#DIV/0!</v>
      </c>
      <c r="H77" s="1">
        <v>69</v>
      </c>
      <c r="I77" s="1">
        <f t="shared" si="24"/>
        <v>7.8674410509714523E-10</v>
      </c>
      <c r="J77" s="1">
        <f t="shared" si="25"/>
        <v>0.99999999753714897</v>
      </c>
      <c r="K77" s="1">
        <f t="shared" si="26"/>
        <v>2.4628510342239451E-9</v>
      </c>
      <c r="L77" s="1">
        <f t="shared" si="27"/>
        <v>0.31944445448161329</v>
      </c>
      <c r="N77" s="1">
        <v>69</v>
      </c>
      <c r="O77" s="1">
        <f t="shared" si="28"/>
        <v>2.778789506217455E-229</v>
      </c>
      <c r="P77" s="1">
        <f t="shared" si="29"/>
        <v>1</v>
      </c>
      <c r="Q77" s="1">
        <f t="shared" si="30"/>
        <v>0</v>
      </c>
      <c r="R77" s="1" t="e">
        <f t="shared" si="31"/>
        <v>#DIV/0!</v>
      </c>
      <c r="T77" s="1">
        <v>69</v>
      </c>
      <c r="U77" s="1">
        <f t="shared" si="37"/>
        <v>1.4605415518251649E-3</v>
      </c>
      <c r="V77" s="1">
        <f t="shared" si="32"/>
        <v>0.77177410593013218</v>
      </c>
      <c r="W77" s="1">
        <f t="shared" si="33"/>
        <v>0.22822589406986782</v>
      </c>
      <c r="X77" s="1">
        <f t="shared" si="34"/>
        <v>6.3995435652802954E-3</v>
      </c>
      <c r="Z77" s="1">
        <v>69</v>
      </c>
      <c r="AA77" s="1">
        <f t="shared" si="35"/>
        <v>0</v>
      </c>
      <c r="AB77" s="1">
        <f t="shared" si="36"/>
        <v>3.5587416543239183E-13</v>
      </c>
      <c r="AD77" s="1">
        <v>69</v>
      </c>
      <c r="AE77" s="1" t="e">
        <f t="shared" si="38"/>
        <v>#DIV/0!</v>
      </c>
      <c r="AF77" s="1">
        <f t="shared" si="39"/>
        <v>6.3995435652802954E-3</v>
      </c>
    </row>
    <row r="78" spans="2:32" x14ac:dyDescent="0.2">
      <c r="B78" s="1">
        <v>70</v>
      </c>
      <c r="C78" s="1">
        <f t="shared" si="20"/>
        <v>3.1525583800734946E-16</v>
      </c>
      <c r="D78" s="1">
        <f t="shared" si="21"/>
        <v>0.99999999999999933</v>
      </c>
      <c r="E78" s="1">
        <f t="shared" si="22"/>
        <v>0</v>
      </c>
      <c r="F78" s="1" t="e">
        <f t="shared" si="23"/>
        <v>#DIV/0!</v>
      </c>
      <c r="H78" s="1">
        <v>70</v>
      </c>
      <c r="I78" s="1">
        <f t="shared" si="24"/>
        <v>5.7189673811307655E-10</v>
      </c>
      <c r="J78" s="1">
        <f t="shared" si="25"/>
        <v>0.99999999821078023</v>
      </c>
      <c r="K78" s="1">
        <f t="shared" si="26"/>
        <v>1.7892197723412551E-9</v>
      </c>
      <c r="L78" s="1">
        <f t="shared" si="27"/>
        <v>0.31963470723595355</v>
      </c>
      <c r="N78" s="1">
        <v>70</v>
      </c>
      <c r="O78" s="1">
        <f t="shared" si="28"/>
        <v>5.5292674998646141E-236</v>
      </c>
      <c r="P78" s="1">
        <f t="shared" si="29"/>
        <v>1</v>
      </c>
      <c r="Q78" s="1">
        <f t="shared" si="30"/>
        <v>0</v>
      </c>
      <c r="R78" s="1" t="e">
        <f t="shared" si="31"/>
        <v>#DIV/0!</v>
      </c>
      <c r="T78" s="1">
        <v>70</v>
      </c>
      <c r="U78" s="1">
        <f t="shared" si="37"/>
        <v>1.434527144316427E-3</v>
      </c>
      <c r="V78" s="1">
        <f t="shared" si="32"/>
        <v>0.77322157289979609</v>
      </c>
      <c r="W78" s="1">
        <f t="shared" si="33"/>
        <v>0.22677842710020391</v>
      </c>
      <c r="X78" s="1">
        <f t="shared" si="34"/>
        <v>6.3256772818279109E-3</v>
      </c>
      <c r="Z78" s="1">
        <v>70</v>
      </c>
      <c r="AA78" s="1">
        <f t="shared" si="35"/>
        <v>0</v>
      </c>
      <c r="AB78" s="1">
        <f t="shared" si="36"/>
        <v>2.1976289487193597E-13</v>
      </c>
      <c r="AD78" s="1">
        <v>70</v>
      </c>
      <c r="AE78" s="1" t="e">
        <f t="shared" si="38"/>
        <v>#DIV/0!</v>
      </c>
      <c r="AF78" s="1">
        <f t="shared" si="39"/>
        <v>6.3256772818279109E-3</v>
      </c>
    </row>
    <row r="79" spans="2:32" x14ac:dyDescent="0.2">
      <c r="B79" s="1">
        <v>71</v>
      </c>
      <c r="C79" s="1">
        <f t="shared" si="20"/>
        <v>1.9121233140485678E-16</v>
      </c>
      <c r="D79" s="1">
        <f t="shared" si="21"/>
        <v>0.99999999999999967</v>
      </c>
      <c r="E79" s="1">
        <f t="shared" si="22"/>
        <v>0</v>
      </c>
      <c r="F79" s="1" t="e">
        <f t="shared" si="23"/>
        <v>#DIV/0!</v>
      </c>
      <c r="H79" s="1">
        <v>71</v>
      </c>
      <c r="I79" s="1">
        <f t="shared" si="24"/>
        <v>4.1563594669122293E-10</v>
      </c>
      <c r="J79" s="1">
        <f t="shared" si="25"/>
        <v>0.9999999987004059</v>
      </c>
      <c r="K79" s="1">
        <f t="shared" si="26"/>
        <v>1.2995940990023769E-9</v>
      </c>
      <c r="L79" s="1">
        <f t="shared" si="27"/>
        <v>0.31981981682610178</v>
      </c>
      <c r="N79" s="1">
        <v>71</v>
      </c>
      <c r="O79" s="1">
        <f t="shared" si="28"/>
        <v>8.8080754609823022E-243</v>
      </c>
      <c r="P79" s="1">
        <f t="shared" si="29"/>
        <v>1</v>
      </c>
      <c r="Q79" s="1">
        <f t="shared" si="30"/>
        <v>0</v>
      </c>
      <c r="R79" s="1" t="e">
        <f t="shared" si="31"/>
        <v>#DIV/0!</v>
      </c>
      <c r="T79" s="1">
        <v>71</v>
      </c>
      <c r="U79" s="1">
        <f t="shared" si="37"/>
        <v>1.4093035957067855E-3</v>
      </c>
      <c r="V79" s="1">
        <f t="shared" si="32"/>
        <v>0.77464342381574736</v>
      </c>
      <c r="W79" s="1">
        <f t="shared" si="33"/>
        <v>0.22535657618425264</v>
      </c>
      <c r="X79" s="1">
        <f t="shared" si="34"/>
        <v>6.2536608408291219E-3</v>
      </c>
      <c r="Z79" s="1">
        <v>71</v>
      </c>
      <c r="AA79" s="1">
        <f t="shared" si="35"/>
        <v>0</v>
      </c>
      <c r="AB79" s="1">
        <f t="shared" si="36"/>
        <v>1.3567859472391475E-13</v>
      </c>
      <c r="AD79" s="1">
        <v>71</v>
      </c>
      <c r="AE79" s="1" t="e">
        <f t="shared" si="38"/>
        <v>#DIV/0!</v>
      </c>
      <c r="AF79" s="1">
        <f t="shared" si="39"/>
        <v>6.2536608408291219E-3</v>
      </c>
    </row>
    <row r="80" spans="2:32" x14ac:dyDescent="0.2">
      <c r="B80" s="1">
        <v>72</v>
      </c>
      <c r="C80" s="1">
        <f t="shared" si="20"/>
        <v>1.1597614151217846E-16</v>
      </c>
      <c r="D80" s="1">
        <f t="shared" si="21"/>
        <v>0.99999999999999978</v>
      </c>
      <c r="E80" s="1">
        <f t="shared" si="22"/>
        <v>0</v>
      </c>
      <c r="F80" s="1" t="e">
        <f t="shared" si="23"/>
        <v>#DIV/0!</v>
      </c>
      <c r="H80" s="1">
        <v>72</v>
      </c>
      <c r="I80" s="1">
        <f t="shared" si="24"/>
        <v>3.0201076354232771E-10</v>
      </c>
      <c r="J80" s="1">
        <f t="shared" si="25"/>
        <v>0.99999999905621628</v>
      </c>
      <c r="K80" s="1">
        <f t="shared" si="26"/>
        <v>9.4378371784387127E-10</v>
      </c>
      <c r="L80" s="1">
        <f t="shared" si="27"/>
        <v>0.3199999722736146</v>
      </c>
      <c r="N80" s="1">
        <v>72</v>
      </c>
      <c r="O80" s="1">
        <f t="shared" si="28"/>
        <v>1.1233068477606295E-249</v>
      </c>
      <c r="P80" s="1">
        <f t="shared" si="29"/>
        <v>1</v>
      </c>
      <c r="Q80" s="1">
        <f t="shared" si="30"/>
        <v>0</v>
      </c>
      <c r="R80" s="1" t="e">
        <f t="shared" si="31"/>
        <v>#DIV/0!</v>
      </c>
      <c r="T80" s="1">
        <v>72</v>
      </c>
      <c r="U80" s="1">
        <f t="shared" si="37"/>
        <v>1.3848368069626518E-3</v>
      </c>
      <c r="V80" s="1">
        <f t="shared" si="32"/>
        <v>0.77604043232340936</v>
      </c>
      <c r="W80" s="1">
        <f t="shared" si="33"/>
        <v>0.22395956767659064</v>
      </c>
      <c r="X80" s="1">
        <f t="shared" si="34"/>
        <v>6.1834232907719703E-3</v>
      </c>
      <c r="Z80" s="1">
        <v>72</v>
      </c>
      <c r="AA80" s="1">
        <f t="shared" si="35"/>
        <v>0</v>
      </c>
      <c r="AB80" s="1">
        <f t="shared" si="36"/>
        <v>8.3747154126086318E-14</v>
      </c>
      <c r="AD80" s="1">
        <v>72</v>
      </c>
      <c r="AE80" s="1" t="e">
        <f t="shared" si="38"/>
        <v>#DIV/0!</v>
      </c>
      <c r="AF80" s="1">
        <f t="shared" si="39"/>
        <v>6.1834232907719703E-3</v>
      </c>
    </row>
    <row r="81" spans="2:32" x14ac:dyDescent="0.2">
      <c r="B81" s="1">
        <v>73</v>
      </c>
      <c r="C81" s="1">
        <f t="shared" si="20"/>
        <v>7.0343085622307333E-17</v>
      </c>
      <c r="D81" s="1">
        <f t="shared" si="21"/>
        <v>0.99999999999999989</v>
      </c>
      <c r="E81" s="1">
        <f t="shared" si="22"/>
        <v>0</v>
      </c>
      <c r="F81" s="1" t="e">
        <f t="shared" si="23"/>
        <v>#DIV/0!</v>
      </c>
      <c r="H81" s="1">
        <v>73</v>
      </c>
      <c r="I81" s="1">
        <f t="shared" si="24"/>
        <v>2.1940572610015844E-10</v>
      </c>
      <c r="J81" s="1">
        <f t="shared" si="25"/>
        <v>0.99999999931473282</v>
      </c>
      <c r="K81" s="1">
        <f t="shared" si="26"/>
        <v>6.8526717633687895E-10</v>
      </c>
      <c r="L81" s="1">
        <f t="shared" si="27"/>
        <v>0.32017544933787706</v>
      </c>
      <c r="N81" s="1">
        <v>73</v>
      </c>
      <c r="O81" s="1">
        <f t="shared" si="28"/>
        <v>1.1468909273095498E-256</v>
      </c>
      <c r="P81" s="1">
        <f t="shared" si="29"/>
        <v>1</v>
      </c>
      <c r="Q81" s="1">
        <f t="shared" si="30"/>
        <v>0</v>
      </c>
      <c r="R81" s="1" t="e">
        <f t="shared" si="31"/>
        <v>#DIV/0!</v>
      </c>
      <c r="T81" s="1">
        <v>73</v>
      </c>
      <c r="U81" s="1">
        <f t="shared" si="37"/>
        <v>1.361094578397539E-3</v>
      </c>
      <c r="V81" s="1">
        <f t="shared" si="32"/>
        <v>0.77741333893007858</v>
      </c>
      <c r="W81" s="1">
        <f t="shared" si="33"/>
        <v>0.22258666106992142</v>
      </c>
      <c r="X81" s="1">
        <f t="shared" si="34"/>
        <v>6.1148973251814792E-3</v>
      </c>
      <c r="Z81" s="1">
        <v>73</v>
      </c>
      <c r="AA81" s="1">
        <f t="shared" si="35"/>
        <v>0</v>
      </c>
      <c r="AB81" s="1">
        <f t="shared" si="36"/>
        <v>5.1681262080350463E-14</v>
      </c>
      <c r="AD81" s="1">
        <v>73</v>
      </c>
      <c r="AE81" s="1" t="e">
        <f t="shared" si="38"/>
        <v>#DIV/0!</v>
      </c>
      <c r="AF81" s="1">
        <f t="shared" si="39"/>
        <v>6.1148973251814792E-3</v>
      </c>
    </row>
    <row r="82" spans="2:32" x14ac:dyDescent="0.2">
      <c r="B82" s="1">
        <v>74</v>
      </c>
      <c r="C82" s="1">
        <f t="shared" si="20"/>
        <v>4.2665238128720329E-17</v>
      </c>
      <c r="D82" s="1">
        <f t="shared" si="21"/>
        <v>0.99999999999999989</v>
      </c>
      <c r="E82" s="1">
        <f t="shared" si="22"/>
        <v>0</v>
      </c>
      <c r="F82" s="1" t="e">
        <f t="shared" si="23"/>
        <v>#DIV/0!</v>
      </c>
      <c r="H82" s="1">
        <v>74</v>
      </c>
      <c r="I82" s="1">
        <f t="shared" si="24"/>
        <v>1.5936464880514455E-10</v>
      </c>
      <c r="J82" s="1">
        <f t="shared" si="25"/>
        <v>0.99999999950252394</v>
      </c>
      <c r="K82" s="1">
        <f t="shared" si="26"/>
        <v>4.9747606034600267E-10</v>
      </c>
      <c r="L82" s="1">
        <f t="shared" si="27"/>
        <v>0.32034636740972794</v>
      </c>
      <c r="N82" s="1">
        <v>74</v>
      </c>
      <c r="O82" s="1">
        <f t="shared" si="28"/>
        <v>9.3746365434978402E-264</v>
      </c>
      <c r="P82" s="1">
        <f t="shared" si="29"/>
        <v>1</v>
      </c>
      <c r="Q82" s="1">
        <f t="shared" si="30"/>
        <v>0</v>
      </c>
      <c r="R82" s="1" t="e">
        <f t="shared" si="31"/>
        <v>#DIV/0!</v>
      </c>
      <c r="T82" s="1">
        <v>74</v>
      </c>
      <c r="U82" s="1">
        <f t="shared" si="37"/>
        <v>1.338046480389776E-3</v>
      </c>
      <c r="V82" s="1">
        <f t="shared" si="32"/>
        <v>0.77876285283872326</v>
      </c>
      <c r="W82" s="1">
        <f t="shared" si="33"/>
        <v>0.22123714716127674</v>
      </c>
      <c r="X82" s="1">
        <f t="shared" si="34"/>
        <v>6.0480190490540507E-3</v>
      </c>
      <c r="Z82" s="1">
        <v>74</v>
      </c>
      <c r="AA82" s="1">
        <f t="shared" si="35"/>
        <v>0</v>
      </c>
      <c r="AB82" s="1">
        <f t="shared" si="36"/>
        <v>3.1886215280273258E-14</v>
      </c>
      <c r="AD82" s="1">
        <v>74</v>
      </c>
      <c r="AE82" s="1" t="e">
        <f t="shared" si="38"/>
        <v>#DIV/0!</v>
      </c>
      <c r="AF82" s="1">
        <f t="shared" si="39"/>
        <v>6.0480190490540507E-3</v>
      </c>
    </row>
    <row r="83" spans="2:32" x14ac:dyDescent="0.2">
      <c r="B83" s="1">
        <v>75</v>
      </c>
      <c r="C83" s="1">
        <f t="shared" si="20"/>
        <v>2.5877775029009344E-17</v>
      </c>
      <c r="D83" s="1">
        <f t="shared" si="21"/>
        <v>1</v>
      </c>
      <c r="E83" s="1">
        <f t="shared" si="22"/>
        <v>0</v>
      </c>
      <c r="F83" s="1" t="e">
        <f t="shared" si="23"/>
        <v>#DIV/0!</v>
      </c>
      <c r="H83" s="1">
        <v>75</v>
      </c>
      <c r="I83" s="1">
        <f t="shared" si="24"/>
        <v>1.1573286554136697E-10</v>
      </c>
      <c r="J83" s="1">
        <f t="shared" si="25"/>
        <v>0.99999999963891351</v>
      </c>
      <c r="K83" s="1">
        <f t="shared" si="26"/>
        <v>3.6108649403843174E-10</v>
      </c>
      <c r="L83" s="1">
        <f t="shared" si="27"/>
        <v>0.3205128617440039</v>
      </c>
      <c r="N83" s="1">
        <v>75</v>
      </c>
      <c r="O83" s="1">
        <f t="shared" si="28"/>
        <v>6.1347597580043928E-271</v>
      </c>
      <c r="P83" s="1">
        <f t="shared" si="29"/>
        <v>1</v>
      </c>
      <c r="Q83" s="1">
        <f t="shared" si="30"/>
        <v>0</v>
      </c>
      <c r="R83" s="1" t="e">
        <f t="shared" si="31"/>
        <v>#DIV/0!</v>
      </c>
      <c r="T83" s="1">
        <v>75</v>
      </c>
      <c r="U83" s="1">
        <f t="shared" si="37"/>
        <v>1.3156637344659953E-3</v>
      </c>
      <c r="V83" s="1">
        <f t="shared" si="32"/>
        <v>0.78008965365776806</v>
      </c>
      <c r="W83" s="1">
        <f t="shared" si="33"/>
        <v>0.21991034634223194</v>
      </c>
      <c r="X83" s="1">
        <f t="shared" si="34"/>
        <v>5.9827277631517833E-3</v>
      </c>
      <c r="Z83" s="1">
        <v>75</v>
      </c>
      <c r="AA83" s="1">
        <f t="shared" si="35"/>
        <v>0</v>
      </c>
      <c r="AB83" s="1">
        <f t="shared" si="36"/>
        <v>1.9668988626119329E-14</v>
      </c>
      <c r="AD83" s="1">
        <v>75</v>
      </c>
      <c r="AE83" s="1" t="e">
        <f t="shared" si="38"/>
        <v>#DIV/0!</v>
      </c>
      <c r="AF83" s="1">
        <f t="shared" si="39"/>
        <v>5.9827277631517833E-3</v>
      </c>
    </row>
    <row r="84" spans="2:32" x14ac:dyDescent="0.2">
      <c r="B84" s="1">
        <v>76</v>
      </c>
      <c r="C84" s="1">
        <f t="shared" si="20"/>
        <v>1.5695663960240148E-17</v>
      </c>
      <c r="D84" s="1">
        <f t="shared" si="21"/>
        <v>1</v>
      </c>
      <c r="E84" s="1">
        <f t="shared" si="22"/>
        <v>0</v>
      </c>
      <c r="F84" s="1" t="e">
        <f t="shared" si="23"/>
        <v>#DIV/0!</v>
      </c>
      <c r="H84" s="1">
        <v>76</v>
      </c>
      <c r="I84" s="1">
        <f t="shared" si="24"/>
        <v>8.4031904780453484E-11</v>
      </c>
      <c r="J84" s="1">
        <f t="shared" si="25"/>
        <v>0.99999999973795317</v>
      </c>
      <c r="K84" s="1">
        <f t="shared" si="26"/>
        <v>2.620468286806954E-10</v>
      </c>
      <c r="L84" s="1">
        <f t="shared" si="27"/>
        <v>0.32067514498657235</v>
      </c>
      <c r="N84" s="1">
        <v>76</v>
      </c>
      <c r="O84" s="1">
        <f t="shared" si="28"/>
        <v>3.2140570514537945E-278</v>
      </c>
      <c r="P84" s="1">
        <f t="shared" si="29"/>
        <v>1</v>
      </c>
      <c r="Q84" s="1">
        <f t="shared" si="30"/>
        <v>0</v>
      </c>
      <c r="R84" s="1" t="e">
        <f t="shared" si="31"/>
        <v>#DIV/0!</v>
      </c>
      <c r="T84" s="1">
        <v>76</v>
      </c>
      <c r="U84" s="1">
        <f t="shared" si="37"/>
        <v>1.2939191037964844E-3</v>
      </c>
      <c r="V84" s="1">
        <f t="shared" si="32"/>
        <v>0.78139439299674263</v>
      </c>
      <c r="W84" s="1">
        <f t="shared" si="33"/>
        <v>0.21860560700325737</v>
      </c>
      <c r="X84" s="1">
        <f t="shared" si="34"/>
        <v>5.9189657645753067E-3</v>
      </c>
      <c r="Z84" s="1">
        <v>76</v>
      </c>
      <c r="AA84" s="1">
        <f t="shared" si="35"/>
        <v>0</v>
      </c>
      <c r="AB84" s="1">
        <f t="shared" si="36"/>
        <v>1.2130328638156393E-14</v>
      </c>
      <c r="AD84" s="1">
        <v>76</v>
      </c>
      <c r="AE84" s="1" t="e">
        <f t="shared" si="38"/>
        <v>#DIV/0!</v>
      </c>
      <c r="AF84" s="1">
        <f t="shared" si="39"/>
        <v>5.9189657645753067E-3</v>
      </c>
    </row>
    <row r="85" spans="2:32" x14ac:dyDescent="0.2">
      <c r="B85" s="1">
        <v>77</v>
      </c>
      <c r="C85" s="1">
        <f t="shared" si="20"/>
        <v>9.5199014164322616E-18</v>
      </c>
      <c r="D85" s="1">
        <f t="shared" si="21"/>
        <v>1</v>
      </c>
      <c r="E85" s="1">
        <f t="shared" si="22"/>
        <v>0</v>
      </c>
      <c r="F85" s="1" t="e">
        <f t="shared" si="23"/>
        <v>#DIV/0!</v>
      </c>
      <c r="H85" s="1">
        <v>77</v>
      </c>
      <c r="I85" s="1">
        <f t="shared" si="24"/>
        <v>6.1003747321065018E-11</v>
      </c>
      <c r="J85" s="1">
        <f t="shared" si="25"/>
        <v>0.99999999980985843</v>
      </c>
      <c r="K85" s="1">
        <f t="shared" si="26"/>
        <v>1.901415691563102E-10</v>
      </c>
      <c r="L85" s="1">
        <f t="shared" si="27"/>
        <v>0.32083330116475217</v>
      </c>
      <c r="N85" s="1">
        <v>77</v>
      </c>
      <c r="O85" s="1">
        <f t="shared" si="28"/>
        <v>1.3481074912613028E-285</v>
      </c>
      <c r="P85" s="1">
        <f t="shared" si="29"/>
        <v>1</v>
      </c>
      <c r="Q85" s="1">
        <f t="shared" si="30"/>
        <v>0</v>
      </c>
      <c r="R85" s="1" t="e">
        <f t="shared" si="31"/>
        <v>#DIV/0!</v>
      </c>
      <c r="T85" s="1">
        <v>77</v>
      </c>
      <c r="U85" s="1">
        <f t="shared" si="37"/>
        <v>1.2727867922473529E-3</v>
      </c>
      <c r="V85" s="1">
        <f t="shared" si="32"/>
        <v>0.78267769595677117</v>
      </c>
      <c r="W85" s="1">
        <f t="shared" si="33"/>
        <v>0.21732230404322883</v>
      </c>
      <c r="X85" s="1">
        <f t="shared" si="34"/>
        <v>5.8566781621925725E-3</v>
      </c>
      <c r="Z85" s="1">
        <v>77</v>
      </c>
      <c r="AA85" s="1">
        <f t="shared" si="35"/>
        <v>0</v>
      </c>
      <c r="AB85" s="1">
        <f t="shared" si="36"/>
        <v>7.4795727567403665E-15</v>
      </c>
      <c r="AD85" s="1">
        <v>77</v>
      </c>
      <c r="AE85" s="1" t="e">
        <f t="shared" si="38"/>
        <v>#DIV/0!</v>
      </c>
      <c r="AF85" s="1">
        <f t="shared" si="39"/>
        <v>5.8566781621925725E-3</v>
      </c>
    </row>
    <row r="86" spans="2:32" x14ac:dyDescent="0.2">
      <c r="B86" s="1">
        <v>78</v>
      </c>
      <c r="C86" s="1">
        <f t="shared" si="20"/>
        <v>5.7741120865078931E-18</v>
      </c>
      <c r="D86" s="1">
        <f t="shared" si="21"/>
        <v>1</v>
      </c>
      <c r="E86" s="1">
        <f t="shared" si="22"/>
        <v>0</v>
      </c>
      <c r="F86" s="1" t="e">
        <f t="shared" si="23"/>
        <v>#DIV/0!</v>
      </c>
      <c r="H86" s="1">
        <v>78</v>
      </c>
      <c r="I86" s="1">
        <f t="shared" si="24"/>
        <v>4.4278771576548799E-11</v>
      </c>
      <c r="J86" s="1">
        <f t="shared" si="25"/>
        <v>0.99999999986205457</v>
      </c>
      <c r="K86" s="1">
        <f t="shared" si="26"/>
        <v>1.3794543285428063E-10</v>
      </c>
      <c r="L86" s="1">
        <f t="shared" si="27"/>
        <v>0.32098758661566495</v>
      </c>
      <c r="N86" s="1">
        <v>78</v>
      </c>
      <c r="O86" s="1">
        <f t="shared" si="28"/>
        <v>4.5270190528918471E-293</v>
      </c>
      <c r="P86" s="1">
        <f t="shared" si="29"/>
        <v>1</v>
      </c>
      <c r="Q86" s="1">
        <f t="shared" si="30"/>
        <v>0</v>
      </c>
      <c r="R86" s="1" t="e">
        <f t="shared" si="31"/>
        <v>#DIV/0!</v>
      </c>
      <c r="T86" s="1">
        <v>78</v>
      </c>
      <c r="U86" s="1">
        <f t="shared" si="37"/>
        <v>1.2522423512218164E-3</v>
      </c>
      <c r="V86" s="1">
        <f t="shared" si="32"/>
        <v>0.78394016252407062</v>
      </c>
      <c r="W86" s="1">
        <f t="shared" si="33"/>
        <v>0.21605983747592938</v>
      </c>
      <c r="X86" s="1">
        <f t="shared" si="34"/>
        <v>5.7958127056414411E-3</v>
      </c>
      <c r="Z86" s="1">
        <v>78</v>
      </c>
      <c r="AA86" s="1">
        <f t="shared" si="35"/>
        <v>0</v>
      </c>
      <c r="AB86" s="1">
        <f t="shared" si="36"/>
        <v>4.6110180516367902E-15</v>
      </c>
      <c r="AD86" s="1">
        <v>78</v>
      </c>
      <c r="AE86" s="1" t="e">
        <f t="shared" si="38"/>
        <v>#DIV/0!</v>
      </c>
      <c r="AF86" s="1">
        <f t="shared" si="39"/>
        <v>5.7958127056414411E-3</v>
      </c>
    </row>
    <row r="87" spans="2:32" x14ac:dyDescent="0.2">
      <c r="B87" s="1">
        <v>79</v>
      </c>
      <c r="C87" s="1">
        <f t="shared" si="20"/>
        <v>3.5021760130843227E-18</v>
      </c>
      <c r="D87" s="1">
        <f t="shared" si="21"/>
        <v>1</v>
      </c>
      <c r="E87" s="1">
        <f t="shared" si="22"/>
        <v>0</v>
      </c>
      <c r="F87" s="1" t="e">
        <f t="shared" si="23"/>
        <v>#DIV/0!</v>
      </c>
      <c r="H87" s="1">
        <v>79</v>
      </c>
      <c r="I87" s="1">
        <f t="shared" si="24"/>
        <v>3.2133884256910494E-11</v>
      </c>
      <c r="J87" s="1">
        <f t="shared" si="25"/>
        <v>0.9999999998999376</v>
      </c>
      <c r="K87" s="1">
        <f t="shared" si="26"/>
        <v>1.0006240280802103E-10</v>
      </c>
      <c r="L87" s="1">
        <f t="shared" si="27"/>
        <v>0.32113844316293622</v>
      </c>
      <c r="N87" s="1">
        <v>79</v>
      </c>
      <c r="O87" s="1">
        <f t="shared" si="28"/>
        <v>1.2170792237465029E-300</v>
      </c>
      <c r="P87" s="1">
        <f t="shared" si="29"/>
        <v>1</v>
      </c>
      <c r="Q87" s="1">
        <f t="shared" si="30"/>
        <v>0</v>
      </c>
      <c r="R87" s="1" t="e">
        <f t="shared" si="31"/>
        <v>#DIV/0!</v>
      </c>
      <c r="T87" s="1">
        <v>79</v>
      </c>
      <c r="U87" s="1">
        <f t="shared" si="37"/>
        <v>1.2322625936005546E-3</v>
      </c>
      <c r="V87" s="1">
        <f t="shared" si="32"/>
        <v>0.78518236887389192</v>
      </c>
      <c r="W87" s="1">
        <f t="shared" si="33"/>
        <v>0.21481763112610808</v>
      </c>
      <c r="X87" s="1">
        <f t="shared" si="34"/>
        <v>5.7363196267496237E-3</v>
      </c>
      <c r="Z87" s="1">
        <v>79</v>
      </c>
      <c r="AA87" s="1">
        <f t="shared" si="35"/>
        <v>0</v>
      </c>
      <c r="AB87" s="1">
        <f t="shared" si="36"/>
        <v>2.8420695647762027E-15</v>
      </c>
      <c r="AD87" s="1">
        <v>79</v>
      </c>
      <c r="AE87" s="1" t="e">
        <f t="shared" si="38"/>
        <v>#DIV/0!</v>
      </c>
      <c r="AF87" s="1">
        <f t="shared" si="39"/>
        <v>5.7363196267496237E-3</v>
      </c>
    </row>
    <row r="88" spans="2:32" x14ac:dyDescent="0.2">
      <c r="B88" s="1">
        <v>80</v>
      </c>
      <c r="C88" s="1">
        <f t="shared" si="20"/>
        <v>2.1241771276457944E-18</v>
      </c>
      <c r="D88" s="1">
        <f t="shared" si="21"/>
        <v>1</v>
      </c>
      <c r="E88" s="1">
        <f t="shared" si="22"/>
        <v>0</v>
      </c>
      <c r="F88" s="1" t="e">
        <f t="shared" si="23"/>
        <v>#DIV/0!</v>
      </c>
      <c r="H88" s="1">
        <v>80</v>
      </c>
      <c r="I88" s="1">
        <f t="shared" si="24"/>
        <v>2.3316389063727083E-11</v>
      </c>
      <c r="J88" s="1">
        <f t="shared" si="25"/>
        <v>0.99999999992742772</v>
      </c>
      <c r="K88" s="1">
        <f t="shared" si="26"/>
        <v>7.2572281517579995E-11</v>
      </c>
      <c r="L88" s="1">
        <f t="shared" si="27"/>
        <v>0.32128504955544074</v>
      </c>
      <c r="N88" s="1">
        <v>80</v>
      </c>
      <c r="O88" s="1">
        <f t="shared" si="28"/>
        <v>2.6196658434010138E-308</v>
      </c>
      <c r="P88" s="1">
        <f t="shared" si="29"/>
        <v>1</v>
      </c>
      <c r="Q88" s="1">
        <f t="shared" si="30"/>
        <v>0</v>
      </c>
      <c r="R88" s="1" t="e">
        <f t="shared" si="31"/>
        <v>#DIV/0!</v>
      </c>
      <c r="T88" s="1">
        <v>80</v>
      </c>
      <c r="U88" s="1">
        <f t="shared" si="37"/>
        <v>1.2128255141599575E-3</v>
      </c>
      <c r="V88" s="1">
        <f t="shared" si="32"/>
        <v>0.78640486859169201</v>
      </c>
      <c r="W88" s="1">
        <f t="shared" si="33"/>
        <v>0.21359513140830799</v>
      </c>
      <c r="X88" s="1">
        <f t="shared" si="34"/>
        <v>5.6781514923274299E-3</v>
      </c>
      <c r="Z88" s="1">
        <v>80</v>
      </c>
      <c r="AA88" s="1">
        <f t="shared" si="35"/>
        <v>0</v>
      </c>
      <c r="AB88" s="1">
        <f t="shared" si="36"/>
        <v>1.7514284642313687E-15</v>
      </c>
      <c r="AD88" s="1">
        <v>80</v>
      </c>
      <c r="AE88" s="1" t="e">
        <f t="shared" si="38"/>
        <v>#DIV/0!</v>
      </c>
      <c r="AF88" s="1">
        <f t="shared" si="39"/>
        <v>5.6781514923274299E-3</v>
      </c>
    </row>
    <row r="89" spans="2:32" x14ac:dyDescent="0.2">
      <c r="B89" s="1">
        <v>81</v>
      </c>
      <c r="C89" s="1">
        <f t="shared" si="20"/>
        <v>1.2883785545774905E-18</v>
      </c>
      <c r="D89" s="1">
        <f t="shared" si="21"/>
        <v>1</v>
      </c>
      <c r="E89" s="1">
        <f t="shared" si="22"/>
        <v>0</v>
      </c>
      <c r="F89" s="1" t="e">
        <f t="shared" si="23"/>
        <v>#DIV/0!</v>
      </c>
      <c r="H89" s="1">
        <v>81</v>
      </c>
      <c r="I89" s="1">
        <f t="shared" si="24"/>
        <v>1.6915759348851755E-11</v>
      </c>
      <c r="J89" s="1">
        <f t="shared" si="25"/>
        <v>0.99999999994737321</v>
      </c>
      <c r="K89" s="1">
        <f t="shared" si="26"/>
        <v>5.262679181328167E-11</v>
      </c>
      <c r="L89" s="1">
        <f t="shared" si="27"/>
        <v>0.32142866334828801</v>
      </c>
      <c r="N89" s="1">
        <v>81</v>
      </c>
      <c r="O89" s="1">
        <f t="shared" si="28"/>
        <v>0</v>
      </c>
      <c r="P89" s="1">
        <f t="shared" si="29"/>
        <v>1</v>
      </c>
      <c r="Q89" s="1">
        <f t="shared" si="30"/>
        <v>0</v>
      </c>
      <c r="R89" s="1" t="e">
        <f t="shared" si="31"/>
        <v>#DIV/0!</v>
      </c>
      <c r="T89" s="1">
        <v>81</v>
      </c>
      <c r="U89" s="1">
        <f t="shared" si="37"/>
        <v>1.1939102159082152E-3</v>
      </c>
      <c r="V89" s="1">
        <f t="shared" si="32"/>
        <v>0.78760819381772607</v>
      </c>
      <c r="W89" s="1">
        <f t="shared" si="33"/>
        <v>0.21239180618227393</v>
      </c>
      <c r="X89" s="1">
        <f t="shared" si="34"/>
        <v>5.6212630673878519E-3</v>
      </c>
      <c r="Z89" s="1">
        <v>81</v>
      </c>
      <c r="AA89" s="1">
        <f t="shared" si="35"/>
        <v>0</v>
      </c>
      <c r="AB89" s="1">
        <f t="shared" si="36"/>
        <v>1.0791251615159458E-15</v>
      </c>
      <c r="AD89" s="1">
        <v>81</v>
      </c>
      <c r="AE89" s="1" t="e">
        <f t="shared" si="38"/>
        <v>#DIV/0!</v>
      </c>
      <c r="AF89" s="1">
        <f t="shared" si="39"/>
        <v>5.6212630673878519E-3</v>
      </c>
    </row>
    <row r="90" spans="2:32" x14ac:dyDescent="0.2">
      <c r="B90" s="1">
        <v>82</v>
      </c>
      <c r="C90" s="1">
        <f t="shared" si="20"/>
        <v>7.814410946674944E-19</v>
      </c>
      <c r="D90" s="1">
        <f t="shared" si="21"/>
        <v>1</v>
      </c>
      <c r="E90" s="1">
        <f t="shared" si="22"/>
        <v>0</v>
      </c>
      <c r="F90" s="1" t="e">
        <f t="shared" si="23"/>
        <v>#DIV/0!</v>
      </c>
      <c r="H90" s="1">
        <v>82</v>
      </c>
      <c r="I90" s="1">
        <f t="shared" si="24"/>
        <v>1.2270309131825363E-11</v>
      </c>
      <c r="J90" s="1">
        <f t="shared" si="25"/>
        <v>0.9999999999618423</v>
      </c>
      <c r="K90" s="1">
        <f t="shared" si="26"/>
        <v>3.8157699222551855E-11</v>
      </c>
      <c r="L90" s="1">
        <f t="shared" si="27"/>
        <v>0.32156836973476116</v>
      </c>
      <c r="N90" s="1">
        <v>82</v>
      </c>
      <c r="O90" s="1">
        <f t="shared" si="28"/>
        <v>0</v>
      </c>
      <c r="P90" s="1">
        <f t="shared" si="29"/>
        <v>1</v>
      </c>
      <c r="Q90" s="1">
        <f t="shared" si="30"/>
        <v>0</v>
      </c>
      <c r="R90" s="1" t="e">
        <f t="shared" si="31"/>
        <v>#DIV/0!</v>
      </c>
      <c r="T90" s="1">
        <v>82</v>
      </c>
      <c r="U90" s="1">
        <f t="shared" si="37"/>
        <v>1.1754968418338347E-3</v>
      </c>
      <c r="V90" s="1">
        <f t="shared" si="32"/>
        <v>0.7887928563207216</v>
      </c>
      <c r="W90" s="1">
        <f t="shared" si="33"/>
        <v>0.2112071436792784</v>
      </c>
      <c r="X90" s="1">
        <f t="shared" si="34"/>
        <v>5.5656111879380668E-3</v>
      </c>
      <c r="Z90" s="1">
        <v>82</v>
      </c>
      <c r="AA90" s="1">
        <f t="shared" si="35"/>
        <v>0</v>
      </c>
      <c r="AB90" s="1">
        <f t="shared" si="36"/>
        <v>6.6477515451968943E-16</v>
      </c>
      <c r="AD90" s="1">
        <v>82</v>
      </c>
      <c r="AE90" s="1" t="e">
        <f t="shared" si="38"/>
        <v>#DIV/0!</v>
      </c>
      <c r="AF90" s="1">
        <f t="shared" si="39"/>
        <v>5.5656111879380668E-3</v>
      </c>
    </row>
    <row r="91" spans="2:32" x14ac:dyDescent="0.2">
      <c r="B91" s="1">
        <v>83</v>
      </c>
      <c r="C91" s="1">
        <f t="shared" si="20"/>
        <v>4.7396798267523783E-19</v>
      </c>
      <c r="D91" s="1">
        <f t="shared" si="21"/>
        <v>1</v>
      </c>
      <c r="E91" s="1">
        <f t="shared" si="22"/>
        <v>0</v>
      </c>
      <c r="F91" s="1" t="e">
        <f t="shared" si="23"/>
        <v>#DIV/0!</v>
      </c>
      <c r="H91" s="1">
        <v>83</v>
      </c>
      <c r="I91" s="1">
        <f t="shared" si="24"/>
        <v>8.8992809356086065E-12</v>
      </c>
      <c r="J91" s="1">
        <f t="shared" si="25"/>
        <v>0.99999999997233724</v>
      </c>
      <c r="K91" s="1">
        <f t="shared" si="26"/>
        <v>2.766276097077025E-11</v>
      </c>
      <c r="L91" s="1">
        <f t="shared" si="27"/>
        <v>0.32170617188255352</v>
      </c>
      <c r="N91" s="1">
        <v>83</v>
      </c>
      <c r="O91" s="1">
        <f t="shared" si="28"/>
        <v>0</v>
      </c>
      <c r="P91" s="1">
        <f t="shared" si="29"/>
        <v>1</v>
      </c>
      <c r="Q91" s="1">
        <f t="shared" si="30"/>
        <v>0</v>
      </c>
      <c r="R91" s="1" t="e">
        <f t="shared" si="31"/>
        <v>#DIV/0!</v>
      </c>
      <c r="T91" s="1">
        <v>83</v>
      </c>
      <c r="U91" s="1">
        <f t="shared" si="37"/>
        <v>1.1575665116097564E-3</v>
      </c>
      <c r="V91" s="1">
        <f t="shared" si="32"/>
        <v>0.78995934850581673</v>
      </c>
      <c r="W91" s="1">
        <f t="shared" si="33"/>
        <v>0.21004065149418327</v>
      </c>
      <c r="X91" s="1">
        <f t="shared" si="34"/>
        <v>5.5111546425660046E-3</v>
      </c>
      <c r="Z91" s="1">
        <v>83</v>
      </c>
      <c r="AA91" s="1">
        <f t="shared" si="35"/>
        <v>0</v>
      </c>
      <c r="AB91" s="1">
        <f t="shared" si="36"/>
        <v>4.0945205128310061E-16</v>
      </c>
      <c r="AD91" s="1">
        <v>83</v>
      </c>
      <c r="AE91" s="1" t="e">
        <f t="shared" si="38"/>
        <v>#DIV/0!</v>
      </c>
      <c r="AF91" s="1">
        <f t="shared" si="39"/>
        <v>5.5111546425660046E-3</v>
      </c>
    </row>
    <row r="92" spans="2:32" x14ac:dyDescent="0.2">
      <c r="B92" s="1">
        <v>84</v>
      </c>
      <c r="C92" s="1">
        <f t="shared" si="20"/>
        <v>2.8747611321467799E-19</v>
      </c>
      <c r="D92" s="1">
        <f t="shared" si="21"/>
        <v>1</v>
      </c>
      <c r="E92" s="1">
        <f t="shared" si="22"/>
        <v>0</v>
      </c>
      <c r="F92" s="1" t="e">
        <f t="shared" si="23"/>
        <v>#DIV/0!</v>
      </c>
      <c r="H92" s="1">
        <v>84</v>
      </c>
      <c r="I92" s="1">
        <f t="shared" si="24"/>
        <v>6.4534400998108629E-12</v>
      </c>
      <c r="J92" s="1">
        <f t="shared" si="25"/>
        <v>0.99999999997994826</v>
      </c>
      <c r="K92" s="1">
        <f t="shared" si="26"/>
        <v>2.0051738047754952E-11</v>
      </c>
      <c r="L92" s="1">
        <f t="shared" si="27"/>
        <v>0.32183943778047747</v>
      </c>
      <c r="N92" s="1">
        <v>84</v>
      </c>
      <c r="O92" s="1">
        <f t="shared" si="28"/>
        <v>0</v>
      </c>
      <c r="P92" s="1">
        <f t="shared" si="29"/>
        <v>1</v>
      </c>
      <c r="Q92" s="1">
        <f t="shared" si="30"/>
        <v>0</v>
      </c>
      <c r="R92" s="1" t="e">
        <f t="shared" si="31"/>
        <v>#DIV/0!</v>
      </c>
      <c r="T92" s="1">
        <v>84</v>
      </c>
      <c r="U92" s="1">
        <f t="shared" si="37"/>
        <v>1.1401012628396981E-3</v>
      </c>
      <c r="V92" s="1">
        <f t="shared" si="32"/>
        <v>0.79110814436150467</v>
      </c>
      <c r="W92" s="1">
        <f t="shared" si="33"/>
        <v>0.20889185563849533</v>
      </c>
      <c r="X92" s="1">
        <f t="shared" si="34"/>
        <v>5.4578540621168965E-3</v>
      </c>
      <c r="Z92" s="1">
        <v>84</v>
      </c>
      <c r="AA92" s="1">
        <f t="shared" si="35"/>
        <v>0</v>
      </c>
      <c r="AB92" s="1">
        <f t="shared" si="36"/>
        <v>2.5214963142716744E-16</v>
      </c>
      <c r="AD92" s="1">
        <v>84</v>
      </c>
      <c r="AE92" s="1" t="e">
        <f t="shared" si="38"/>
        <v>#DIV/0!</v>
      </c>
      <c r="AF92" s="1">
        <f t="shared" si="39"/>
        <v>5.4578540621168965E-3</v>
      </c>
    </row>
    <row r="93" spans="2:32" x14ac:dyDescent="0.2">
      <c r="B93" s="1">
        <v>85</v>
      </c>
      <c r="C93" s="1">
        <f t="shared" si="20"/>
        <v>1.7436307659972233E-19</v>
      </c>
      <c r="D93" s="1">
        <f t="shared" si="21"/>
        <v>1</v>
      </c>
      <c r="E93" s="1">
        <f t="shared" si="22"/>
        <v>0</v>
      </c>
      <c r="F93" s="1" t="e">
        <f t="shared" si="23"/>
        <v>#DIV/0!</v>
      </c>
      <c r="H93" s="1">
        <v>85</v>
      </c>
      <c r="I93" s="1">
        <f t="shared" si="24"/>
        <v>4.6791406054320161E-12</v>
      </c>
      <c r="J93" s="1">
        <f t="shared" si="25"/>
        <v>0.99999999998546718</v>
      </c>
      <c r="K93" s="1">
        <f t="shared" si="26"/>
        <v>1.4532819392343299E-11</v>
      </c>
      <c r="L93" s="1">
        <f t="shared" si="27"/>
        <v>0.32197060178820147</v>
      </c>
      <c r="N93" s="1">
        <v>85</v>
      </c>
      <c r="O93" s="1">
        <f t="shared" si="28"/>
        <v>0</v>
      </c>
      <c r="P93" s="1">
        <f t="shared" si="29"/>
        <v>1</v>
      </c>
      <c r="Q93" s="1">
        <f t="shared" si="30"/>
        <v>0</v>
      </c>
      <c r="R93" s="1" t="e">
        <f t="shared" si="31"/>
        <v>#DIV/0!</v>
      </c>
      <c r="T93" s="1">
        <v>85</v>
      </c>
      <c r="U93" s="1">
        <f t="shared" si="37"/>
        <v>1.1230839964722205E-3</v>
      </c>
      <c r="V93" s="1">
        <f t="shared" si="32"/>
        <v>0.79223970034993951</v>
      </c>
      <c r="W93" s="1">
        <f t="shared" si="33"/>
        <v>0.20776029965006049</v>
      </c>
      <c r="X93" s="1">
        <f t="shared" si="34"/>
        <v>5.4056718168190871E-3</v>
      </c>
      <c r="Z93" s="1">
        <v>85</v>
      </c>
      <c r="AA93" s="1">
        <f t="shared" si="35"/>
        <v>0</v>
      </c>
      <c r="AB93" s="1">
        <f t="shared" si="36"/>
        <v>1.5525381640858881E-16</v>
      </c>
      <c r="AD93" s="1">
        <v>85</v>
      </c>
      <c r="AE93" s="1" t="e">
        <f t="shared" si="38"/>
        <v>#DIV/0!</v>
      </c>
      <c r="AF93" s="1">
        <f t="shared" si="39"/>
        <v>5.4056718168190871E-3</v>
      </c>
    </row>
    <row r="94" spans="2:32" x14ac:dyDescent="0.2">
      <c r="B94" s="1">
        <v>86</v>
      </c>
      <c r="C94" s="1">
        <f t="shared" si="20"/>
        <v>1.0575655187955402E-19</v>
      </c>
      <c r="D94" s="1">
        <f t="shared" si="21"/>
        <v>1</v>
      </c>
      <c r="E94" s="1">
        <f t="shared" si="22"/>
        <v>0</v>
      </c>
      <c r="F94" s="1" t="e">
        <f t="shared" si="23"/>
        <v>#DIV/0!</v>
      </c>
      <c r="H94" s="1">
        <v>86</v>
      </c>
      <c r="I94" s="1">
        <f t="shared" si="24"/>
        <v>3.3921948768441559E-12</v>
      </c>
      <c r="J94" s="1">
        <f t="shared" si="25"/>
        <v>0.99999999998946842</v>
      </c>
      <c r="K94" s="1">
        <f t="shared" si="26"/>
        <v>1.0531575611594235E-11</v>
      </c>
      <c r="L94" s="1">
        <f t="shared" si="27"/>
        <v>0.32209756658915129</v>
      </c>
      <c r="N94" s="1">
        <v>86</v>
      </c>
      <c r="O94" s="1">
        <f t="shared" si="28"/>
        <v>0</v>
      </c>
      <c r="P94" s="1">
        <f t="shared" si="29"/>
        <v>1</v>
      </c>
      <c r="Q94" s="1">
        <f t="shared" si="30"/>
        <v>0</v>
      </c>
      <c r="R94" s="1" t="e">
        <f t="shared" si="31"/>
        <v>#DIV/0!</v>
      </c>
      <c r="T94" s="1">
        <v>86</v>
      </c>
      <c r="U94" s="1">
        <f t="shared" si="37"/>
        <v>1.1064984260427935E-3</v>
      </c>
      <c r="V94" s="1">
        <f t="shared" si="32"/>
        <v>0.79335445624459555</v>
      </c>
      <c r="W94" s="1">
        <f t="shared" si="33"/>
        <v>0.20664554375540445</v>
      </c>
      <c r="X94" s="1">
        <f t="shared" si="34"/>
        <v>5.3545719202757061E-3</v>
      </c>
      <c r="Z94" s="1">
        <v>86</v>
      </c>
      <c r="AA94" s="1">
        <f t="shared" si="35"/>
        <v>0</v>
      </c>
      <c r="AB94" s="1">
        <f t="shared" si="36"/>
        <v>9.5577679452988136E-17</v>
      </c>
      <c r="AD94" s="1">
        <v>86</v>
      </c>
      <c r="AE94" s="1" t="e">
        <f t="shared" si="38"/>
        <v>#DIV/0!</v>
      </c>
      <c r="AF94" s="1">
        <f t="shared" si="39"/>
        <v>5.3545719202757061E-3</v>
      </c>
    </row>
    <row r="95" spans="2:32" x14ac:dyDescent="0.2">
      <c r="B95" s="1">
        <v>87</v>
      </c>
      <c r="C95" s="1">
        <f t="shared" si="20"/>
        <v>6.4144591180439245E-20</v>
      </c>
      <c r="D95" s="1">
        <f t="shared" si="21"/>
        <v>1</v>
      </c>
      <c r="E95" s="1">
        <f t="shared" si="22"/>
        <v>0</v>
      </c>
      <c r="F95" s="1" t="e">
        <f t="shared" si="23"/>
        <v>#DIV/0!</v>
      </c>
      <c r="H95" s="1">
        <v>87</v>
      </c>
      <c r="I95" s="1">
        <f t="shared" si="24"/>
        <v>2.4588767924643627E-12</v>
      </c>
      <c r="J95" s="1">
        <f t="shared" si="25"/>
        <v>0.99999999999236899</v>
      </c>
      <c r="K95" s="1">
        <f t="shared" si="26"/>
        <v>7.631006937458551E-12</v>
      </c>
      <c r="L95" s="1">
        <f t="shared" si="27"/>
        <v>0.32222180016563751</v>
      </c>
      <c r="N95" s="1">
        <v>87</v>
      </c>
      <c r="O95" s="1">
        <f t="shared" si="28"/>
        <v>0</v>
      </c>
      <c r="P95" s="1">
        <f t="shared" si="29"/>
        <v>1</v>
      </c>
      <c r="Q95" s="1">
        <f t="shared" si="30"/>
        <v>0</v>
      </c>
      <c r="R95" s="1" t="e">
        <f t="shared" si="31"/>
        <v>#DIV/0!</v>
      </c>
      <c r="T95" s="1">
        <v>87</v>
      </c>
      <c r="U95" s="1">
        <f t="shared" si="37"/>
        <v>1.0903290304353852E-3</v>
      </c>
      <c r="V95" s="1">
        <f t="shared" si="32"/>
        <v>0.79445283591895477</v>
      </c>
      <c r="W95" s="1">
        <f t="shared" si="33"/>
        <v>0.20554716408104523</v>
      </c>
      <c r="X95" s="1">
        <f t="shared" si="34"/>
        <v>5.3045199397909436E-3</v>
      </c>
      <c r="Z95" s="1">
        <v>87</v>
      </c>
      <c r="AA95" s="1">
        <f t="shared" si="35"/>
        <v>0</v>
      </c>
      <c r="AB95" s="1">
        <f t="shared" si="36"/>
        <v>5.8830490053837523E-17</v>
      </c>
      <c r="AD95" s="1">
        <v>87</v>
      </c>
      <c r="AE95" s="1" t="e">
        <f t="shared" si="38"/>
        <v>#DIV/0!</v>
      </c>
      <c r="AF95" s="1">
        <f t="shared" si="39"/>
        <v>5.3045199397909436E-3</v>
      </c>
    </row>
    <row r="96" spans="2:32" x14ac:dyDescent="0.2">
      <c r="B96" s="1">
        <v>88</v>
      </c>
      <c r="C96" s="1">
        <f t="shared" si="20"/>
        <v>3.8905661205668983E-20</v>
      </c>
      <c r="D96" s="1">
        <f t="shared" si="21"/>
        <v>1</v>
      </c>
      <c r="E96" s="1">
        <f t="shared" si="22"/>
        <v>0</v>
      </c>
      <c r="F96" s="1" t="e">
        <f t="shared" si="23"/>
        <v>#DIV/0!</v>
      </c>
      <c r="H96" s="1">
        <v>88</v>
      </c>
      <c r="I96" s="1">
        <f t="shared" si="24"/>
        <v>1.7821135004214788E-12</v>
      </c>
      <c r="J96" s="1">
        <f t="shared" si="25"/>
        <v>0.99999999999447142</v>
      </c>
      <c r="K96" s="1">
        <f t="shared" si="26"/>
        <v>5.528577595725892E-12</v>
      </c>
      <c r="L96" s="1">
        <f t="shared" si="27"/>
        <v>0.32234575160873558</v>
      </c>
      <c r="N96" s="1">
        <v>88</v>
      </c>
      <c r="O96" s="1">
        <f t="shared" si="28"/>
        <v>0</v>
      </c>
      <c r="P96" s="1">
        <f t="shared" si="29"/>
        <v>1</v>
      </c>
      <c r="Q96" s="1">
        <f t="shared" si="30"/>
        <v>0</v>
      </c>
      <c r="R96" s="1" t="e">
        <f t="shared" si="31"/>
        <v>#DIV/0!</v>
      </c>
      <c r="T96" s="1">
        <v>88</v>
      </c>
      <c r="U96" s="1">
        <f t="shared" si="37"/>
        <v>1.0745610098830615E-3</v>
      </c>
      <c r="V96" s="1">
        <f t="shared" si="32"/>
        <v>0.79553524808959575</v>
      </c>
      <c r="W96" s="1">
        <f t="shared" si="33"/>
        <v>0.20446475191040425</v>
      </c>
      <c r="X96" s="1">
        <f t="shared" si="34"/>
        <v>5.2554829125458771E-3</v>
      </c>
      <c r="Z96" s="1">
        <v>88</v>
      </c>
      <c r="AA96" s="1">
        <f t="shared" si="35"/>
        <v>0</v>
      </c>
      <c r="AB96" s="1">
        <f t="shared" si="36"/>
        <v>3.6206097976608017E-17</v>
      </c>
      <c r="AD96" s="1">
        <v>88</v>
      </c>
      <c r="AE96" s="1" t="e">
        <f t="shared" si="38"/>
        <v>#DIV/0!</v>
      </c>
      <c r="AF96" s="1">
        <f t="shared" si="39"/>
        <v>5.2554829125458771E-3</v>
      </c>
    </row>
    <row r="97" spans="2:32" x14ac:dyDescent="0.2">
      <c r="B97" s="1">
        <v>89</v>
      </c>
      <c r="C97" s="1">
        <f t="shared" si="20"/>
        <v>2.3597476357630616E-20</v>
      </c>
      <c r="D97" s="1">
        <f t="shared" si="21"/>
        <v>1</v>
      </c>
      <c r="E97" s="1">
        <f t="shared" si="22"/>
        <v>0</v>
      </c>
      <c r="F97" s="1" t="e">
        <f t="shared" si="23"/>
        <v>#DIV/0!</v>
      </c>
      <c r="H97" s="1">
        <v>89</v>
      </c>
      <c r="I97" s="1">
        <f t="shared" si="24"/>
        <v>1.291450805253339E-12</v>
      </c>
      <c r="J97" s="1">
        <f t="shared" si="25"/>
        <v>0.99999999999599498</v>
      </c>
      <c r="K97" s="1">
        <f t="shared" si="26"/>
        <v>4.0050185390327897E-12</v>
      </c>
      <c r="L97" s="1">
        <f t="shared" si="27"/>
        <v>0.32245813413019153</v>
      </c>
      <c r="N97" s="1">
        <v>89</v>
      </c>
      <c r="O97" s="1">
        <f t="shared" si="28"/>
        <v>0</v>
      </c>
      <c r="P97" s="1">
        <f t="shared" si="29"/>
        <v>1</v>
      </c>
      <c r="Q97" s="1">
        <f t="shared" si="30"/>
        <v>0</v>
      </c>
      <c r="R97" s="1" t="e">
        <f t="shared" si="31"/>
        <v>#DIV/0!</v>
      </c>
      <c r="T97" s="1">
        <v>89</v>
      </c>
      <c r="U97" s="1">
        <f t="shared" si="37"/>
        <v>1.0591802449523707E-3</v>
      </c>
      <c r="V97" s="1">
        <f t="shared" si="32"/>
        <v>0.79660208701679724</v>
      </c>
      <c r="W97" s="1">
        <f t="shared" si="33"/>
        <v>0.20339791298320276</v>
      </c>
      <c r="X97" s="1">
        <f t="shared" si="34"/>
        <v>5.207429267181523E-3</v>
      </c>
      <c r="Z97" s="1">
        <v>89</v>
      </c>
      <c r="AA97" s="1">
        <f t="shared" si="35"/>
        <v>0</v>
      </c>
      <c r="AB97" s="1">
        <f t="shared" si="36"/>
        <v>2.2278999698197493E-17</v>
      </c>
      <c r="AD97" s="1">
        <v>89</v>
      </c>
      <c r="AE97" s="1" t="e">
        <f t="shared" si="38"/>
        <v>#DIV/0!</v>
      </c>
      <c r="AF97" s="1">
        <f t="shared" si="39"/>
        <v>5.207429267181523E-3</v>
      </c>
    </row>
    <row r="98" spans="2:32" x14ac:dyDescent="0.2">
      <c r="B98" s="1">
        <v>90</v>
      </c>
      <c r="C98" s="1">
        <f t="shared" si="20"/>
        <v>1.4312592902746968E-20</v>
      </c>
      <c r="D98" s="1">
        <f t="shared" si="21"/>
        <v>1</v>
      </c>
      <c r="E98" s="1">
        <f t="shared" si="22"/>
        <v>0</v>
      </c>
      <c r="F98" s="1" t="e">
        <f t="shared" si="23"/>
        <v>#DIV/0!</v>
      </c>
      <c r="H98" s="1">
        <v>90</v>
      </c>
      <c r="I98" s="1">
        <f t="shared" si="24"/>
        <v>9.3576229688401887E-13</v>
      </c>
      <c r="J98" s="1">
        <f t="shared" si="25"/>
        <v>0.99999999999709921</v>
      </c>
      <c r="K98" s="1">
        <f t="shared" si="26"/>
        <v>2.900790718740609E-12</v>
      </c>
      <c r="L98" s="1">
        <f t="shared" si="27"/>
        <v>0.32258869653660649</v>
      </c>
      <c r="N98" s="1">
        <v>90</v>
      </c>
      <c r="O98" s="1">
        <f t="shared" si="28"/>
        <v>0</v>
      </c>
      <c r="P98" s="1">
        <f t="shared" si="29"/>
        <v>1</v>
      </c>
      <c r="Q98" s="1">
        <f t="shared" si="30"/>
        <v>0</v>
      </c>
      <c r="R98" s="1" t="e">
        <f t="shared" si="31"/>
        <v>#DIV/0!</v>
      </c>
      <c r="T98" s="1">
        <v>90</v>
      </c>
      <c r="U98" s="1">
        <f t="shared" si="37"/>
        <v>1.0441732582788653E-3</v>
      </c>
      <c r="V98" s="1">
        <f t="shared" si="32"/>
        <v>0.7976537331655188</v>
      </c>
      <c r="W98" s="1">
        <f t="shared" si="33"/>
        <v>0.2023462668344812</v>
      </c>
      <c r="X98" s="1">
        <f t="shared" si="34"/>
        <v>5.1603287503840965E-3</v>
      </c>
      <c r="Z98" s="1">
        <v>90</v>
      </c>
      <c r="AA98" s="1">
        <f t="shared" si="35"/>
        <v>0</v>
      </c>
      <c r="AB98" s="1">
        <f t="shared" si="36"/>
        <v>1.3707105395840861E-17</v>
      </c>
      <c r="AD98" s="1">
        <v>90</v>
      </c>
      <c r="AE98" s="1" t="e">
        <f t="shared" si="38"/>
        <v>#DIV/0!</v>
      </c>
      <c r="AF98" s="1">
        <f t="shared" si="39"/>
        <v>5.1603287503840965E-3</v>
      </c>
    </row>
    <row r="99" spans="2:32" x14ac:dyDescent="0.2">
      <c r="B99" s="1">
        <v>91</v>
      </c>
      <c r="C99" s="1">
        <f t="shared" si="20"/>
        <v>8.6810264155014735E-21</v>
      </c>
      <c r="D99" s="1">
        <f t="shared" si="21"/>
        <v>1</v>
      </c>
      <c r="E99" s="1">
        <f t="shared" si="22"/>
        <v>0</v>
      </c>
      <c r="F99" s="1" t="e">
        <f t="shared" si="23"/>
        <v>#DIV/0!</v>
      </c>
      <c r="H99" s="1">
        <v>91</v>
      </c>
      <c r="I99" s="1">
        <f t="shared" si="24"/>
        <v>6.7795301813819955E-13</v>
      </c>
      <c r="J99" s="1">
        <f t="shared" si="25"/>
        <v>0.99999999999789901</v>
      </c>
      <c r="K99" s="1">
        <f t="shared" si="26"/>
        <v>2.1009860518006462E-12</v>
      </c>
      <c r="L99" s="1">
        <f t="shared" si="27"/>
        <v>0.32268325511117085</v>
      </c>
      <c r="N99" s="1">
        <v>91</v>
      </c>
      <c r="O99" s="1">
        <f t="shared" si="28"/>
        <v>0</v>
      </c>
      <c r="P99" s="1">
        <f t="shared" si="29"/>
        <v>1</v>
      </c>
      <c r="Q99" s="1">
        <f t="shared" si="30"/>
        <v>0</v>
      </c>
      <c r="R99" s="1" t="e">
        <f t="shared" si="31"/>
        <v>#DIV/0!</v>
      </c>
      <c r="T99" s="1">
        <v>91</v>
      </c>
      <c r="U99" s="1">
        <f t="shared" si="37"/>
        <v>1.0295271788416883E-3</v>
      </c>
      <c r="V99" s="1">
        <f t="shared" si="32"/>
        <v>0.79869055382940379</v>
      </c>
      <c r="W99" s="1">
        <f t="shared" si="33"/>
        <v>0.20130944617059621</v>
      </c>
      <c r="X99" s="1">
        <f t="shared" si="34"/>
        <v>5.1141523581026268E-3</v>
      </c>
      <c r="Z99" s="1">
        <v>91</v>
      </c>
      <c r="AA99" s="1">
        <f t="shared" si="35"/>
        <v>0</v>
      </c>
      <c r="AB99" s="1">
        <f t="shared" si="36"/>
        <v>8.4320517164669882E-18</v>
      </c>
      <c r="AD99" s="1">
        <v>91</v>
      </c>
      <c r="AE99" s="1" t="e">
        <f t="shared" si="38"/>
        <v>#DIV/0!</v>
      </c>
      <c r="AF99" s="1">
        <f t="shared" si="39"/>
        <v>5.1141523581026268E-3</v>
      </c>
    </row>
    <row r="100" spans="2:32" x14ac:dyDescent="0.2">
      <c r="B100" s="1">
        <v>92</v>
      </c>
      <c r="C100" s="1">
        <f t="shared" si="20"/>
        <v>5.2653086787769059E-21</v>
      </c>
      <c r="D100" s="1">
        <f t="shared" si="21"/>
        <v>1</v>
      </c>
      <c r="E100" s="1">
        <f t="shared" si="22"/>
        <v>0</v>
      </c>
      <c r="F100" s="1" t="e">
        <f t="shared" si="23"/>
        <v>#DIV/0!</v>
      </c>
      <c r="H100" s="1">
        <v>92</v>
      </c>
      <c r="I100" s="1">
        <f t="shared" si="24"/>
        <v>4.9111274662252501E-13</v>
      </c>
      <c r="J100" s="1">
        <f t="shared" si="25"/>
        <v>0.99999999999847855</v>
      </c>
      <c r="K100" s="1">
        <f t="shared" si="26"/>
        <v>1.5214496329463145E-12</v>
      </c>
      <c r="L100" s="1">
        <f t="shared" si="27"/>
        <v>0.3227926419565243</v>
      </c>
      <c r="N100" s="1">
        <v>92</v>
      </c>
      <c r="O100" s="1">
        <f t="shared" si="28"/>
        <v>0</v>
      </c>
      <c r="P100" s="1">
        <f t="shared" si="29"/>
        <v>1</v>
      </c>
      <c r="Q100" s="1">
        <f t="shared" si="30"/>
        <v>0</v>
      </c>
      <c r="R100" s="1" t="e">
        <f t="shared" si="31"/>
        <v>#DIV/0!</v>
      </c>
      <c r="T100" s="1">
        <v>92</v>
      </c>
      <c r="U100" s="1">
        <f t="shared" si="37"/>
        <v>1.0152297085834244E-3</v>
      </c>
      <c r="V100" s="1">
        <f t="shared" si="32"/>
        <v>0.79971290372024506</v>
      </c>
      <c r="W100" s="1">
        <f t="shared" si="33"/>
        <v>0.20028709627975494</v>
      </c>
      <c r="X100" s="1">
        <f t="shared" si="34"/>
        <v>5.0688722710592517E-3</v>
      </c>
      <c r="Z100" s="1">
        <v>92</v>
      </c>
      <c r="AA100" s="1">
        <f t="shared" si="35"/>
        <v>0</v>
      </c>
      <c r="AB100" s="1">
        <f t="shared" si="36"/>
        <v>5.1863224985050166E-18</v>
      </c>
      <c r="AD100" s="1">
        <v>92</v>
      </c>
      <c r="AE100" s="1" t="e">
        <f t="shared" si="38"/>
        <v>#DIV/0!</v>
      </c>
      <c r="AF100" s="1">
        <f t="shared" si="39"/>
        <v>5.0688722710592517E-3</v>
      </c>
    </row>
    <row r="101" spans="2:32" x14ac:dyDescent="0.2">
      <c r="B101" s="1">
        <v>93</v>
      </c>
      <c r="C101" s="1">
        <f t="shared" si="20"/>
        <v>3.1935711465292114E-21</v>
      </c>
      <c r="D101" s="1">
        <f t="shared" si="21"/>
        <v>1</v>
      </c>
      <c r="E101" s="1">
        <f t="shared" si="22"/>
        <v>0</v>
      </c>
      <c r="F101" s="1" t="e">
        <f t="shared" si="23"/>
        <v>#DIV/0!</v>
      </c>
      <c r="H101" s="1">
        <v>93</v>
      </c>
      <c r="I101" s="1">
        <f t="shared" si="24"/>
        <v>3.5572263454189836E-13</v>
      </c>
      <c r="J101" s="1">
        <f t="shared" si="25"/>
        <v>0.99999999999889844</v>
      </c>
      <c r="K101" s="1">
        <f t="shared" si="26"/>
        <v>1.1015632850330803E-12</v>
      </c>
      <c r="L101" s="1">
        <f t="shared" si="27"/>
        <v>0.32292528207420773</v>
      </c>
      <c r="N101" s="1">
        <v>93</v>
      </c>
      <c r="O101" s="1">
        <f t="shared" si="28"/>
        <v>0</v>
      </c>
      <c r="P101" s="1">
        <f t="shared" si="29"/>
        <v>1</v>
      </c>
      <c r="Q101" s="1">
        <f t="shared" si="30"/>
        <v>0</v>
      </c>
      <c r="R101" s="1" t="e">
        <f t="shared" si="31"/>
        <v>#DIV/0!</v>
      </c>
      <c r="T101" s="1">
        <v>93</v>
      </c>
      <c r="U101" s="1">
        <f t="shared" si="37"/>
        <v>1.0012690911983101E-3</v>
      </c>
      <c r="V101" s="1">
        <f t="shared" si="32"/>
        <v>0.80072112552516927</v>
      </c>
      <c r="W101" s="1">
        <f t="shared" si="33"/>
        <v>0.19927887447483073</v>
      </c>
      <c r="X101" s="1">
        <f t="shared" si="34"/>
        <v>5.0244617942418789E-3</v>
      </c>
      <c r="Z101" s="1">
        <v>93</v>
      </c>
      <c r="AA101" s="1">
        <f t="shared" si="35"/>
        <v>0</v>
      </c>
      <c r="AB101" s="1">
        <f t="shared" si="36"/>
        <v>3.189523350518264E-18</v>
      </c>
      <c r="AD101" s="1">
        <v>93</v>
      </c>
      <c r="AE101" s="1" t="e">
        <f t="shared" si="38"/>
        <v>#DIV/0!</v>
      </c>
      <c r="AF101" s="1">
        <f t="shared" si="39"/>
        <v>5.0244617942418789E-3</v>
      </c>
    </row>
    <row r="102" spans="2:32" x14ac:dyDescent="0.2">
      <c r="B102" s="1">
        <v>94</v>
      </c>
      <c r="C102" s="1">
        <f t="shared" si="20"/>
        <v>1.9369988143435934E-21</v>
      </c>
      <c r="D102" s="1">
        <f t="shared" si="21"/>
        <v>1</v>
      </c>
      <c r="E102" s="1">
        <f t="shared" si="22"/>
        <v>0</v>
      </c>
      <c r="F102" s="1" t="e">
        <f t="shared" si="23"/>
        <v>#DIV/0!</v>
      </c>
      <c r="H102" s="1">
        <v>94</v>
      </c>
      <c r="I102" s="1">
        <f t="shared" si="24"/>
        <v>2.5762711956701411E-13</v>
      </c>
      <c r="J102" s="1">
        <f t="shared" si="25"/>
        <v>0.99999999999920242</v>
      </c>
      <c r="K102" s="1">
        <f t="shared" si="26"/>
        <v>7.9758422089071246E-13</v>
      </c>
      <c r="L102" s="1">
        <f t="shared" si="27"/>
        <v>0.32300929835259995</v>
      </c>
      <c r="N102" s="1">
        <v>94</v>
      </c>
      <c r="O102" s="1">
        <f t="shared" si="28"/>
        <v>0</v>
      </c>
      <c r="P102" s="1">
        <f t="shared" si="29"/>
        <v>1</v>
      </c>
      <c r="Q102" s="1">
        <f t="shared" si="30"/>
        <v>0</v>
      </c>
      <c r="R102" s="1" t="e">
        <f t="shared" si="31"/>
        <v>#DIV/0!</v>
      </c>
      <c r="T102" s="1">
        <v>94</v>
      </c>
      <c r="U102" s="1">
        <f t="shared" si="37"/>
        <v>9.8763408292672087E-4</v>
      </c>
      <c r="V102" s="1">
        <f t="shared" si="32"/>
        <v>0.80171555043362408</v>
      </c>
      <c r="W102" s="1">
        <f t="shared" si="33"/>
        <v>0.19828444956637592</v>
      </c>
      <c r="X102" s="1">
        <f t="shared" si="34"/>
        <v>4.9808953000931595E-3</v>
      </c>
      <c r="Z102" s="1">
        <v>94</v>
      </c>
      <c r="AA102" s="1">
        <f t="shared" si="35"/>
        <v>0</v>
      </c>
      <c r="AB102" s="1">
        <f t="shared" si="36"/>
        <v>1.9612514875990891E-18</v>
      </c>
      <c r="AD102" s="1">
        <v>94</v>
      </c>
      <c r="AE102" s="1" t="e">
        <f t="shared" si="38"/>
        <v>#DIV/0!</v>
      </c>
      <c r="AF102" s="1">
        <f t="shared" si="39"/>
        <v>4.9808953000931595E-3</v>
      </c>
    </row>
    <row r="103" spans="2:32" x14ac:dyDescent="0.2">
      <c r="B103" s="1">
        <v>95</v>
      </c>
      <c r="C103" s="1">
        <f t="shared" si="20"/>
        <v>1.1748491687264085E-21</v>
      </c>
      <c r="D103" s="1">
        <f t="shared" si="21"/>
        <v>1</v>
      </c>
      <c r="E103" s="1">
        <f t="shared" si="22"/>
        <v>0</v>
      </c>
      <c r="F103" s="1" t="e">
        <f t="shared" si="23"/>
        <v>#DIV/0!</v>
      </c>
      <c r="H103" s="1">
        <v>95</v>
      </c>
      <c r="I103" s="1">
        <f t="shared" si="24"/>
        <v>1.8656170504422059E-13</v>
      </c>
      <c r="J103" s="1">
        <f t="shared" si="25"/>
        <v>0.99999999999942268</v>
      </c>
      <c r="K103" s="1">
        <f t="shared" si="26"/>
        <v>5.773159728050814E-13</v>
      </c>
      <c r="L103" s="1">
        <f t="shared" si="27"/>
        <v>0.32315354819952163</v>
      </c>
      <c r="N103" s="1">
        <v>95</v>
      </c>
      <c r="O103" s="1">
        <f t="shared" si="28"/>
        <v>0</v>
      </c>
      <c r="P103" s="1">
        <f t="shared" si="29"/>
        <v>1</v>
      </c>
      <c r="Q103" s="1">
        <f t="shared" si="30"/>
        <v>0</v>
      </c>
      <c r="R103" s="1" t="e">
        <f t="shared" si="31"/>
        <v>#DIV/0!</v>
      </c>
      <c r="T103" s="1">
        <v>95</v>
      </c>
      <c r="U103" s="1">
        <f t="shared" si="37"/>
        <v>9.7431392520770513E-4</v>
      </c>
      <c r="V103" s="1">
        <f t="shared" si="32"/>
        <v>0.8026964986361026</v>
      </c>
      <c r="W103" s="1">
        <f t="shared" si="33"/>
        <v>0.1973035013638974</v>
      </c>
      <c r="X103" s="1">
        <f t="shared" si="34"/>
        <v>4.9381481751341345E-3</v>
      </c>
      <c r="Z103" s="1">
        <v>95</v>
      </c>
      <c r="AA103" s="1">
        <f t="shared" si="35"/>
        <v>0</v>
      </c>
      <c r="AB103" s="1">
        <f t="shared" si="36"/>
        <v>1.2058220028785415E-18</v>
      </c>
      <c r="AD103" s="1">
        <v>95</v>
      </c>
      <c r="AE103" s="1" t="e">
        <f t="shared" si="38"/>
        <v>#DIV/0!</v>
      </c>
      <c r="AF103" s="1">
        <f t="shared" si="39"/>
        <v>4.9381481751341345E-3</v>
      </c>
    </row>
    <row r="104" spans="2:32" x14ac:dyDescent="0.2">
      <c r="B104" s="1">
        <v>96</v>
      </c>
      <c r="C104" s="1">
        <f t="shared" si="20"/>
        <v>7.1258204137046758E-22</v>
      </c>
      <c r="D104" s="1">
        <f t="shared" si="21"/>
        <v>1</v>
      </c>
      <c r="E104" s="1">
        <f t="shared" si="22"/>
        <v>0</v>
      </c>
      <c r="F104" s="1" t="e">
        <f t="shared" si="23"/>
        <v>#DIV/0!</v>
      </c>
      <c r="H104" s="1">
        <v>96</v>
      </c>
      <c r="I104" s="1">
        <f t="shared" si="24"/>
        <v>1.3508443252367139E-13</v>
      </c>
      <c r="J104" s="1">
        <f t="shared" si="25"/>
        <v>0.99999999999958211</v>
      </c>
      <c r="K104" s="1">
        <f t="shared" si="26"/>
        <v>4.1788794646890892E-13</v>
      </c>
      <c r="L104" s="1">
        <f t="shared" si="27"/>
        <v>0.32325515407925687</v>
      </c>
      <c r="N104" s="1">
        <v>96</v>
      </c>
      <c r="O104" s="1">
        <f t="shared" si="28"/>
        <v>0</v>
      </c>
      <c r="P104" s="1">
        <f t="shared" si="29"/>
        <v>1</v>
      </c>
      <c r="Q104" s="1">
        <f t="shared" si="30"/>
        <v>0</v>
      </c>
      <c r="R104" s="1" t="e">
        <f t="shared" si="31"/>
        <v>#DIV/0!</v>
      </c>
      <c r="T104" s="1">
        <v>96</v>
      </c>
      <c r="U104" s="1">
        <f t="shared" si="37"/>
        <v>9.6129831905357465E-4</v>
      </c>
      <c r="V104" s="1">
        <f t="shared" si="32"/>
        <v>0.80366427979639032</v>
      </c>
      <c r="W104" s="1">
        <f t="shared" si="33"/>
        <v>0.19633572020360968</v>
      </c>
      <c r="X104" s="1">
        <f t="shared" si="34"/>
        <v>4.8961967697811765E-3</v>
      </c>
      <c r="Z104" s="1">
        <v>96</v>
      </c>
      <c r="AA104" s="1">
        <f t="shared" si="35"/>
        <v>0</v>
      </c>
      <c r="AB104" s="1">
        <f t="shared" si="36"/>
        <v>7.4127045397522879E-19</v>
      </c>
      <c r="AD104" s="1">
        <v>96</v>
      </c>
      <c r="AE104" s="1" t="e">
        <f t="shared" si="38"/>
        <v>#DIV/0!</v>
      </c>
      <c r="AF104" s="1">
        <f t="shared" si="39"/>
        <v>4.8961967697811765E-3</v>
      </c>
    </row>
    <row r="105" spans="2:32" x14ac:dyDescent="0.2">
      <c r="B105" s="1">
        <v>97</v>
      </c>
      <c r="C105" s="1">
        <f t="shared" si="20"/>
        <v>4.3220285565180477E-22</v>
      </c>
      <c r="D105" s="1">
        <f t="shared" si="21"/>
        <v>1</v>
      </c>
      <c r="E105" s="1">
        <f t="shared" si="22"/>
        <v>0</v>
      </c>
      <c r="F105" s="1" t="e">
        <f t="shared" si="23"/>
        <v>#DIV/0!</v>
      </c>
      <c r="H105" s="1">
        <v>97</v>
      </c>
      <c r="I105" s="1">
        <f t="shared" si="24"/>
        <v>9.7800477822993307E-14</v>
      </c>
      <c r="J105" s="1">
        <f t="shared" si="25"/>
        <v>0.99999999999969758</v>
      </c>
      <c r="K105" s="1">
        <f t="shared" si="26"/>
        <v>3.0242475190789264E-13</v>
      </c>
      <c r="L105" s="1">
        <f t="shared" si="27"/>
        <v>0.32338780872267925</v>
      </c>
      <c r="N105" s="1">
        <v>97</v>
      </c>
      <c r="O105" s="1">
        <f t="shared" si="28"/>
        <v>0</v>
      </c>
      <c r="P105" s="1">
        <f t="shared" si="29"/>
        <v>1</v>
      </c>
      <c r="Q105" s="1">
        <f t="shared" si="30"/>
        <v>0</v>
      </c>
      <c r="R105" s="1" t="e">
        <f t="shared" si="31"/>
        <v>#DIV/0!</v>
      </c>
      <c r="T105" s="1">
        <v>97</v>
      </c>
      <c r="U105" s="1">
        <f t="shared" si="37"/>
        <v>9.4857740102186853E-4</v>
      </c>
      <c r="V105" s="1">
        <f t="shared" si="32"/>
        <v>0.8046191934989968</v>
      </c>
      <c r="W105" s="1">
        <f t="shared" si="33"/>
        <v>0.1953808065010032</v>
      </c>
      <c r="X105" s="1">
        <f t="shared" si="34"/>
        <v>4.8550183511347003E-3</v>
      </c>
      <c r="Z105" s="1">
        <v>97</v>
      </c>
      <c r="AA105" s="1">
        <f t="shared" si="35"/>
        <v>0</v>
      </c>
      <c r="AB105" s="1">
        <f t="shared" si="36"/>
        <v>4.5563267181592992E-19</v>
      </c>
      <c r="AD105" s="1">
        <v>97</v>
      </c>
      <c r="AE105" s="1" t="e">
        <f t="shared" si="38"/>
        <v>#DIV/0!</v>
      </c>
      <c r="AF105" s="1">
        <f t="shared" si="39"/>
        <v>4.8550183511347003E-3</v>
      </c>
    </row>
    <row r="106" spans="2:32" x14ac:dyDescent="0.2">
      <c r="B106" s="1">
        <v>98</v>
      </c>
      <c r="C106" s="1">
        <f t="shared" si="20"/>
        <v>2.6214428316817319E-22</v>
      </c>
      <c r="D106" s="1">
        <f t="shared" si="21"/>
        <v>1</v>
      </c>
      <c r="E106" s="1">
        <f t="shared" si="22"/>
        <v>0</v>
      </c>
      <c r="F106" s="1" t="e">
        <f t="shared" si="23"/>
        <v>#DIV/0!</v>
      </c>
      <c r="H106" s="1">
        <v>98</v>
      </c>
      <c r="I106" s="1">
        <f t="shared" si="24"/>
        <v>7.0799548926048756E-14</v>
      </c>
      <c r="J106" s="1">
        <f t="shared" si="25"/>
        <v>0.99999999999978106</v>
      </c>
      <c r="K106" s="1">
        <f t="shared" si="26"/>
        <v>2.1893598045608087E-13</v>
      </c>
      <c r="L106" s="1">
        <f t="shared" si="27"/>
        <v>0.32338014417987054</v>
      </c>
      <c r="N106" s="1">
        <v>98</v>
      </c>
      <c r="O106" s="1">
        <f t="shared" si="28"/>
        <v>0</v>
      </c>
      <c r="P106" s="1">
        <f t="shared" si="29"/>
        <v>1</v>
      </c>
      <c r="Q106" s="1">
        <f t="shared" si="30"/>
        <v>0</v>
      </c>
      <c r="R106" s="1" t="e">
        <f t="shared" si="31"/>
        <v>#DIV/0!</v>
      </c>
      <c r="T106" s="1">
        <v>98</v>
      </c>
      <c r="U106" s="1">
        <f t="shared" si="37"/>
        <v>9.3614172067010999E-4</v>
      </c>
      <c r="V106" s="1">
        <f t="shared" si="32"/>
        <v>0.80556152967330874</v>
      </c>
      <c r="W106" s="1">
        <f t="shared" si="33"/>
        <v>0.19443847032669126</v>
      </c>
      <c r="X106" s="1">
        <f t="shared" si="34"/>
        <v>4.8145910585349963E-3</v>
      </c>
      <c r="Z106" s="1">
        <v>98</v>
      </c>
      <c r="AA106" s="1">
        <f t="shared" si="35"/>
        <v>0</v>
      </c>
      <c r="AB106" s="1">
        <f t="shared" si="36"/>
        <v>2.8002627954720871E-19</v>
      </c>
      <c r="AD106" s="1">
        <v>98</v>
      </c>
      <c r="AE106" s="1" t="e">
        <f t="shared" si="38"/>
        <v>#DIV/0!</v>
      </c>
      <c r="AF106" s="1">
        <f t="shared" si="39"/>
        <v>4.8145910585349963E-3</v>
      </c>
    </row>
    <row r="107" spans="2:32" x14ac:dyDescent="0.2">
      <c r="B107" s="1">
        <v>99</v>
      </c>
      <c r="C107" s="1">
        <f t="shared" si="20"/>
        <v>1.5899854500988748E-22</v>
      </c>
      <c r="D107" s="1">
        <f t="shared" si="21"/>
        <v>1</v>
      </c>
      <c r="E107" s="1">
        <f t="shared" si="22"/>
        <v>0</v>
      </c>
      <c r="F107" s="1" t="e">
        <f t="shared" si="23"/>
        <v>#DIV/0!</v>
      </c>
      <c r="H107" s="1">
        <v>99</v>
      </c>
      <c r="I107" s="1">
        <f t="shared" si="24"/>
        <v>5.1247747596137356E-14</v>
      </c>
      <c r="J107" s="1">
        <f t="shared" si="25"/>
        <v>0.99999999999984157</v>
      </c>
      <c r="K107" s="1">
        <f t="shared" si="26"/>
        <v>1.5842882561400984E-13</v>
      </c>
      <c r="L107" s="1">
        <f t="shared" si="27"/>
        <v>0.32347489415212533</v>
      </c>
      <c r="N107" s="1">
        <v>99</v>
      </c>
      <c r="O107" s="1">
        <f t="shared" si="28"/>
        <v>0</v>
      </c>
      <c r="P107" s="1">
        <f t="shared" si="29"/>
        <v>1</v>
      </c>
      <c r="Q107" s="1">
        <f t="shared" si="30"/>
        <v>0</v>
      </c>
      <c r="R107" s="1" t="e">
        <f t="shared" si="31"/>
        <v>#DIV/0!</v>
      </c>
      <c r="T107" s="1">
        <v>99</v>
      </c>
      <c r="U107" s="1">
        <f t="shared" si="37"/>
        <v>9.2398221938812686E-4</v>
      </c>
      <c r="V107" s="1">
        <f t="shared" si="32"/>
        <v>0.8064915689958958</v>
      </c>
      <c r="W107" s="1">
        <f t="shared" si="33"/>
        <v>0.1935084310041042</v>
      </c>
      <c r="X107" s="1">
        <f t="shared" si="34"/>
        <v>4.7748938616970632E-3</v>
      </c>
      <c r="Z107" s="1">
        <v>99</v>
      </c>
      <c r="AA107" s="1">
        <f t="shared" si="35"/>
        <v>0</v>
      </c>
      <c r="AB107" s="1">
        <f t="shared" si="36"/>
        <v>1.7207965875704663E-19</v>
      </c>
      <c r="AD107" s="1">
        <v>99</v>
      </c>
      <c r="AE107" s="1" t="e">
        <f t="shared" si="38"/>
        <v>#DIV/0!</v>
      </c>
      <c r="AF107" s="1">
        <f t="shared" si="39"/>
        <v>4.7748938616970632E-3</v>
      </c>
    </row>
    <row r="108" spans="2:32" x14ac:dyDescent="0.2">
      <c r="B108" s="1">
        <v>100</v>
      </c>
      <c r="C108" s="1">
        <f t="shared" si="20"/>
        <v>9.6437492398195891E-23</v>
      </c>
      <c r="D108" s="1">
        <f t="shared" si="21"/>
        <v>1</v>
      </c>
      <c r="E108" s="1">
        <f t="shared" si="22"/>
        <v>0</v>
      </c>
      <c r="F108" s="1" t="e">
        <f t="shared" si="23"/>
        <v>#DIV/0!</v>
      </c>
      <c r="H108" s="1">
        <v>100</v>
      </c>
      <c r="I108" s="1">
        <f t="shared" si="24"/>
        <v>3.7091531059611055E-14</v>
      </c>
      <c r="J108" s="1">
        <f t="shared" si="25"/>
        <v>0.99999999999988542</v>
      </c>
      <c r="K108" s="1">
        <f t="shared" si="26"/>
        <v>1.1457501614131615E-13</v>
      </c>
      <c r="L108" s="1">
        <f t="shared" si="27"/>
        <v>0.32373140592764638</v>
      </c>
      <c r="N108" s="1">
        <v>100</v>
      </c>
      <c r="O108" s="1">
        <f t="shared" si="28"/>
        <v>0</v>
      </c>
      <c r="P108" s="1">
        <f t="shared" si="29"/>
        <v>1</v>
      </c>
      <c r="Q108" s="1">
        <f t="shared" si="30"/>
        <v>0</v>
      </c>
      <c r="R108" s="1" t="e">
        <f t="shared" si="31"/>
        <v>#DIV/0!</v>
      </c>
      <c r="T108" s="1">
        <v>100</v>
      </c>
      <c r="U108" s="1">
        <f t="shared" si="37"/>
        <v>9.1209021051110188E-4</v>
      </c>
      <c r="V108" s="1">
        <f t="shared" si="32"/>
        <v>0.8074095832722965</v>
      </c>
      <c r="W108" s="1">
        <f t="shared" si="33"/>
        <v>0.1925904167277035</v>
      </c>
      <c r="X108" s="1">
        <f t="shared" si="34"/>
        <v>4.7359065212506015E-3</v>
      </c>
      <c r="Z108" s="1">
        <v>100</v>
      </c>
      <c r="AA108" s="1">
        <f t="shared" si="35"/>
        <v>0</v>
      </c>
      <c r="AB108" s="1">
        <f t="shared" si="36"/>
        <v>1.0573240594716597E-19</v>
      </c>
      <c r="AD108" s="1">
        <v>100</v>
      </c>
      <c r="AE108" s="1" t="e">
        <f t="shared" si="38"/>
        <v>#DIV/0!</v>
      </c>
      <c r="AF108" s="1">
        <f t="shared" si="39"/>
        <v>4.7359065212506015E-3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B2:AF10007"/>
  <sheetViews>
    <sheetView zoomScale="85" zoomScaleNormal="85" workbookViewId="0">
      <selection activeCell="E3" sqref="E3:G3"/>
    </sheetView>
  </sheetViews>
  <sheetFormatPr baseColWidth="10" defaultColWidth="11.5" defaultRowHeight="15" x14ac:dyDescent="0.2"/>
  <cols>
    <col min="1" max="1" width="3.6640625" style="1" customWidth="1"/>
    <col min="2" max="2" width="11.5" style="1"/>
    <col min="3" max="3" width="16.1640625" style="1" customWidth="1"/>
    <col min="4" max="4" width="11.5" style="1"/>
    <col min="5" max="5" width="29" style="1" customWidth="1"/>
    <col min="6" max="6" width="15" style="1" customWidth="1"/>
    <col min="7" max="7" width="20.5" style="1" bestFit="1" customWidth="1"/>
    <col min="8" max="15" width="15.6640625" style="1" customWidth="1"/>
    <col min="16" max="16" width="3.6640625" style="1" customWidth="1"/>
    <col min="17" max="17" width="15.5" style="1" bestFit="1" customWidth="1"/>
    <col min="18" max="18" width="11" style="1" bestFit="1" customWidth="1"/>
    <col min="19" max="19" width="11.5" style="1" customWidth="1"/>
    <col min="20" max="20" width="3.6640625" style="1" customWidth="1"/>
    <col min="21" max="21" width="20.5" style="1" bestFit="1" customWidth="1"/>
    <col min="22" max="22" width="14.33203125" style="1" bestFit="1" customWidth="1"/>
    <col min="23" max="23" width="16.83203125" style="1" bestFit="1" customWidth="1"/>
    <col min="24" max="24" width="5" style="1" customWidth="1"/>
    <col min="25" max="25" width="11.5" style="1"/>
    <col min="26" max="26" width="14.1640625" style="1" customWidth="1"/>
    <col min="27" max="28" width="11.5" style="1"/>
    <col min="29" max="29" width="12" style="1" bestFit="1" customWidth="1"/>
    <col min="30" max="16384" width="11.5" style="1"/>
  </cols>
  <sheetData>
    <row r="2" spans="2:17" ht="19" x14ac:dyDescent="0.25">
      <c r="B2" s="50" t="s">
        <v>31</v>
      </c>
    </row>
    <row r="3" spans="2:17" x14ac:dyDescent="0.2">
      <c r="E3" s="64" t="s">
        <v>82</v>
      </c>
      <c r="F3" s="64"/>
      <c r="G3" s="64"/>
    </row>
    <row r="4" spans="2:17" ht="16" thickBot="1" x14ac:dyDescent="0.25"/>
    <row r="5" spans="2:17" ht="16" thickBot="1" x14ac:dyDescent="0.25">
      <c r="B5" s="3" t="s">
        <v>0</v>
      </c>
      <c r="C5" s="3" t="s">
        <v>1</v>
      </c>
      <c r="E5" s="3" t="s">
        <v>28</v>
      </c>
      <c r="F5" s="3" t="s">
        <v>25</v>
      </c>
      <c r="G5" s="3" t="s">
        <v>27</v>
      </c>
      <c r="H5" s="3" t="s">
        <v>29</v>
      </c>
    </row>
    <row r="6" spans="2:17" ht="16" thickBot="1" x14ac:dyDescent="0.25">
      <c r="B6" s="4">
        <v>1</v>
      </c>
      <c r="C6" s="10">
        <v>333.27028241264372</v>
      </c>
      <c r="D6" s="42"/>
      <c r="E6" s="6" t="s">
        <v>70</v>
      </c>
      <c r="F6" s="9">
        <v>2.9584187624850462</v>
      </c>
      <c r="G6" s="4">
        <v>1.8382684398835258</v>
      </c>
      <c r="H6" s="9">
        <v>5.4609873218753977</v>
      </c>
    </row>
    <row r="7" spans="2:17" ht="16" thickBot="1" x14ac:dyDescent="0.25">
      <c r="B7" s="5">
        <v>2</v>
      </c>
      <c r="C7" s="11">
        <v>267.6490549388638</v>
      </c>
      <c r="D7" s="42"/>
      <c r="E7" s="7" t="s">
        <v>71</v>
      </c>
      <c r="F7" s="12">
        <v>91.719460301200286</v>
      </c>
      <c r="G7" s="5">
        <v>300.26664928332718</v>
      </c>
      <c r="H7" s="12">
        <v>0.58363428929142647</v>
      </c>
    </row>
    <row r="8" spans="2:17" ht="16" thickBot="1" x14ac:dyDescent="0.25">
      <c r="B8" s="4">
        <v>3</v>
      </c>
      <c r="C8" s="10">
        <v>88.999509817715037</v>
      </c>
      <c r="D8" s="42"/>
      <c r="E8" s="2" t="s">
        <v>16</v>
      </c>
      <c r="F8" s="18"/>
      <c r="G8" s="18"/>
      <c r="H8" s="18"/>
      <c r="I8" s="18"/>
    </row>
    <row r="9" spans="2:17" ht="16" thickBot="1" x14ac:dyDescent="0.25">
      <c r="B9" s="5">
        <v>4</v>
      </c>
      <c r="C9" s="11">
        <v>122.27221631369676</v>
      </c>
      <c r="D9" s="42"/>
    </row>
    <row r="10" spans="2:17" ht="16" thickBot="1" x14ac:dyDescent="0.25">
      <c r="B10" s="4">
        <v>5</v>
      </c>
      <c r="C10" s="10">
        <v>645.33191614391376</v>
      </c>
      <c r="D10" s="42"/>
      <c r="E10" s="16" t="s">
        <v>17</v>
      </c>
      <c r="F10" s="17" t="s">
        <v>45</v>
      </c>
      <c r="G10" s="51"/>
      <c r="H10" s="52"/>
      <c r="I10" s="51"/>
    </row>
    <row r="11" spans="2:17" ht="16" thickBot="1" x14ac:dyDescent="0.25">
      <c r="B11" s="5">
        <v>6</v>
      </c>
      <c r="C11" s="11">
        <v>176.11987091911951</v>
      </c>
      <c r="D11" s="42"/>
      <c r="E11" s="6" t="s">
        <v>4</v>
      </c>
      <c r="F11" s="9">
        <f>MIN(C6:C10005)</f>
        <v>6.1388042697388761</v>
      </c>
      <c r="G11" s="8"/>
      <c r="H11" s="8"/>
      <c r="I11" s="8"/>
    </row>
    <row r="12" spans="2:17" ht="16" thickBot="1" x14ac:dyDescent="0.25">
      <c r="B12" s="4">
        <v>7</v>
      </c>
      <c r="C12" s="10">
        <v>349.47508138506134</v>
      </c>
      <c r="D12" s="42"/>
      <c r="E12" s="7" t="s">
        <v>3</v>
      </c>
      <c r="F12" s="12">
        <f>MAX(C6:C10005)</f>
        <v>1436.7746299287273</v>
      </c>
      <c r="G12" s="8"/>
      <c r="H12" s="8"/>
      <c r="I12" s="8"/>
      <c r="Q12" s="13"/>
    </row>
    <row r="13" spans="2:17" ht="16" thickBot="1" x14ac:dyDescent="0.25">
      <c r="B13" s="5">
        <v>8</v>
      </c>
      <c r="C13" s="11">
        <v>163.21363619231934</v>
      </c>
      <c r="D13" s="42"/>
      <c r="E13" s="6" t="s">
        <v>5</v>
      </c>
      <c r="F13" s="9">
        <f>F12-F11</f>
        <v>1430.6358256589886</v>
      </c>
      <c r="G13" s="8"/>
      <c r="H13" s="8"/>
      <c r="I13" s="8"/>
    </row>
    <row r="14" spans="2:17" ht="16" thickBot="1" x14ac:dyDescent="0.25">
      <c r="B14" s="4">
        <v>9</v>
      </c>
      <c r="C14" s="10">
        <v>411.38133194339446</v>
      </c>
      <c r="D14" s="42"/>
      <c r="E14" s="7" t="s">
        <v>44</v>
      </c>
      <c r="F14" s="12">
        <f>1+LOG(10000)/LOG(2)</f>
        <v>14.287712379549449</v>
      </c>
      <c r="G14" s="8"/>
      <c r="H14" s="8"/>
      <c r="I14" s="8"/>
    </row>
    <row r="15" spans="2:17" ht="16" thickBot="1" x14ac:dyDescent="0.25">
      <c r="B15" s="5">
        <v>10</v>
      </c>
      <c r="C15" s="11">
        <v>139.81329013447916</v>
      </c>
      <c r="D15" s="42"/>
      <c r="E15" s="6" t="s">
        <v>14</v>
      </c>
      <c r="F15" s="9">
        <f>PERCENTILE(C6:C10005,0.25)</f>
        <v>154.64598603051013</v>
      </c>
      <c r="G15" s="8"/>
      <c r="H15" s="8"/>
      <c r="I15" s="8"/>
    </row>
    <row r="16" spans="2:17" ht="16" thickBot="1" x14ac:dyDescent="0.25">
      <c r="B16" s="4">
        <v>11</v>
      </c>
      <c r="C16" s="10">
        <v>105.39268199505086</v>
      </c>
      <c r="D16" s="42"/>
      <c r="E16" s="7" t="s">
        <v>13</v>
      </c>
      <c r="F16" s="12">
        <f>PERCENTILE(C6:C10005,0.5)</f>
        <v>242.61103580435002</v>
      </c>
      <c r="G16" s="8"/>
      <c r="H16" s="8"/>
      <c r="I16" s="8"/>
    </row>
    <row r="17" spans="2:29" ht="16" thickBot="1" x14ac:dyDescent="0.25">
      <c r="B17" s="5">
        <v>12</v>
      </c>
      <c r="C17" s="11">
        <v>370.88295557664179</v>
      </c>
      <c r="D17" s="42"/>
      <c r="E17" s="6" t="s">
        <v>15</v>
      </c>
      <c r="F17" s="9">
        <f>PERCENTILE(C6:C10005,0.75)</f>
        <v>356.03119182953947</v>
      </c>
      <c r="G17" s="8"/>
      <c r="H17" s="8"/>
      <c r="I17" s="8"/>
    </row>
    <row r="18" spans="2:29" ht="16" thickBot="1" x14ac:dyDescent="0.25">
      <c r="B18" s="4">
        <v>13</v>
      </c>
      <c r="C18" s="10">
        <v>64.073864755825056</v>
      </c>
      <c r="D18" s="42"/>
      <c r="E18" s="7" t="s">
        <v>22</v>
      </c>
      <c r="F18" s="12">
        <f>F17-F15</f>
        <v>201.38520579902934</v>
      </c>
      <c r="G18" s="8"/>
      <c r="H18" s="8"/>
      <c r="I18" s="8"/>
    </row>
    <row r="19" spans="2:29" ht="16" thickBot="1" x14ac:dyDescent="0.25">
      <c r="B19" s="5">
        <v>14</v>
      </c>
      <c r="C19" s="11">
        <v>110.58121041740918</v>
      </c>
      <c r="D19" s="42"/>
      <c r="E19" s="6" t="s">
        <v>12</v>
      </c>
      <c r="F19" s="9">
        <f>AVERAGE(C6:C10005)</f>
        <v>271.17380794685556</v>
      </c>
      <c r="G19" s="8"/>
      <c r="H19" s="8"/>
      <c r="I19" s="8"/>
    </row>
    <row r="20" spans="2:29" ht="16" thickBot="1" x14ac:dyDescent="0.25">
      <c r="B20" s="4">
        <v>15</v>
      </c>
      <c r="C20" s="10">
        <v>451.78403123665942</v>
      </c>
      <c r="D20" s="42"/>
      <c r="E20" s="7" t="s">
        <v>18</v>
      </c>
      <c r="F20" s="12">
        <f>VAR(C6:C10005)</f>
        <v>24486.600121765139</v>
      </c>
      <c r="G20" s="8"/>
      <c r="H20" s="8"/>
      <c r="I20" s="8"/>
    </row>
    <row r="21" spans="2:29" ht="16" thickBot="1" x14ac:dyDescent="0.25">
      <c r="B21" s="5">
        <v>16</v>
      </c>
      <c r="C21" s="11">
        <v>129.13243713242102</v>
      </c>
      <c r="D21" s="42"/>
      <c r="E21" s="6" t="s">
        <v>19</v>
      </c>
      <c r="F21" s="9">
        <f>STDEV(C6:C10005)</f>
        <v>156.48194822970839</v>
      </c>
      <c r="G21" s="8"/>
      <c r="H21" s="8"/>
      <c r="I21" s="8"/>
    </row>
    <row r="22" spans="2:29" ht="16" thickBot="1" x14ac:dyDescent="0.25">
      <c r="B22" s="4">
        <v>17</v>
      </c>
      <c r="C22" s="10">
        <v>193.65332933286098</v>
      </c>
      <c r="D22" s="42"/>
      <c r="E22" s="7" t="s">
        <v>21</v>
      </c>
      <c r="F22" s="33">
        <f>SKEW(C6:C10005)</f>
        <v>1.1032721910751577</v>
      </c>
      <c r="G22" s="8"/>
      <c r="H22" s="8"/>
      <c r="I22" s="8"/>
    </row>
    <row r="23" spans="2:29" ht="16" thickBot="1" x14ac:dyDescent="0.25">
      <c r="B23" s="5">
        <v>18</v>
      </c>
      <c r="C23" s="11">
        <v>182.98165670140071</v>
      </c>
      <c r="D23" s="42"/>
      <c r="E23" s="6" t="s">
        <v>20</v>
      </c>
      <c r="F23" s="9">
        <f>KURT(C6:C10005)</f>
        <v>1.8080240834352215</v>
      </c>
      <c r="G23" s="8"/>
      <c r="H23" s="8"/>
      <c r="I23" s="8"/>
      <c r="U23" s="1" t="s">
        <v>78</v>
      </c>
      <c r="AC23" s="2" t="s">
        <v>49</v>
      </c>
    </row>
    <row r="24" spans="2:29" ht="16" thickBot="1" x14ac:dyDescent="0.25">
      <c r="B24" s="4">
        <v>19</v>
      </c>
      <c r="C24" s="10">
        <v>313.19279362055636</v>
      </c>
      <c r="D24" s="42"/>
      <c r="G24" s="1" t="s">
        <v>72</v>
      </c>
      <c r="Q24" s="65" t="s">
        <v>73</v>
      </c>
      <c r="R24" s="65"/>
      <c r="S24" s="65"/>
      <c r="U24" s="1" t="s">
        <v>77</v>
      </c>
    </row>
    <row r="25" spans="2:29" ht="16" thickBot="1" x14ac:dyDescent="0.25">
      <c r="B25" s="5">
        <v>20</v>
      </c>
      <c r="C25" s="11">
        <v>75.79259938669415</v>
      </c>
      <c r="D25" s="42"/>
      <c r="E25" s="3" t="s">
        <v>16</v>
      </c>
      <c r="F25" s="3" t="s">
        <v>7</v>
      </c>
      <c r="G25" s="3" t="s">
        <v>8</v>
      </c>
      <c r="H25" s="3" t="s">
        <v>2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14</v>
      </c>
      <c r="N25" s="3" t="s">
        <v>13</v>
      </c>
      <c r="O25" s="3" t="s">
        <v>15</v>
      </c>
      <c r="Q25" s="3" t="s">
        <v>25</v>
      </c>
      <c r="R25" s="3" t="s">
        <v>27</v>
      </c>
      <c r="S25" s="3" t="s">
        <v>29</v>
      </c>
      <c r="U25" s="3" t="s">
        <v>74</v>
      </c>
      <c r="V25" s="3" t="s">
        <v>75</v>
      </c>
      <c r="W25" s="3" t="s">
        <v>76</v>
      </c>
      <c r="Y25" s="3" t="s">
        <v>8</v>
      </c>
      <c r="Z25" s="3" t="s">
        <v>47</v>
      </c>
      <c r="AA25" s="3" t="s">
        <v>48</v>
      </c>
      <c r="AC25" s="3" t="s">
        <v>50</v>
      </c>
    </row>
    <row r="26" spans="2:29" ht="16" thickBot="1" x14ac:dyDescent="0.25">
      <c r="B26" s="4">
        <v>21</v>
      </c>
      <c r="C26" s="10">
        <v>179.2756113539217</v>
      </c>
      <c r="D26" s="42"/>
      <c r="E26" s="6">
        <v>0</v>
      </c>
      <c r="F26" s="6">
        <v>0</v>
      </c>
      <c r="G26" s="9">
        <f>F11</f>
        <v>6.1388042697388761</v>
      </c>
      <c r="H26" s="6">
        <f t="array" ref="H26:H40">FREQUENCY(C6:C10005,G26:G40)</f>
        <v>1</v>
      </c>
      <c r="I26" s="14">
        <f>H26/$H$41</f>
        <v>1E-4</v>
      </c>
      <c r="J26" s="34">
        <f>I26</f>
        <v>1E-4</v>
      </c>
      <c r="K26" s="14">
        <f>1-J26</f>
        <v>0.99990000000000001</v>
      </c>
      <c r="L26" s="9">
        <f>$F$19</f>
        <v>271.17380794685556</v>
      </c>
      <c r="M26" s="9">
        <f>$F$15</f>
        <v>154.64598603051013</v>
      </c>
      <c r="N26" s="9">
        <f>$F$16</f>
        <v>242.61103580435002</v>
      </c>
      <c r="O26" s="9">
        <f>$F$17</f>
        <v>356.03119182953947</v>
      </c>
      <c r="Q26" s="8">
        <f>GAMMADIST(G26,$F$6,$F$7,TRUE)</f>
        <v>5.6032149163608909E-5</v>
      </c>
      <c r="R26" s="8">
        <f>_xlfn.WEIBULL.DIST(G26,$G$6,$G$7,TRUE)</f>
        <v>7.8381972001627246E-4</v>
      </c>
      <c r="S26" s="8">
        <f>LOGNORMDIST(G26,$H$6,$H$7)</f>
        <v>2.0830373376086885E-10</v>
      </c>
      <c r="U26" s="8">
        <f>(Q26-J26)^2</f>
        <v>1.9331719071711373E-9</v>
      </c>
      <c r="V26" s="8">
        <f>(R26-J26)^2</f>
        <v>4.6760940948313321E-7</v>
      </c>
      <c r="W26" s="8">
        <f>(S26-J26)^2</f>
        <v>9.9999583392966396E-9</v>
      </c>
      <c r="Y26" s="19">
        <f>G26</f>
        <v>6.1388042697388761</v>
      </c>
      <c r="Z26" s="36">
        <f>J26</f>
        <v>1E-4</v>
      </c>
      <c r="AA26" s="18">
        <f>Q26</f>
        <v>5.6032149163608909E-5</v>
      </c>
      <c r="AC26" s="46">
        <f>ABS(Z26-AA26)</f>
        <v>4.3967850836391096E-5</v>
      </c>
    </row>
    <row r="27" spans="2:29" ht="16" thickBot="1" x14ac:dyDescent="0.25">
      <c r="B27" s="5">
        <v>22</v>
      </c>
      <c r="C27" s="11">
        <v>240.00051231094406</v>
      </c>
      <c r="D27" s="42"/>
      <c r="E27" s="7">
        <v>0</v>
      </c>
      <c r="F27" s="7">
        <v>1</v>
      </c>
      <c r="G27" s="12">
        <f>G26+$F$13/14</f>
        <v>108.3270775310952</v>
      </c>
      <c r="H27" s="7">
        <v>1252</v>
      </c>
      <c r="I27" s="14">
        <f t="shared" ref="I27:I40" si="0">H27/$H$41</f>
        <v>0.12520000000000001</v>
      </c>
      <c r="J27" s="35">
        <f>I27+J26</f>
        <v>0.12529999999999999</v>
      </c>
      <c r="K27" s="14">
        <f t="shared" ref="K27:K40" si="1">1-J27</f>
        <v>0.87470000000000003</v>
      </c>
      <c r="L27" s="9">
        <f t="shared" ref="L27:L40" si="2">$F$19</f>
        <v>271.17380794685556</v>
      </c>
      <c r="M27" s="9">
        <f t="shared" ref="M27:M40" si="3">$F$15</f>
        <v>154.64598603051013</v>
      </c>
      <c r="N27" s="9">
        <f t="shared" ref="N27:N40" si="4">$F$16</f>
        <v>242.61103580435002</v>
      </c>
      <c r="O27" s="9">
        <f t="shared" ref="O27:O40" si="5">$F$17</f>
        <v>356.03119182953947</v>
      </c>
      <c r="Q27" s="8">
        <f t="shared" ref="Q27:Q40" si="6">GAMMADIST(G27,$F$6,$F$7,TRUE)</f>
        <v>0.12223055462158834</v>
      </c>
      <c r="R27" s="8">
        <f t="shared" ref="R27:R40" si="7">_xlfn.WEIBULL.DIST(G27,$G$6,$G$7,TRUE)</f>
        <v>0.14228752636604575</v>
      </c>
      <c r="S27" s="8">
        <f t="shared" ref="S27:S40" si="8">LOGNORMDIST(G27,$H$6,$H$7)</f>
        <v>9.1872496969201217E-2</v>
      </c>
      <c r="U27" s="8">
        <f t="shared" ref="U27:U40" si="9">(Q27-J27)^2</f>
        <v>9.4214949310526573E-6</v>
      </c>
      <c r="V27" s="8">
        <f t="shared" ref="V27:V40" si="10">(R27-J27)^2</f>
        <v>2.8857605203709959E-4</v>
      </c>
      <c r="W27" s="8">
        <f t="shared" ref="W27:W40" si="11">(S27-J27)^2</f>
        <v>1.1173979588740615E-3</v>
      </c>
      <c r="Y27" s="19">
        <f t="shared" ref="Y27:Y40" si="12">G27</f>
        <v>108.3270775310952</v>
      </c>
      <c r="Z27" s="36">
        <f t="shared" ref="Z27:Z40" si="13">J27</f>
        <v>0.12529999999999999</v>
      </c>
      <c r="AA27" s="18">
        <f t="shared" ref="AA27:AA40" si="14">Q27</f>
        <v>0.12223055462158834</v>
      </c>
      <c r="AC27" s="46">
        <f t="shared" ref="AC27:AC40" si="15">ABS(Z27-AA27)</f>
        <v>3.0694453784116532E-3</v>
      </c>
    </row>
    <row r="28" spans="2:29" ht="16" thickBot="1" x14ac:dyDescent="0.25">
      <c r="B28" s="4">
        <v>23</v>
      </c>
      <c r="C28" s="10">
        <v>168.83095521344472</v>
      </c>
      <c r="D28" s="42"/>
      <c r="E28" s="6">
        <v>0</v>
      </c>
      <c r="F28" s="6">
        <v>2</v>
      </c>
      <c r="G28" s="12">
        <f>G27+$F$13/14</f>
        <v>210.51535079245153</v>
      </c>
      <c r="H28" s="6">
        <v>2865</v>
      </c>
      <c r="I28" s="14">
        <f t="shared" si="0"/>
        <v>0.28649999999999998</v>
      </c>
      <c r="J28" s="35">
        <f t="shared" ref="J28:J40" si="16">I28+J27</f>
        <v>0.41179999999999994</v>
      </c>
      <c r="K28" s="14">
        <f t="shared" si="1"/>
        <v>0.58820000000000006</v>
      </c>
      <c r="L28" s="9">
        <f t="shared" si="2"/>
        <v>271.17380794685556</v>
      </c>
      <c r="M28" s="9">
        <f t="shared" si="3"/>
        <v>154.64598603051013</v>
      </c>
      <c r="N28" s="9">
        <f t="shared" si="4"/>
        <v>242.61103580435002</v>
      </c>
      <c r="O28" s="9">
        <f t="shared" si="5"/>
        <v>356.03119182953947</v>
      </c>
      <c r="Q28" s="8">
        <f t="shared" si="6"/>
        <v>0.41291654900072705</v>
      </c>
      <c r="R28" s="8">
        <f t="shared" si="7"/>
        <v>0.40583033135517083</v>
      </c>
      <c r="S28" s="8">
        <f t="shared" si="8"/>
        <v>0.42429327113705884</v>
      </c>
      <c r="U28" s="8">
        <f t="shared" si="9"/>
        <v>1.2466816710247018E-6</v>
      </c>
      <c r="V28" s="8">
        <f t="shared" si="10"/>
        <v>3.5636943729055917E-5</v>
      </c>
      <c r="W28" s="8">
        <f t="shared" si="11"/>
        <v>1.5608182370406879E-4</v>
      </c>
      <c r="Y28" s="19">
        <f t="shared" si="12"/>
        <v>210.51535079245153</v>
      </c>
      <c r="Z28" s="36">
        <f t="shared" si="13"/>
        <v>0.41179999999999994</v>
      </c>
      <c r="AA28" s="18">
        <f t="shared" si="14"/>
        <v>0.41291654900072705</v>
      </c>
      <c r="AC28" s="46">
        <f t="shared" si="15"/>
        <v>1.1165490007271073E-3</v>
      </c>
    </row>
    <row r="29" spans="2:29" ht="16" thickBot="1" x14ac:dyDescent="0.25">
      <c r="B29" s="5">
        <v>24</v>
      </c>
      <c r="C29" s="11">
        <v>73.298733620156241</v>
      </c>
      <c r="D29" s="42"/>
      <c r="E29" s="7">
        <v>0</v>
      </c>
      <c r="F29" s="7">
        <v>3</v>
      </c>
      <c r="G29" s="12">
        <f t="shared" ref="G29:G40" si="17">G28+$F$13/14</f>
        <v>312.70362405380786</v>
      </c>
      <c r="H29" s="7">
        <v>2566</v>
      </c>
      <c r="I29" s="14">
        <f t="shared" si="0"/>
        <v>0.25659999999999999</v>
      </c>
      <c r="J29" s="35">
        <f t="shared" si="16"/>
        <v>0.66839999999999988</v>
      </c>
      <c r="K29" s="14">
        <f t="shared" si="1"/>
        <v>0.33160000000000012</v>
      </c>
      <c r="L29" s="9">
        <f t="shared" si="2"/>
        <v>271.17380794685556</v>
      </c>
      <c r="M29" s="9">
        <f t="shared" si="3"/>
        <v>154.64598603051013</v>
      </c>
      <c r="N29" s="9">
        <f t="shared" si="4"/>
        <v>242.61103580435002</v>
      </c>
      <c r="O29" s="9">
        <f t="shared" si="5"/>
        <v>356.03119182953947</v>
      </c>
      <c r="Q29" s="8">
        <f t="shared" si="6"/>
        <v>0.67103448748168049</v>
      </c>
      <c r="R29" s="8">
        <f t="shared" si="7"/>
        <v>0.65954065886663804</v>
      </c>
      <c r="S29" s="8">
        <f t="shared" si="8"/>
        <v>0.68689428881442638</v>
      </c>
      <c r="U29" s="8">
        <f t="shared" si="9"/>
        <v>6.9405242911318051E-6</v>
      </c>
      <c r="V29" s="8">
        <f t="shared" si="10"/>
        <v>7.8487925317277088E-5</v>
      </c>
      <c r="W29" s="8">
        <f t="shared" si="11"/>
        <v>3.4203871875142103E-4</v>
      </c>
      <c r="Y29" s="19">
        <f t="shared" si="12"/>
        <v>312.70362405380786</v>
      </c>
      <c r="Z29" s="36">
        <f t="shared" si="13"/>
        <v>0.66839999999999988</v>
      </c>
      <c r="AA29" s="18">
        <f t="shared" si="14"/>
        <v>0.67103448748168049</v>
      </c>
      <c r="AC29" s="46">
        <f t="shared" si="15"/>
        <v>2.634487481680603E-3</v>
      </c>
    </row>
    <row r="30" spans="2:29" ht="16" thickBot="1" x14ac:dyDescent="0.25">
      <c r="B30" s="4">
        <v>25</v>
      </c>
      <c r="C30" s="10">
        <v>577.9801738283345</v>
      </c>
      <c r="D30" s="42"/>
      <c r="E30" s="6">
        <v>0</v>
      </c>
      <c r="F30" s="6">
        <v>4</v>
      </c>
      <c r="G30" s="12">
        <f t="shared" si="17"/>
        <v>414.89189731516421</v>
      </c>
      <c r="H30" s="6">
        <v>1677</v>
      </c>
      <c r="I30" s="14">
        <f t="shared" si="0"/>
        <v>0.16769999999999999</v>
      </c>
      <c r="J30" s="35">
        <f t="shared" si="16"/>
        <v>0.83609999999999984</v>
      </c>
      <c r="K30" s="14">
        <f t="shared" si="1"/>
        <v>0.16390000000000016</v>
      </c>
      <c r="L30" s="9">
        <f t="shared" si="2"/>
        <v>271.17380794685556</v>
      </c>
      <c r="M30" s="9">
        <f t="shared" si="3"/>
        <v>154.64598603051013</v>
      </c>
      <c r="N30" s="9">
        <f t="shared" si="4"/>
        <v>242.61103580435002</v>
      </c>
      <c r="O30" s="9">
        <f t="shared" si="5"/>
        <v>356.03119182953947</v>
      </c>
      <c r="Q30" s="8">
        <f t="shared" si="6"/>
        <v>0.83494553881047717</v>
      </c>
      <c r="R30" s="8">
        <f t="shared" si="7"/>
        <v>0.83666323706916157</v>
      </c>
      <c r="S30" s="8">
        <f t="shared" si="8"/>
        <v>0.83436309993107027</v>
      </c>
      <c r="U30" s="8">
        <f t="shared" si="9"/>
        <v>1.3327806381141002E-6</v>
      </c>
      <c r="V30" s="8">
        <f t="shared" si="10"/>
        <v>3.1723599607789107E-7</v>
      </c>
      <c r="W30" s="8">
        <f t="shared" si="11"/>
        <v>3.0168218494475447E-6</v>
      </c>
      <c r="Y30" s="19">
        <f t="shared" si="12"/>
        <v>414.89189731516421</v>
      </c>
      <c r="Z30" s="36">
        <f t="shared" si="13"/>
        <v>0.83609999999999984</v>
      </c>
      <c r="AA30" s="18">
        <f t="shared" si="14"/>
        <v>0.83494553881047717</v>
      </c>
      <c r="AC30" s="46">
        <f t="shared" si="15"/>
        <v>1.1544611895226708E-3</v>
      </c>
    </row>
    <row r="31" spans="2:29" ht="16" thickBot="1" x14ac:dyDescent="0.25">
      <c r="B31" s="5">
        <v>26</v>
      </c>
      <c r="C31" s="11">
        <v>81.399095981979158</v>
      </c>
      <c r="D31" s="42"/>
      <c r="E31" s="7">
        <v>0</v>
      </c>
      <c r="F31" s="7">
        <v>5</v>
      </c>
      <c r="G31" s="12">
        <f t="shared" si="17"/>
        <v>517.08017057652057</v>
      </c>
      <c r="H31" s="7">
        <v>888</v>
      </c>
      <c r="I31" s="14">
        <f t="shared" si="0"/>
        <v>8.8800000000000004E-2</v>
      </c>
      <c r="J31" s="35">
        <f t="shared" si="16"/>
        <v>0.92489999999999983</v>
      </c>
      <c r="K31" s="14">
        <f t="shared" si="1"/>
        <v>7.5100000000000167E-2</v>
      </c>
      <c r="L31" s="9">
        <f t="shared" si="2"/>
        <v>271.17380794685556</v>
      </c>
      <c r="M31" s="9">
        <f t="shared" si="3"/>
        <v>154.64598603051013</v>
      </c>
      <c r="N31" s="9">
        <f t="shared" si="4"/>
        <v>242.61103580435002</v>
      </c>
      <c r="O31" s="9">
        <f t="shared" si="5"/>
        <v>356.03119182953947</v>
      </c>
      <c r="Q31" s="8">
        <f t="shared" si="6"/>
        <v>0.92307612023504904</v>
      </c>
      <c r="R31" s="8">
        <f t="shared" si="7"/>
        <v>0.9338591275951279</v>
      </c>
      <c r="S31" s="8">
        <f t="shared" si="8"/>
        <v>0.91130068079322579</v>
      </c>
      <c r="U31" s="8">
        <f t="shared" si="9"/>
        <v>3.3265373969969768E-6</v>
      </c>
      <c r="V31" s="8">
        <f t="shared" si="10"/>
        <v>8.0265967265785254E-5</v>
      </c>
      <c r="W31" s="8">
        <f t="shared" si="11"/>
        <v>1.8494148288773334E-4</v>
      </c>
      <c r="Y31" s="19">
        <f t="shared" si="12"/>
        <v>517.08017057652057</v>
      </c>
      <c r="Z31" s="36">
        <f t="shared" si="13"/>
        <v>0.92489999999999983</v>
      </c>
      <c r="AA31" s="18">
        <f t="shared" si="14"/>
        <v>0.92307612023504904</v>
      </c>
      <c r="AC31" s="46">
        <f t="shared" si="15"/>
        <v>1.8238797649507976E-3</v>
      </c>
    </row>
    <row r="32" spans="2:29" ht="16" thickBot="1" x14ac:dyDescent="0.25">
      <c r="B32" s="4">
        <v>27</v>
      </c>
      <c r="C32" s="10">
        <v>177.95563280905651</v>
      </c>
      <c r="D32" s="42"/>
      <c r="E32" s="6">
        <v>0</v>
      </c>
      <c r="F32" s="6">
        <v>6</v>
      </c>
      <c r="G32" s="12">
        <f t="shared" si="17"/>
        <v>619.26844383787693</v>
      </c>
      <c r="H32" s="6">
        <v>427</v>
      </c>
      <c r="I32" s="14">
        <f t="shared" si="0"/>
        <v>4.2700000000000002E-2</v>
      </c>
      <c r="J32" s="35">
        <f t="shared" si="16"/>
        <v>0.96759999999999979</v>
      </c>
      <c r="K32" s="14">
        <f t="shared" si="1"/>
        <v>3.2400000000000206E-2</v>
      </c>
      <c r="L32" s="9">
        <f t="shared" si="2"/>
        <v>271.17380794685556</v>
      </c>
      <c r="M32" s="9">
        <f t="shared" si="3"/>
        <v>154.64598603051013</v>
      </c>
      <c r="N32" s="9">
        <f t="shared" si="4"/>
        <v>242.61103580435002</v>
      </c>
      <c r="O32" s="9">
        <f t="shared" si="5"/>
        <v>356.03119182953947</v>
      </c>
      <c r="Q32" s="8">
        <f t="shared" si="6"/>
        <v>0.96597811762625163</v>
      </c>
      <c r="R32" s="8">
        <f t="shared" si="7"/>
        <v>0.97725826023616513</v>
      </c>
      <c r="S32" s="8">
        <f t="shared" si="8"/>
        <v>0.95132153000432818</v>
      </c>
      <c r="U32" s="8">
        <f t="shared" si="9"/>
        <v>2.6305024342749742E-6</v>
      </c>
      <c r="V32" s="8">
        <f t="shared" si="10"/>
        <v>9.3281990789492554E-5</v>
      </c>
      <c r="W32" s="8">
        <f t="shared" si="11"/>
        <v>2.6498858539998111E-4</v>
      </c>
      <c r="Y32" s="19">
        <f t="shared" si="12"/>
        <v>619.26844383787693</v>
      </c>
      <c r="Z32" s="36">
        <f t="shared" si="13"/>
        <v>0.96759999999999979</v>
      </c>
      <c r="AA32" s="18">
        <f t="shared" si="14"/>
        <v>0.96597811762625163</v>
      </c>
      <c r="AC32" s="46">
        <f t="shared" si="15"/>
        <v>1.6218823737481625E-3</v>
      </c>
    </row>
    <row r="33" spans="2:32" ht="16" thickBot="1" x14ac:dyDescent="0.25">
      <c r="B33" s="5">
        <v>28</v>
      </c>
      <c r="C33" s="11">
        <v>175.99777596104508</v>
      </c>
      <c r="D33" s="42"/>
      <c r="E33" s="7">
        <v>1</v>
      </c>
      <c r="F33" s="7">
        <v>7</v>
      </c>
      <c r="G33" s="12">
        <f t="shared" si="17"/>
        <v>721.45671709923329</v>
      </c>
      <c r="H33" s="7">
        <v>195</v>
      </c>
      <c r="I33" s="14">
        <f t="shared" si="0"/>
        <v>1.95E-2</v>
      </c>
      <c r="J33" s="35">
        <f t="shared" si="16"/>
        <v>0.98709999999999976</v>
      </c>
      <c r="K33" s="14">
        <f t="shared" si="1"/>
        <v>1.2900000000000245E-2</v>
      </c>
      <c r="L33" s="9">
        <f t="shared" si="2"/>
        <v>271.17380794685556</v>
      </c>
      <c r="M33" s="9">
        <f t="shared" si="3"/>
        <v>154.64598603051013</v>
      </c>
      <c r="N33" s="9">
        <f t="shared" si="4"/>
        <v>242.61103580435002</v>
      </c>
      <c r="O33" s="9">
        <f t="shared" si="5"/>
        <v>356.03119182953947</v>
      </c>
      <c r="Q33" s="8">
        <f t="shared" si="6"/>
        <v>0.98552747783049055</v>
      </c>
      <c r="R33" s="8">
        <f t="shared" si="7"/>
        <v>0.99332885978538865</v>
      </c>
      <c r="S33" s="8">
        <f t="shared" si="8"/>
        <v>0.9725393535293162</v>
      </c>
      <c r="U33" s="8">
        <f t="shared" si="9"/>
        <v>2.472825973597937E-6</v>
      </c>
      <c r="V33" s="8">
        <f t="shared" si="10"/>
        <v>3.8798694226035006E-5</v>
      </c>
      <c r="W33" s="8">
        <f t="shared" si="11"/>
        <v>2.1201242564422955E-4</v>
      </c>
      <c r="Y33" s="19">
        <f t="shared" si="12"/>
        <v>721.45671709923329</v>
      </c>
      <c r="Z33" s="36">
        <f t="shared" si="13"/>
        <v>0.98709999999999976</v>
      </c>
      <c r="AA33" s="18">
        <f t="shared" si="14"/>
        <v>0.98552747783049055</v>
      </c>
      <c r="AC33" s="46">
        <f t="shared" si="15"/>
        <v>1.5725221695092051E-3</v>
      </c>
    </row>
    <row r="34" spans="2:32" ht="16" thickBot="1" x14ac:dyDescent="0.25">
      <c r="B34" s="4">
        <v>29</v>
      </c>
      <c r="C34" s="10">
        <v>150.99647078876163</v>
      </c>
      <c r="D34" s="42"/>
      <c r="E34" s="6">
        <v>1</v>
      </c>
      <c r="F34" s="6">
        <v>8</v>
      </c>
      <c r="G34" s="12">
        <f t="shared" si="17"/>
        <v>823.64499036058965</v>
      </c>
      <c r="H34" s="6">
        <v>76</v>
      </c>
      <c r="I34" s="14">
        <f t="shared" si="0"/>
        <v>7.6E-3</v>
      </c>
      <c r="J34" s="35">
        <f t="shared" si="16"/>
        <v>0.99469999999999981</v>
      </c>
      <c r="K34" s="14">
        <f t="shared" si="1"/>
        <v>5.3000000000001934E-3</v>
      </c>
      <c r="L34" s="9">
        <f t="shared" si="2"/>
        <v>271.17380794685556</v>
      </c>
      <c r="M34" s="9">
        <f t="shared" si="3"/>
        <v>154.64598603051013</v>
      </c>
      <c r="N34" s="9">
        <f t="shared" si="4"/>
        <v>242.61103580435002</v>
      </c>
      <c r="O34" s="9">
        <f t="shared" si="5"/>
        <v>356.03119182953947</v>
      </c>
      <c r="Q34" s="8">
        <f t="shared" si="6"/>
        <v>0.99402575153288719</v>
      </c>
      <c r="R34" s="8">
        <f t="shared" si="7"/>
        <v>0.99832393948251685</v>
      </c>
      <c r="S34" s="8">
        <f t="shared" si="8"/>
        <v>0.98408216717994479</v>
      </c>
      <c r="U34" s="8">
        <f t="shared" si="9"/>
        <v>4.5461099540371075E-7</v>
      </c>
      <c r="V34" s="8">
        <f t="shared" si="10"/>
        <v>1.313293737294592E-5</v>
      </c>
      <c r="W34" s="8">
        <f t="shared" si="11"/>
        <v>1.1273837379463749E-4</v>
      </c>
      <c r="Y34" s="19">
        <f t="shared" si="12"/>
        <v>823.64499036058965</v>
      </c>
      <c r="Z34" s="36">
        <f t="shared" si="13"/>
        <v>0.99469999999999981</v>
      </c>
      <c r="AA34" s="18">
        <f t="shared" si="14"/>
        <v>0.99402575153288719</v>
      </c>
      <c r="AC34" s="46">
        <f t="shared" si="15"/>
        <v>6.7424846711261477E-4</v>
      </c>
    </row>
    <row r="35" spans="2:32" ht="16" thickBot="1" x14ac:dyDescent="0.25">
      <c r="B35" s="5">
        <v>30</v>
      </c>
      <c r="C35" s="11">
        <v>97.403650178759975</v>
      </c>
      <c r="D35" s="42"/>
      <c r="E35" s="7">
        <v>1</v>
      </c>
      <c r="F35" s="7">
        <v>9</v>
      </c>
      <c r="G35" s="12">
        <f t="shared" si="17"/>
        <v>925.833263621946</v>
      </c>
      <c r="H35" s="7">
        <v>31</v>
      </c>
      <c r="I35" s="14">
        <f t="shared" si="0"/>
        <v>3.0999999999999999E-3</v>
      </c>
      <c r="J35" s="35">
        <f t="shared" si="16"/>
        <v>0.9977999999999998</v>
      </c>
      <c r="K35" s="14">
        <f t="shared" si="1"/>
        <v>2.2000000000002018E-3</v>
      </c>
      <c r="L35" s="9">
        <f t="shared" si="2"/>
        <v>271.17380794685556</v>
      </c>
      <c r="M35" s="9">
        <f t="shared" si="3"/>
        <v>154.64598603051013</v>
      </c>
      <c r="N35" s="9">
        <f t="shared" si="4"/>
        <v>242.61103580435002</v>
      </c>
      <c r="O35" s="9">
        <f t="shared" si="5"/>
        <v>356.03119182953947</v>
      </c>
      <c r="Q35" s="8">
        <f t="shared" si="6"/>
        <v>0.99759197027190627</v>
      </c>
      <c r="R35" s="8">
        <f t="shared" si="7"/>
        <v>0.99963815410780865</v>
      </c>
      <c r="S35" s="8">
        <f t="shared" si="8"/>
        <v>0.99053376721564024</v>
      </c>
      <c r="U35" s="8">
        <f t="shared" si="9"/>
        <v>4.3276367770667346E-8</v>
      </c>
      <c r="V35" s="8">
        <f t="shared" si="10"/>
        <v>3.3788105240545631E-6</v>
      </c>
      <c r="W35" s="8">
        <f t="shared" si="11"/>
        <v>5.2798138876501694E-5</v>
      </c>
      <c r="Y35" s="19">
        <f t="shared" si="12"/>
        <v>925.833263621946</v>
      </c>
      <c r="Z35" s="36">
        <f t="shared" si="13"/>
        <v>0.9977999999999998</v>
      </c>
      <c r="AA35" s="18">
        <f t="shared" si="14"/>
        <v>0.99759197027190627</v>
      </c>
      <c r="AC35" s="46">
        <f t="shared" si="15"/>
        <v>2.0802972809352838E-4</v>
      </c>
    </row>
    <row r="36" spans="2:32" ht="16" thickBot="1" x14ac:dyDescent="0.25">
      <c r="B36" s="4">
        <v>31</v>
      </c>
      <c r="C36" s="10">
        <v>403.99776470758763</v>
      </c>
      <c r="D36" s="42"/>
      <c r="E36" s="6">
        <v>1</v>
      </c>
      <c r="F36" s="6">
        <v>10</v>
      </c>
      <c r="G36" s="12">
        <f t="shared" si="17"/>
        <v>1028.0215368833024</v>
      </c>
      <c r="H36" s="6">
        <v>15</v>
      </c>
      <c r="I36" s="14">
        <f t="shared" si="0"/>
        <v>1.5E-3</v>
      </c>
      <c r="J36" s="35">
        <f t="shared" si="16"/>
        <v>0.99929999999999974</v>
      </c>
      <c r="K36" s="14">
        <f t="shared" si="1"/>
        <v>7.0000000000025597E-4</v>
      </c>
      <c r="L36" s="9">
        <f t="shared" si="2"/>
        <v>271.17380794685556</v>
      </c>
      <c r="M36" s="9">
        <f t="shared" si="3"/>
        <v>154.64598603051013</v>
      </c>
      <c r="N36" s="9">
        <f t="shared" si="4"/>
        <v>242.61103580435002</v>
      </c>
      <c r="O36" s="9">
        <f t="shared" si="5"/>
        <v>356.03119182953947</v>
      </c>
      <c r="Q36" s="8">
        <f t="shared" si="6"/>
        <v>0.99904803859290636</v>
      </c>
      <c r="R36" s="8">
        <f t="shared" si="7"/>
        <v>0.99993268076702091</v>
      </c>
      <c r="S36" s="8">
        <f t="shared" si="8"/>
        <v>0.99423557194078149</v>
      </c>
      <c r="U36" s="8">
        <f t="shared" si="9"/>
        <v>6.3484550664476857E-8</v>
      </c>
      <c r="V36" s="8">
        <f t="shared" si="10"/>
        <v>4.0028495295849015E-7</v>
      </c>
      <c r="W36" s="8">
        <f t="shared" si="11"/>
        <v>2.5648431566997141E-5</v>
      </c>
      <c r="Y36" s="19">
        <f t="shared" si="12"/>
        <v>1028.0215368833024</v>
      </c>
      <c r="Z36" s="36">
        <f t="shared" si="13"/>
        <v>0.99929999999999974</v>
      </c>
      <c r="AA36" s="18">
        <f t="shared" si="14"/>
        <v>0.99904803859290636</v>
      </c>
      <c r="AC36" s="46">
        <f t="shared" si="15"/>
        <v>2.5196140709338177E-4</v>
      </c>
    </row>
    <row r="37" spans="2:32" ht="16" thickBot="1" x14ac:dyDescent="0.25">
      <c r="B37" s="5">
        <v>32</v>
      </c>
      <c r="C37" s="11">
        <v>239.52153535462026</v>
      </c>
      <c r="D37" s="42"/>
      <c r="E37" s="7">
        <v>1</v>
      </c>
      <c r="F37" s="7">
        <v>11</v>
      </c>
      <c r="G37" s="12">
        <f t="shared" si="17"/>
        <v>1130.2098101446586</v>
      </c>
      <c r="H37" s="7">
        <v>6</v>
      </c>
      <c r="I37" s="14">
        <f t="shared" si="0"/>
        <v>5.9999999999999995E-4</v>
      </c>
      <c r="J37" s="35">
        <f t="shared" si="16"/>
        <v>0.99989999999999979</v>
      </c>
      <c r="K37" s="14">
        <f t="shared" si="1"/>
        <v>1.0000000000021103E-4</v>
      </c>
      <c r="L37" s="9">
        <f t="shared" si="2"/>
        <v>271.17380794685556</v>
      </c>
      <c r="M37" s="9">
        <f t="shared" si="3"/>
        <v>154.64598603051013</v>
      </c>
      <c r="N37" s="9">
        <f t="shared" si="4"/>
        <v>242.61103580435002</v>
      </c>
      <c r="O37" s="9">
        <f t="shared" si="5"/>
        <v>356.03119182953947</v>
      </c>
      <c r="Q37" s="8">
        <f t="shared" si="6"/>
        <v>0.9996296604458601</v>
      </c>
      <c r="R37" s="8">
        <f t="shared" si="7"/>
        <v>0.99998918009379767</v>
      </c>
      <c r="S37" s="8">
        <f t="shared" si="8"/>
        <v>0.9964126056492949</v>
      </c>
      <c r="U37" s="8">
        <f t="shared" si="9"/>
        <v>7.3083474532444704E-8</v>
      </c>
      <c r="V37" s="8">
        <f t="shared" si="10"/>
        <v>7.9530891297987436E-9</v>
      </c>
      <c r="W37" s="8">
        <f t="shared" si="11"/>
        <v>1.2161919357328357E-5</v>
      </c>
      <c r="Y37" s="19">
        <f t="shared" si="12"/>
        <v>1130.2098101446586</v>
      </c>
      <c r="Z37" s="36">
        <f t="shared" si="13"/>
        <v>0.99989999999999979</v>
      </c>
      <c r="AA37" s="18">
        <f t="shared" si="14"/>
        <v>0.9996296604458601</v>
      </c>
      <c r="AC37" s="46">
        <f t="shared" si="15"/>
        <v>2.7033955413968691E-4</v>
      </c>
    </row>
    <row r="38" spans="2:32" ht="16" thickBot="1" x14ac:dyDescent="0.25">
      <c r="B38" s="4">
        <v>33</v>
      </c>
      <c r="C38" s="10">
        <v>166.80216740201161</v>
      </c>
      <c r="D38" s="42"/>
      <c r="E38" s="6">
        <v>1</v>
      </c>
      <c r="F38" s="6">
        <v>12</v>
      </c>
      <c r="G38" s="12">
        <f t="shared" si="17"/>
        <v>1232.3980834060148</v>
      </c>
      <c r="H38" s="6">
        <v>0</v>
      </c>
      <c r="I38" s="14">
        <f t="shared" si="0"/>
        <v>0</v>
      </c>
      <c r="J38" s="35">
        <f t="shared" si="16"/>
        <v>0.99989999999999979</v>
      </c>
      <c r="K38" s="14">
        <f t="shared" si="1"/>
        <v>1.0000000000021103E-4</v>
      </c>
      <c r="L38" s="9">
        <f t="shared" si="2"/>
        <v>271.17380794685556</v>
      </c>
      <c r="M38" s="9">
        <f t="shared" si="3"/>
        <v>154.64598603051013</v>
      </c>
      <c r="N38" s="9">
        <f t="shared" si="4"/>
        <v>242.61103580435002</v>
      </c>
      <c r="O38" s="9">
        <f t="shared" si="5"/>
        <v>356.03119182953947</v>
      </c>
      <c r="Q38" s="8">
        <f t="shared" si="6"/>
        <v>0.99985786277191036</v>
      </c>
      <c r="R38" s="8">
        <f t="shared" si="7"/>
        <v>0.99999849427852938</v>
      </c>
      <c r="S38" s="8">
        <f t="shared" si="8"/>
        <v>0.99772252338309197</v>
      </c>
      <c r="U38" s="8">
        <f t="shared" si="9"/>
        <v>1.7755459910609752E-9</v>
      </c>
      <c r="V38" s="8">
        <f t="shared" si="10"/>
        <v>9.7011229030650067E-9</v>
      </c>
      <c r="W38" s="8">
        <f t="shared" si="11"/>
        <v>4.7414044171802997E-6</v>
      </c>
      <c r="Y38" s="19">
        <f t="shared" si="12"/>
        <v>1232.3980834060148</v>
      </c>
      <c r="Z38" s="36">
        <f t="shared" si="13"/>
        <v>0.99989999999999979</v>
      </c>
      <c r="AA38" s="18">
        <f t="shared" si="14"/>
        <v>0.99985786277191036</v>
      </c>
      <c r="AC38" s="46">
        <f t="shared" si="15"/>
        <v>4.2137228089433876E-5</v>
      </c>
    </row>
    <row r="39" spans="2:32" ht="16" thickBot="1" x14ac:dyDescent="0.25">
      <c r="B39" s="5">
        <v>34</v>
      </c>
      <c r="C39" s="11">
        <v>158.80024171499412</v>
      </c>
      <c r="D39" s="42"/>
      <c r="E39" s="7">
        <v>1</v>
      </c>
      <c r="F39" s="7">
        <v>13</v>
      </c>
      <c r="G39" s="12">
        <f t="shared" si="17"/>
        <v>1334.5863566673711</v>
      </c>
      <c r="H39" s="7">
        <v>0</v>
      </c>
      <c r="I39" s="14">
        <f t="shared" si="0"/>
        <v>0</v>
      </c>
      <c r="J39" s="35">
        <f t="shared" si="16"/>
        <v>0.99989999999999979</v>
      </c>
      <c r="K39" s="14">
        <f t="shared" si="1"/>
        <v>1.0000000000021103E-4</v>
      </c>
      <c r="L39" s="9">
        <f t="shared" si="2"/>
        <v>271.17380794685556</v>
      </c>
      <c r="M39" s="9">
        <f t="shared" si="3"/>
        <v>154.64598603051013</v>
      </c>
      <c r="N39" s="9">
        <f t="shared" si="4"/>
        <v>242.61103580435002</v>
      </c>
      <c r="O39" s="9">
        <f t="shared" si="5"/>
        <v>356.03119182953947</v>
      </c>
      <c r="Q39" s="8">
        <f t="shared" si="6"/>
        <v>0.99994607321132989</v>
      </c>
      <c r="R39" s="8">
        <f t="shared" si="7"/>
        <v>0.99999981820849004</v>
      </c>
      <c r="S39" s="8">
        <f t="shared" si="8"/>
        <v>0.99852748995572516</v>
      </c>
      <c r="U39" s="8">
        <f t="shared" si="9"/>
        <v>2.1227408022680452E-9</v>
      </c>
      <c r="V39" s="8">
        <f t="shared" si="10"/>
        <v>9.9636747462038867E-9</v>
      </c>
      <c r="W39" s="8">
        <f t="shared" si="11"/>
        <v>1.883783821634755E-6</v>
      </c>
      <c r="Y39" s="19">
        <f t="shared" si="12"/>
        <v>1334.5863566673711</v>
      </c>
      <c r="Z39" s="36">
        <f t="shared" si="13"/>
        <v>0.99989999999999979</v>
      </c>
      <c r="AA39" s="18">
        <f t="shared" si="14"/>
        <v>0.99994607321132989</v>
      </c>
      <c r="AC39" s="46">
        <f t="shared" si="15"/>
        <v>4.6073211330099895E-5</v>
      </c>
    </row>
    <row r="40" spans="2:32" ht="16" thickBot="1" x14ac:dyDescent="0.25">
      <c r="B40" s="4">
        <v>35</v>
      </c>
      <c r="C40" s="10">
        <v>183.27187234960405</v>
      </c>
      <c r="D40" s="42"/>
      <c r="E40" s="6">
        <v>1</v>
      </c>
      <c r="F40" s="6">
        <v>14</v>
      </c>
      <c r="G40" s="12">
        <f t="shared" si="17"/>
        <v>1436.7746299287273</v>
      </c>
      <c r="H40" s="6">
        <v>1</v>
      </c>
      <c r="I40" s="14">
        <f t="shared" si="0"/>
        <v>1E-4</v>
      </c>
      <c r="J40" s="35">
        <f t="shared" si="16"/>
        <v>0.99999999999999978</v>
      </c>
      <c r="K40" s="14">
        <f t="shared" si="1"/>
        <v>0</v>
      </c>
      <c r="L40" s="9">
        <f t="shared" si="2"/>
        <v>271.17380794685556</v>
      </c>
      <c r="M40" s="9">
        <f t="shared" si="3"/>
        <v>154.64598603051013</v>
      </c>
      <c r="N40" s="9">
        <f t="shared" si="4"/>
        <v>242.61103580435002</v>
      </c>
      <c r="O40" s="9">
        <f t="shared" si="5"/>
        <v>356.03119182953947</v>
      </c>
      <c r="Q40" s="8">
        <f t="shared" si="6"/>
        <v>0.99997974295680236</v>
      </c>
      <c r="R40" s="8">
        <f t="shared" si="7"/>
        <v>0.99999998092339726</v>
      </c>
      <c r="S40" s="8">
        <f t="shared" si="8"/>
        <v>0.99903185046118625</v>
      </c>
      <c r="U40" s="8">
        <f t="shared" si="9"/>
        <v>4.1034779910188126E-10</v>
      </c>
      <c r="V40" s="8">
        <f t="shared" si="10"/>
        <v>3.6391676370126634E-16</v>
      </c>
      <c r="W40" s="8">
        <f t="shared" si="11"/>
        <v>9.3731352950483742E-7</v>
      </c>
      <c r="Y40" s="19">
        <f t="shared" si="12"/>
        <v>1436.7746299287273</v>
      </c>
      <c r="Z40" s="36">
        <f t="shared" si="13"/>
        <v>0.99999999999999978</v>
      </c>
      <c r="AA40" s="18">
        <f t="shared" si="14"/>
        <v>0.99997974295680236</v>
      </c>
      <c r="AC40" s="46">
        <f t="shared" si="15"/>
        <v>2.0257043197413616E-5</v>
      </c>
    </row>
    <row r="41" spans="2:32" ht="16" thickBot="1" x14ac:dyDescent="0.25">
      <c r="B41" s="5">
        <v>36</v>
      </c>
      <c r="C41" s="11">
        <v>62.276224444991499</v>
      </c>
      <c r="D41" s="42"/>
      <c r="E41" s="7"/>
      <c r="F41" s="7"/>
      <c r="G41" s="12"/>
      <c r="H41" s="5">
        <f>+SUM(H26:H40)</f>
        <v>10000</v>
      </c>
      <c r="I41" s="15"/>
      <c r="J41" s="15"/>
      <c r="K41" s="15"/>
      <c r="L41" s="12"/>
      <c r="M41" s="12"/>
      <c r="N41" s="12"/>
      <c r="O41" s="12"/>
      <c r="Q41" s="8"/>
      <c r="R41" s="8"/>
      <c r="S41" s="8"/>
      <c r="U41" s="8"/>
      <c r="V41" s="8"/>
      <c r="W41" s="8"/>
    </row>
    <row r="42" spans="2:32" ht="16" thickBot="1" x14ac:dyDescent="0.25">
      <c r="B42" s="4">
        <v>37</v>
      </c>
      <c r="C42" s="10">
        <v>299.50721289086101</v>
      </c>
      <c r="D42" s="42"/>
      <c r="E42" s="6"/>
      <c r="F42" s="6"/>
      <c r="G42" s="9"/>
      <c r="H42" s="6"/>
      <c r="I42" s="14"/>
      <c r="J42" s="14"/>
      <c r="K42" s="14"/>
      <c r="L42" s="9"/>
      <c r="M42" s="9"/>
      <c r="N42" s="9"/>
      <c r="O42" s="9"/>
      <c r="Q42" s="8"/>
      <c r="R42" s="8"/>
      <c r="S42" s="8" t="s">
        <v>46</v>
      </c>
      <c r="U42" s="53">
        <f>SUM(U26:U40)</f>
        <v>2.801204453106406E-5</v>
      </c>
      <c r="V42" s="53">
        <f t="shared" ref="V42:W42" si="18">SUM(V26:V40)</f>
        <v>6.3277206950740816E-4</v>
      </c>
      <c r="W42" s="53">
        <f t="shared" si="18"/>
        <v>2.4913971824330663E-3</v>
      </c>
      <c r="AB42" s="37" t="s">
        <v>51</v>
      </c>
      <c r="AC42" s="38">
        <f>MAX(AC26:AC40)</f>
        <v>3.0694453784116532E-3</v>
      </c>
      <c r="AD42" s="1" t="s">
        <v>24</v>
      </c>
      <c r="AE42" s="69" t="s">
        <v>80</v>
      </c>
      <c r="AF42" s="69"/>
    </row>
    <row r="43" spans="2:32" ht="16" thickBot="1" x14ac:dyDescent="0.25">
      <c r="B43" s="5">
        <v>38</v>
      </c>
      <c r="C43" s="11">
        <v>513.06493091485606</v>
      </c>
      <c r="D43" s="42"/>
      <c r="E43" s="6"/>
      <c r="F43" s="6"/>
      <c r="G43" s="9"/>
      <c r="H43" s="6"/>
      <c r="I43" s="14"/>
      <c r="J43" s="14"/>
      <c r="K43" s="14"/>
      <c r="L43" s="9"/>
      <c r="M43" s="9"/>
      <c r="N43" s="9"/>
      <c r="O43" s="9"/>
      <c r="Q43" s="8"/>
      <c r="R43" s="8"/>
      <c r="S43" s="8" t="s">
        <v>79</v>
      </c>
      <c r="U43" s="8">
        <f>MIN(U42:W42)</f>
        <v>2.801204453106406E-5</v>
      </c>
      <c r="V43" s="8"/>
      <c r="W43" s="8"/>
      <c r="AB43" s="41" t="s">
        <v>54</v>
      </c>
      <c r="AC43" s="40">
        <f>1.36/SQRT(10000)</f>
        <v>1.3600000000000001E-2</v>
      </c>
    </row>
    <row r="44" spans="2:32" ht="15.75" customHeight="1" thickBot="1" x14ac:dyDescent="0.25">
      <c r="B44" s="4">
        <v>39</v>
      </c>
      <c r="C44" s="10">
        <v>884.06809681130301</v>
      </c>
      <c r="D44" s="42"/>
      <c r="E44" s="6"/>
      <c r="F44" s="6"/>
      <c r="G44" s="9"/>
      <c r="H44" s="6"/>
      <c r="I44" s="14"/>
      <c r="J44" s="14"/>
      <c r="K44" s="66"/>
      <c r="L44" s="66"/>
      <c r="M44" s="9"/>
      <c r="N44" s="9"/>
      <c r="O44" s="9"/>
      <c r="Q44" s="8"/>
      <c r="R44" s="8"/>
      <c r="S44" s="8"/>
      <c r="U44" s="8"/>
      <c r="V44" s="8"/>
      <c r="W44" s="8"/>
      <c r="AB44" s="68" t="s">
        <v>81</v>
      </c>
      <c r="AC44" s="68"/>
      <c r="AD44" s="68"/>
      <c r="AE44" s="68"/>
      <c r="AF44" s="68"/>
    </row>
    <row r="45" spans="2:32" ht="16" thickBot="1" x14ac:dyDescent="0.25">
      <c r="B45" s="5">
        <v>40</v>
      </c>
      <c r="C45" s="11">
        <v>238.78915756741489</v>
      </c>
      <c r="D45" s="42"/>
      <c r="E45" s="6"/>
      <c r="F45" s="6"/>
      <c r="G45" s="9"/>
      <c r="H45" s="6"/>
      <c r="I45" s="14"/>
      <c r="J45" s="14"/>
      <c r="K45" s="67"/>
      <c r="L45" s="67"/>
      <c r="M45" s="9"/>
      <c r="N45" s="9"/>
      <c r="O45" s="9"/>
      <c r="Q45" s="8"/>
      <c r="R45" s="8"/>
      <c r="S45" s="8"/>
      <c r="U45" s="8"/>
      <c r="V45" s="8"/>
      <c r="W45" s="8"/>
    </row>
    <row r="46" spans="2:32" ht="16" thickBot="1" x14ac:dyDescent="0.25">
      <c r="B46" s="4">
        <v>41</v>
      </c>
      <c r="C46" s="10">
        <v>126.35940450765244</v>
      </c>
      <c r="D46" s="42"/>
      <c r="E46" s="6"/>
      <c r="F46" s="6"/>
      <c r="G46" s="9"/>
      <c r="H46" s="6"/>
      <c r="I46" s="14"/>
      <c r="J46" s="14"/>
      <c r="K46" s="67"/>
      <c r="L46" s="67"/>
      <c r="M46" s="9"/>
      <c r="N46" s="9"/>
      <c r="O46" s="9"/>
      <c r="Q46" s="8"/>
      <c r="R46" s="8"/>
      <c r="S46" s="8"/>
      <c r="U46" s="8"/>
      <c r="V46" s="8"/>
      <c r="W46" s="8"/>
    </row>
    <row r="47" spans="2:32" ht="16" thickBot="1" x14ac:dyDescent="0.25">
      <c r="B47" s="5">
        <v>42</v>
      </c>
      <c r="C47" s="11">
        <v>441.80844023174973</v>
      </c>
      <c r="D47" s="42"/>
      <c r="K47" s="67"/>
      <c r="L47" s="67"/>
      <c r="U47" s="8"/>
      <c r="V47" s="8"/>
      <c r="W47" s="8"/>
    </row>
    <row r="48" spans="2:32" ht="16" thickBot="1" x14ac:dyDescent="0.25">
      <c r="B48" s="4">
        <v>43</v>
      </c>
      <c r="C48" s="10">
        <v>256.94008932343456</v>
      </c>
      <c r="D48" s="42"/>
      <c r="K48" s="67"/>
      <c r="L48" s="67"/>
    </row>
    <row r="49" spans="2:12" ht="16" thickBot="1" x14ac:dyDescent="0.25">
      <c r="B49" s="5">
        <v>44</v>
      </c>
      <c r="C49" s="11">
        <v>279.12418511273506</v>
      </c>
      <c r="D49" s="42"/>
      <c r="K49" s="67"/>
      <c r="L49" s="67"/>
    </row>
    <row r="50" spans="2:12" ht="16" thickBot="1" x14ac:dyDescent="0.25">
      <c r="B50" s="4">
        <v>45</v>
      </c>
      <c r="C50" s="10">
        <v>546.66907342066543</v>
      </c>
      <c r="D50" s="42"/>
      <c r="K50" s="67"/>
      <c r="L50" s="67"/>
    </row>
    <row r="51" spans="2:12" ht="16" thickBot="1" x14ac:dyDescent="0.25">
      <c r="B51" s="5">
        <v>46</v>
      </c>
      <c r="C51" s="11">
        <v>423.03550898222534</v>
      </c>
      <c r="D51" s="42"/>
      <c r="K51" s="67"/>
      <c r="L51" s="67"/>
    </row>
    <row r="52" spans="2:12" ht="16" thickBot="1" x14ac:dyDescent="0.25">
      <c r="B52" s="4">
        <v>47</v>
      </c>
      <c r="C52" s="10">
        <v>150.93124970360262</v>
      </c>
      <c r="D52" s="42"/>
    </row>
    <row r="53" spans="2:12" ht="16" thickBot="1" x14ac:dyDescent="0.25">
      <c r="B53" s="5">
        <v>48</v>
      </c>
      <c r="C53" s="11">
        <v>221.08854206582171</v>
      </c>
      <c r="D53" s="42"/>
    </row>
    <row r="54" spans="2:12" ht="16" thickBot="1" x14ac:dyDescent="0.25">
      <c r="B54" s="4">
        <v>49</v>
      </c>
      <c r="C54" s="10">
        <v>103.30783900669554</v>
      </c>
      <c r="D54" s="42"/>
    </row>
    <row r="55" spans="2:12" ht="16" thickBot="1" x14ac:dyDescent="0.25">
      <c r="B55" s="5">
        <v>50</v>
      </c>
      <c r="C55" s="11">
        <v>172.93852015898344</v>
      </c>
      <c r="D55" s="42"/>
    </row>
    <row r="56" spans="2:12" ht="16" thickBot="1" x14ac:dyDescent="0.25">
      <c r="B56" s="4">
        <v>51</v>
      </c>
      <c r="C56" s="10">
        <v>501.61390091643847</v>
      </c>
      <c r="D56" s="42"/>
    </row>
    <row r="57" spans="2:12" ht="16" thickBot="1" x14ac:dyDescent="0.25">
      <c r="B57" s="5">
        <v>52</v>
      </c>
      <c r="C57" s="11">
        <v>159.372629475813</v>
      </c>
      <c r="D57" s="42"/>
    </row>
    <row r="58" spans="2:12" ht="16" thickBot="1" x14ac:dyDescent="0.25">
      <c r="B58" s="4">
        <v>53</v>
      </c>
      <c r="C58" s="10">
        <v>605.38624762010647</v>
      </c>
      <c r="D58" s="42"/>
    </row>
    <row r="59" spans="2:12" ht="16" thickBot="1" x14ac:dyDescent="0.25">
      <c r="B59" s="5">
        <v>54</v>
      </c>
      <c r="C59" s="11">
        <v>488.71532124077095</v>
      </c>
      <c r="D59" s="42"/>
    </row>
    <row r="60" spans="2:12" ht="16" thickBot="1" x14ac:dyDescent="0.25">
      <c r="B60" s="4">
        <v>55</v>
      </c>
      <c r="C60" s="10">
        <v>416.87041870552264</v>
      </c>
      <c r="D60" s="42"/>
    </row>
    <row r="61" spans="2:12" ht="16" thickBot="1" x14ac:dyDescent="0.25">
      <c r="B61" s="5">
        <v>56</v>
      </c>
      <c r="C61" s="11">
        <v>566.2746938488043</v>
      </c>
      <c r="D61" s="42"/>
    </row>
    <row r="62" spans="2:12" ht="16" thickBot="1" x14ac:dyDescent="0.25">
      <c r="B62" s="4">
        <v>57</v>
      </c>
      <c r="C62" s="10">
        <v>175.71125896541838</v>
      </c>
      <c r="D62" s="42"/>
    </row>
    <row r="63" spans="2:12" ht="16" thickBot="1" x14ac:dyDescent="0.25">
      <c r="B63" s="5">
        <v>58</v>
      </c>
      <c r="C63" s="11">
        <v>278.08119954542803</v>
      </c>
      <c r="D63" s="42"/>
    </row>
    <row r="64" spans="2:12" ht="16" thickBot="1" x14ac:dyDescent="0.25">
      <c r="B64" s="4">
        <v>59</v>
      </c>
      <c r="C64" s="10">
        <v>58.666841636097857</v>
      </c>
      <c r="D64" s="42"/>
    </row>
    <row r="65" spans="2:4" ht="16" thickBot="1" x14ac:dyDescent="0.25">
      <c r="B65" s="5">
        <v>60</v>
      </c>
      <c r="C65" s="11">
        <v>249.74343216970308</v>
      </c>
      <c r="D65" s="42"/>
    </row>
    <row r="66" spans="2:4" ht="16" thickBot="1" x14ac:dyDescent="0.25">
      <c r="B66" s="4">
        <v>61</v>
      </c>
      <c r="C66" s="10">
        <v>132.90522383253085</v>
      </c>
      <c r="D66" s="42"/>
    </row>
    <row r="67" spans="2:4" ht="16" thickBot="1" x14ac:dyDescent="0.25">
      <c r="B67" s="5">
        <v>62</v>
      </c>
      <c r="C67" s="11">
        <v>100.22893295213059</v>
      </c>
      <c r="D67" s="42"/>
    </row>
    <row r="68" spans="2:4" ht="16" thickBot="1" x14ac:dyDescent="0.25">
      <c r="B68" s="4">
        <v>63</v>
      </c>
      <c r="C68" s="10">
        <v>530.18627685095009</v>
      </c>
      <c r="D68" s="42"/>
    </row>
    <row r="69" spans="2:4" ht="16" thickBot="1" x14ac:dyDescent="0.25">
      <c r="B69" s="5">
        <v>64</v>
      </c>
      <c r="C69" s="11">
        <v>150.02507727576557</v>
      </c>
      <c r="D69" s="42"/>
    </row>
    <row r="70" spans="2:4" ht="16" thickBot="1" x14ac:dyDescent="0.25">
      <c r="B70" s="4">
        <v>65</v>
      </c>
      <c r="C70" s="10">
        <v>170.01920242575369</v>
      </c>
      <c r="D70" s="42"/>
    </row>
    <row r="71" spans="2:4" ht="16" thickBot="1" x14ac:dyDescent="0.25">
      <c r="B71" s="5">
        <v>66</v>
      </c>
      <c r="C71" s="11">
        <v>678.95223139103769</v>
      </c>
      <c r="D71" s="42"/>
    </row>
    <row r="72" spans="2:4" ht="16" thickBot="1" x14ac:dyDescent="0.25">
      <c r="B72" s="4">
        <v>67</v>
      </c>
      <c r="C72" s="10">
        <v>410.88408763671845</v>
      </c>
      <c r="D72" s="42"/>
    </row>
    <row r="73" spans="2:4" ht="16" thickBot="1" x14ac:dyDescent="0.25">
      <c r="B73" s="5">
        <v>68</v>
      </c>
      <c r="C73" s="11">
        <v>488.67619932527157</v>
      </c>
      <c r="D73" s="42"/>
    </row>
    <row r="74" spans="2:4" ht="16" thickBot="1" x14ac:dyDescent="0.25">
      <c r="B74" s="4">
        <v>69</v>
      </c>
      <c r="C74" s="10">
        <v>183.78968487431675</v>
      </c>
      <c r="D74" s="42"/>
    </row>
    <row r="75" spans="2:4" ht="16" thickBot="1" x14ac:dyDescent="0.25">
      <c r="B75" s="5">
        <v>70</v>
      </c>
      <c r="C75" s="11">
        <v>90.026194949563944</v>
      </c>
      <c r="D75" s="42"/>
    </row>
    <row r="76" spans="2:4" ht="16" thickBot="1" x14ac:dyDescent="0.25">
      <c r="B76" s="4">
        <v>71</v>
      </c>
      <c r="C76" s="10">
        <v>159.18186468016162</v>
      </c>
      <c r="D76" s="42"/>
    </row>
    <row r="77" spans="2:4" ht="16" thickBot="1" x14ac:dyDescent="0.25">
      <c r="B77" s="5">
        <v>72</v>
      </c>
      <c r="C77" s="11">
        <v>198.63181170890164</v>
      </c>
      <c r="D77" s="42"/>
    </row>
    <row r="78" spans="2:4" ht="16" thickBot="1" x14ac:dyDescent="0.25">
      <c r="B78" s="4">
        <v>73</v>
      </c>
      <c r="C78" s="10">
        <v>186.13222389779679</v>
      </c>
      <c r="D78" s="42"/>
    </row>
    <row r="79" spans="2:4" ht="16" thickBot="1" x14ac:dyDescent="0.25">
      <c r="B79" s="5">
        <v>74</v>
      </c>
      <c r="C79" s="11">
        <v>454.02887511239464</v>
      </c>
      <c r="D79" s="42"/>
    </row>
    <row r="80" spans="2:4" ht="16" thickBot="1" x14ac:dyDescent="0.25">
      <c r="B80" s="4">
        <v>75</v>
      </c>
      <c r="C80" s="10">
        <v>179.17798599756853</v>
      </c>
      <c r="D80" s="42"/>
    </row>
    <row r="81" spans="2:4" ht="16" thickBot="1" x14ac:dyDescent="0.25">
      <c r="B81" s="5">
        <v>76</v>
      </c>
      <c r="C81" s="11">
        <v>360.65404955604851</v>
      </c>
      <c r="D81" s="42"/>
    </row>
    <row r="82" spans="2:4" ht="16" thickBot="1" x14ac:dyDescent="0.25">
      <c r="B82" s="4">
        <v>77</v>
      </c>
      <c r="C82" s="10">
        <v>489.44689743026265</v>
      </c>
      <c r="D82" s="42"/>
    </row>
    <row r="83" spans="2:4" ht="16" thickBot="1" x14ac:dyDescent="0.25">
      <c r="B83" s="5">
        <v>78</v>
      </c>
      <c r="C83" s="11">
        <v>456.03790796018126</v>
      </c>
      <c r="D83" s="42"/>
    </row>
    <row r="84" spans="2:4" ht="16" thickBot="1" x14ac:dyDescent="0.25">
      <c r="B84" s="4">
        <v>79</v>
      </c>
      <c r="C84" s="10">
        <v>156.0555888934542</v>
      </c>
      <c r="D84" s="42"/>
    </row>
    <row r="85" spans="2:4" ht="16" thickBot="1" x14ac:dyDescent="0.25">
      <c r="B85" s="5">
        <v>80</v>
      </c>
      <c r="C85" s="11">
        <v>425.21774534085557</v>
      </c>
      <c r="D85" s="42"/>
    </row>
    <row r="86" spans="2:4" ht="16" thickBot="1" x14ac:dyDescent="0.25">
      <c r="B86" s="4">
        <v>81</v>
      </c>
      <c r="C86" s="10">
        <v>281.44243289552821</v>
      </c>
      <c r="D86" s="42"/>
    </row>
    <row r="87" spans="2:4" ht="16" thickBot="1" x14ac:dyDescent="0.25">
      <c r="B87" s="5">
        <v>82</v>
      </c>
      <c r="C87" s="11">
        <v>648.68466882105145</v>
      </c>
      <c r="D87" s="42"/>
    </row>
    <row r="88" spans="2:4" ht="16" thickBot="1" x14ac:dyDescent="0.25">
      <c r="B88" s="4">
        <v>83</v>
      </c>
      <c r="C88" s="10">
        <v>224.23701648488245</v>
      </c>
      <c r="D88" s="42"/>
    </row>
    <row r="89" spans="2:4" ht="16" thickBot="1" x14ac:dyDescent="0.25">
      <c r="B89" s="5">
        <v>84</v>
      </c>
      <c r="C89" s="11">
        <v>210.44241991926012</v>
      </c>
      <c r="D89" s="42"/>
    </row>
    <row r="90" spans="2:4" ht="16" thickBot="1" x14ac:dyDescent="0.25">
      <c r="B90" s="4">
        <v>85</v>
      </c>
      <c r="C90" s="10">
        <v>588.30929599682997</v>
      </c>
      <c r="D90" s="42"/>
    </row>
    <row r="91" spans="2:4" ht="16" thickBot="1" x14ac:dyDescent="0.25">
      <c r="B91" s="5">
        <v>86</v>
      </c>
      <c r="C91" s="11">
        <v>237.7425002030657</v>
      </c>
      <c r="D91" s="42"/>
    </row>
    <row r="92" spans="2:4" ht="16" thickBot="1" x14ac:dyDescent="0.25">
      <c r="B92" s="4">
        <v>87</v>
      </c>
      <c r="C92" s="10">
        <v>215.12978401536554</v>
      </c>
      <c r="D92" s="42"/>
    </row>
    <row r="93" spans="2:4" ht="16" thickBot="1" x14ac:dyDescent="0.25">
      <c r="B93" s="5">
        <v>88</v>
      </c>
      <c r="C93" s="11">
        <v>324.71655854358232</v>
      </c>
      <c r="D93" s="42"/>
    </row>
    <row r="94" spans="2:4" ht="16" thickBot="1" x14ac:dyDescent="0.25">
      <c r="B94" s="4">
        <v>89</v>
      </c>
      <c r="C94" s="10">
        <v>117.70020961924298</v>
      </c>
      <c r="D94" s="42"/>
    </row>
    <row r="95" spans="2:4" ht="16" thickBot="1" x14ac:dyDescent="0.25">
      <c r="B95" s="5">
        <v>90</v>
      </c>
      <c r="C95" s="11">
        <v>360.39576433192411</v>
      </c>
      <c r="D95" s="42"/>
    </row>
    <row r="96" spans="2:4" ht="16" thickBot="1" x14ac:dyDescent="0.25">
      <c r="B96" s="4">
        <v>91</v>
      </c>
      <c r="C96" s="10">
        <v>120.77606414014213</v>
      </c>
      <c r="D96" s="42"/>
    </row>
    <row r="97" spans="2:4" ht="16" thickBot="1" x14ac:dyDescent="0.25">
      <c r="B97" s="5">
        <v>92</v>
      </c>
      <c r="C97" s="11">
        <v>266.94972636699043</v>
      </c>
      <c r="D97" s="42"/>
    </row>
    <row r="98" spans="2:4" ht="16" thickBot="1" x14ac:dyDescent="0.25">
      <c r="B98" s="4">
        <v>93</v>
      </c>
      <c r="C98" s="10">
        <v>504.29194612136143</v>
      </c>
      <c r="D98" s="42"/>
    </row>
    <row r="99" spans="2:4" ht="16" thickBot="1" x14ac:dyDescent="0.25">
      <c r="B99" s="5">
        <v>94</v>
      </c>
      <c r="C99" s="11">
        <v>89.0637964994106</v>
      </c>
      <c r="D99" s="42"/>
    </row>
    <row r="100" spans="2:4" ht="16" thickBot="1" x14ac:dyDescent="0.25">
      <c r="B100" s="4">
        <v>95</v>
      </c>
      <c r="C100" s="10">
        <v>343.71500357395894</v>
      </c>
      <c r="D100" s="42"/>
    </row>
    <row r="101" spans="2:4" ht="16" thickBot="1" x14ac:dyDescent="0.25">
      <c r="B101" s="5">
        <v>96</v>
      </c>
      <c r="C101" s="11">
        <v>147.04783675250553</v>
      </c>
      <c r="D101" s="42"/>
    </row>
    <row r="102" spans="2:4" ht="16" thickBot="1" x14ac:dyDescent="0.25">
      <c r="B102" s="4">
        <v>97</v>
      </c>
      <c r="C102" s="10">
        <v>188.49319598318112</v>
      </c>
      <c r="D102" s="42"/>
    </row>
    <row r="103" spans="2:4" ht="16" thickBot="1" x14ac:dyDescent="0.25">
      <c r="B103" s="5">
        <v>98</v>
      </c>
      <c r="C103" s="11">
        <v>487.8158714648718</v>
      </c>
      <c r="D103" s="42"/>
    </row>
    <row r="104" spans="2:4" ht="16" thickBot="1" x14ac:dyDescent="0.25">
      <c r="B104" s="4">
        <v>99</v>
      </c>
      <c r="C104" s="10">
        <v>187.50629263571739</v>
      </c>
      <c r="D104" s="42"/>
    </row>
    <row r="105" spans="2:4" ht="16" thickBot="1" x14ac:dyDescent="0.25">
      <c r="B105" s="5">
        <v>100</v>
      </c>
      <c r="C105" s="11">
        <v>396.39250703171473</v>
      </c>
      <c r="D105" s="42"/>
    </row>
    <row r="106" spans="2:4" ht="16" thickBot="1" x14ac:dyDescent="0.25">
      <c r="B106" s="4">
        <v>101</v>
      </c>
      <c r="C106" s="10">
        <v>261.83657515721688</v>
      </c>
      <c r="D106" s="42"/>
    </row>
    <row r="107" spans="2:4" ht="16" thickBot="1" x14ac:dyDescent="0.25">
      <c r="B107" s="5">
        <v>102</v>
      </c>
      <c r="C107" s="11">
        <v>328.66120633001043</v>
      </c>
      <c r="D107" s="42"/>
    </row>
    <row r="108" spans="2:4" ht="16" thickBot="1" x14ac:dyDescent="0.25">
      <c r="B108" s="4">
        <v>103</v>
      </c>
      <c r="C108" s="10">
        <v>600.43179976131989</v>
      </c>
      <c r="D108" s="42"/>
    </row>
    <row r="109" spans="2:4" ht="16" thickBot="1" x14ac:dyDescent="0.25">
      <c r="B109" s="5">
        <v>104</v>
      </c>
      <c r="C109" s="11">
        <v>341.21763898117462</v>
      </c>
      <c r="D109" s="42"/>
    </row>
    <row r="110" spans="2:4" ht="16" thickBot="1" x14ac:dyDescent="0.25">
      <c r="B110" s="4">
        <v>105</v>
      </c>
      <c r="C110" s="10">
        <v>275.67334708433157</v>
      </c>
      <c r="D110" s="42"/>
    </row>
    <row r="111" spans="2:4" ht="16" thickBot="1" x14ac:dyDescent="0.25">
      <c r="B111" s="5">
        <v>106</v>
      </c>
      <c r="C111" s="11">
        <v>399.10992764869218</v>
      </c>
      <c r="D111" s="42"/>
    </row>
    <row r="112" spans="2:4" ht="16" thickBot="1" x14ac:dyDescent="0.25">
      <c r="B112" s="4">
        <v>107</v>
      </c>
      <c r="C112" s="10">
        <v>123.14152442486534</v>
      </c>
      <c r="D112" s="42"/>
    </row>
    <row r="113" spans="2:4" ht="16" thickBot="1" x14ac:dyDescent="0.25">
      <c r="B113" s="5">
        <v>108</v>
      </c>
      <c r="C113" s="11">
        <v>492.86172710381521</v>
      </c>
      <c r="D113" s="42"/>
    </row>
    <row r="114" spans="2:4" ht="16" thickBot="1" x14ac:dyDescent="0.25">
      <c r="B114" s="4">
        <v>109</v>
      </c>
      <c r="C114" s="10">
        <v>427.17024139514569</v>
      </c>
      <c r="D114" s="42"/>
    </row>
    <row r="115" spans="2:4" ht="16" thickBot="1" x14ac:dyDescent="0.25">
      <c r="B115" s="5">
        <v>110</v>
      </c>
      <c r="C115" s="11">
        <v>88.528756158369703</v>
      </c>
      <c r="D115" s="42"/>
    </row>
    <row r="116" spans="2:4" ht="16" thickBot="1" x14ac:dyDescent="0.25">
      <c r="B116" s="4">
        <v>111</v>
      </c>
      <c r="C116" s="10">
        <v>270.44776508547972</v>
      </c>
      <c r="D116" s="42"/>
    </row>
    <row r="117" spans="2:4" ht="16" thickBot="1" x14ac:dyDescent="0.25">
      <c r="B117" s="5">
        <v>112</v>
      </c>
      <c r="C117" s="11">
        <v>249.54991502922871</v>
      </c>
      <c r="D117" s="42"/>
    </row>
    <row r="118" spans="2:4" ht="16" thickBot="1" x14ac:dyDescent="0.25">
      <c r="B118" s="4">
        <v>113</v>
      </c>
      <c r="C118" s="10">
        <v>283.49060773117117</v>
      </c>
      <c r="D118" s="42"/>
    </row>
    <row r="119" spans="2:4" ht="16" thickBot="1" x14ac:dyDescent="0.25">
      <c r="B119" s="5">
        <v>114</v>
      </c>
      <c r="C119" s="11">
        <v>156.90923670731937</v>
      </c>
      <c r="D119" s="42"/>
    </row>
    <row r="120" spans="2:4" ht="16" thickBot="1" x14ac:dyDescent="0.25">
      <c r="B120" s="4">
        <v>115</v>
      </c>
      <c r="C120" s="10">
        <v>277.30933651080022</v>
      </c>
      <c r="D120" s="42"/>
    </row>
    <row r="121" spans="2:4" ht="16" thickBot="1" x14ac:dyDescent="0.25">
      <c r="B121" s="5">
        <v>116</v>
      </c>
      <c r="C121" s="11">
        <v>190.48210083180828</v>
      </c>
      <c r="D121" s="42"/>
    </row>
    <row r="122" spans="2:4" ht="16" thickBot="1" x14ac:dyDescent="0.25">
      <c r="B122" s="4">
        <v>117</v>
      </c>
      <c r="C122" s="10">
        <v>411.64574883065632</v>
      </c>
      <c r="D122" s="42"/>
    </row>
    <row r="123" spans="2:4" ht="16" thickBot="1" x14ac:dyDescent="0.25">
      <c r="B123" s="5">
        <v>118</v>
      </c>
      <c r="C123" s="11">
        <v>557.22129325185119</v>
      </c>
      <c r="D123" s="42"/>
    </row>
    <row r="124" spans="2:4" ht="16" thickBot="1" x14ac:dyDescent="0.25">
      <c r="B124" s="4">
        <v>119</v>
      </c>
      <c r="C124" s="10">
        <v>107.50707360798164</v>
      </c>
      <c r="D124" s="42"/>
    </row>
    <row r="125" spans="2:4" ht="16" thickBot="1" x14ac:dyDescent="0.25">
      <c r="B125" s="5">
        <v>120</v>
      </c>
      <c r="C125" s="11">
        <v>276.03540728781678</v>
      </c>
      <c r="D125" s="42"/>
    </row>
    <row r="126" spans="2:4" ht="16" thickBot="1" x14ac:dyDescent="0.25">
      <c r="B126" s="4">
        <v>121</v>
      </c>
      <c r="C126" s="10">
        <v>464.84725111031423</v>
      </c>
      <c r="D126" s="42"/>
    </row>
    <row r="127" spans="2:4" ht="16" thickBot="1" x14ac:dyDescent="0.25">
      <c r="B127" s="5">
        <v>122</v>
      </c>
      <c r="C127" s="11">
        <v>165.59378152881189</v>
      </c>
      <c r="D127" s="42"/>
    </row>
    <row r="128" spans="2:4" ht="16" thickBot="1" x14ac:dyDescent="0.25">
      <c r="B128" s="4">
        <v>123</v>
      </c>
      <c r="C128" s="10">
        <v>109.30527720284847</v>
      </c>
      <c r="D128" s="42"/>
    </row>
    <row r="129" spans="2:4" ht="16" thickBot="1" x14ac:dyDescent="0.25">
      <c r="B129" s="5">
        <v>124</v>
      </c>
      <c r="C129" s="11">
        <v>363.28588911199517</v>
      </c>
      <c r="D129" s="42"/>
    </row>
    <row r="130" spans="2:4" ht="16" thickBot="1" x14ac:dyDescent="0.25">
      <c r="B130" s="4">
        <v>125</v>
      </c>
      <c r="C130" s="10">
        <v>282.04402057197541</v>
      </c>
      <c r="D130" s="42"/>
    </row>
    <row r="131" spans="2:4" ht="16" thickBot="1" x14ac:dyDescent="0.25">
      <c r="B131" s="5">
        <v>126</v>
      </c>
      <c r="C131" s="11">
        <v>265.77456833626081</v>
      </c>
      <c r="D131" s="42"/>
    </row>
    <row r="132" spans="2:4" ht="16" thickBot="1" x14ac:dyDescent="0.25">
      <c r="B132" s="4">
        <v>127</v>
      </c>
      <c r="C132" s="10">
        <v>178.84477045483686</v>
      </c>
      <c r="D132" s="42"/>
    </row>
    <row r="133" spans="2:4" ht="16" thickBot="1" x14ac:dyDescent="0.25">
      <c r="B133" s="5">
        <v>128</v>
      </c>
      <c r="C133" s="11">
        <v>585.71177897390135</v>
      </c>
      <c r="D133" s="42"/>
    </row>
    <row r="134" spans="2:4" ht="16" thickBot="1" x14ac:dyDescent="0.25">
      <c r="B134" s="4">
        <v>129</v>
      </c>
      <c r="C134" s="10">
        <v>417.80940767711184</v>
      </c>
      <c r="D134" s="42"/>
    </row>
    <row r="135" spans="2:4" ht="16" thickBot="1" x14ac:dyDescent="0.25">
      <c r="B135" s="5">
        <v>130</v>
      </c>
      <c r="C135" s="11">
        <v>595.90840771231603</v>
      </c>
      <c r="D135" s="42"/>
    </row>
    <row r="136" spans="2:4" ht="16" thickBot="1" x14ac:dyDescent="0.25">
      <c r="B136" s="4">
        <v>131</v>
      </c>
      <c r="C136" s="10">
        <v>320.11352304410173</v>
      </c>
      <c r="D136" s="42"/>
    </row>
    <row r="137" spans="2:4" ht="16" thickBot="1" x14ac:dyDescent="0.25">
      <c r="B137" s="5">
        <v>132</v>
      </c>
      <c r="C137" s="11">
        <v>309.69018272933522</v>
      </c>
      <c r="D137" s="42"/>
    </row>
    <row r="138" spans="2:4" ht="16" thickBot="1" x14ac:dyDescent="0.25">
      <c r="B138" s="4">
        <v>133</v>
      </c>
      <c r="C138" s="10">
        <v>395.61178599413478</v>
      </c>
      <c r="D138" s="42"/>
    </row>
    <row r="139" spans="2:4" ht="16" thickBot="1" x14ac:dyDescent="0.25">
      <c r="B139" s="5">
        <v>134</v>
      </c>
      <c r="C139" s="11">
        <v>111.25291291483964</v>
      </c>
      <c r="D139" s="42"/>
    </row>
    <row r="140" spans="2:4" ht="16" thickBot="1" x14ac:dyDescent="0.25">
      <c r="B140" s="4">
        <v>135</v>
      </c>
      <c r="C140" s="10">
        <v>169.55096315248028</v>
      </c>
      <c r="D140" s="42"/>
    </row>
    <row r="141" spans="2:4" ht="16" thickBot="1" x14ac:dyDescent="0.25">
      <c r="B141" s="5">
        <v>136</v>
      </c>
      <c r="C141" s="11">
        <v>254.06032444096806</v>
      </c>
      <c r="D141" s="42"/>
    </row>
    <row r="142" spans="2:4" ht="16" thickBot="1" x14ac:dyDescent="0.25">
      <c r="B142" s="4">
        <v>137</v>
      </c>
      <c r="C142" s="10">
        <v>150.09539238329458</v>
      </c>
      <c r="D142" s="42"/>
    </row>
    <row r="143" spans="2:4" ht="16" thickBot="1" x14ac:dyDescent="0.25">
      <c r="B143" s="5">
        <v>138</v>
      </c>
      <c r="C143" s="11">
        <v>674.5093050528302</v>
      </c>
      <c r="D143" s="42"/>
    </row>
    <row r="144" spans="2:4" ht="16" thickBot="1" x14ac:dyDescent="0.25">
      <c r="B144" s="4">
        <v>139</v>
      </c>
      <c r="C144" s="10">
        <v>448.33080808831306</v>
      </c>
      <c r="D144" s="42"/>
    </row>
    <row r="145" spans="2:4" ht="16" thickBot="1" x14ac:dyDescent="0.25">
      <c r="B145" s="5">
        <v>140</v>
      </c>
      <c r="C145" s="11">
        <v>456.65270425872097</v>
      </c>
      <c r="D145" s="42"/>
    </row>
    <row r="146" spans="2:4" ht="16" thickBot="1" x14ac:dyDescent="0.25">
      <c r="B146" s="4">
        <v>141</v>
      </c>
      <c r="C146" s="10">
        <v>63.483185947261198</v>
      </c>
      <c r="D146" s="42"/>
    </row>
    <row r="147" spans="2:4" ht="16" thickBot="1" x14ac:dyDescent="0.25">
      <c r="B147" s="5">
        <v>142</v>
      </c>
      <c r="C147" s="11">
        <v>147.99329433896176</v>
      </c>
      <c r="D147" s="42"/>
    </row>
    <row r="148" spans="2:4" ht="16" thickBot="1" x14ac:dyDescent="0.25">
      <c r="B148" s="4">
        <v>143</v>
      </c>
      <c r="C148" s="10">
        <v>607.84704864902437</v>
      </c>
      <c r="D148" s="42"/>
    </row>
    <row r="149" spans="2:4" ht="16" thickBot="1" x14ac:dyDescent="0.25">
      <c r="B149" s="5">
        <v>144</v>
      </c>
      <c r="C149" s="11">
        <v>528.60113806783806</v>
      </c>
      <c r="D149" s="42"/>
    </row>
    <row r="150" spans="2:4" ht="16" thickBot="1" x14ac:dyDescent="0.25">
      <c r="B150" s="4">
        <v>145</v>
      </c>
      <c r="C150" s="10">
        <v>400.5257494735315</v>
      </c>
      <c r="D150" s="42"/>
    </row>
    <row r="151" spans="2:4" ht="16" thickBot="1" x14ac:dyDescent="0.25">
      <c r="B151" s="5">
        <v>146</v>
      </c>
      <c r="C151" s="11">
        <v>461.64393559432074</v>
      </c>
      <c r="D151" s="42"/>
    </row>
    <row r="152" spans="2:4" ht="16" thickBot="1" x14ac:dyDescent="0.25">
      <c r="B152" s="4">
        <v>147</v>
      </c>
      <c r="C152" s="10">
        <v>59.230399041958492</v>
      </c>
      <c r="D152" s="42"/>
    </row>
    <row r="153" spans="2:4" ht="16" thickBot="1" x14ac:dyDescent="0.25">
      <c r="B153" s="5">
        <v>148</v>
      </c>
      <c r="C153" s="11">
        <v>192.26589653658647</v>
      </c>
      <c r="D153" s="42"/>
    </row>
    <row r="154" spans="2:4" ht="16" thickBot="1" x14ac:dyDescent="0.25">
      <c r="B154" s="4">
        <v>149</v>
      </c>
      <c r="C154" s="10">
        <v>134.37439438720975</v>
      </c>
      <c r="D154" s="42"/>
    </row>
    <row r="155" spans="2:4" ht="16" thickBot="1" x14ac:dyDescent="0.25">
      <c r="B155" s="5">
        <v>150</v>
      </c>
      <c r="C155" s="11">
        <v>53.528600046841049</v>
      </c>
      <c r="D155" s="42"/>
    </row>
    <row r="156" spans="2:4" ht="16" thickBot="1" x14ac:dyDescent="0.25">
      <c r="B156" s="4">
        <v>151</v>
      </c>
      <c r="C156" s="10">
        <v>314.98543254851484</v>
      </c>
      <c r="D156" s="42"/>
    </row>
    <row r="157" spans="2:4" ht="16" thickBot="1" x14ac:dyDescent="0.25">
      <c r="B157" s="5">
        <v>152</v>
      </c>
      <c r="C157" s="11">
        <v>206.5129590818363</v>
      </c>
      <c r="D157" s="42"/>
    </row>
    <row r="158" spans="2:4" ht="16" thickBot="1" x14ac:dyDescent="0.25">
      <c r="B158" s="4">
        <v>153</v>
      </c>
      <c r="C158" s="10">
        <v>142.40853364736543</v>
      </c>
      <c r="D158" s="42"/>
    </row>
    <row r="159" spans="2:4" ht="16" thickBot="1" x14ac:dyDescent="0.25">
      <c r="B159" s="5">
        <v>154</v>
      </c>
      <c r="C159" s="11">
        <v>308.19015288392274</v>
      </c>
      <c r="D159" s="42"/>
    </row>
    <row r="160" spans="2:4" ht="16" thickBot="1" x14ac:dyDescent="0.25">
      <c r="B160" s="4">
        <v>155</v>
      </c>
      <c r="C160" s="10">
        <v>173.10432312482757</v>
      </c>
      <c r="D160" s="42"/>
    </row>
    <row r="161" spans="2:4" ht="16" thickBot="1" x14ac:dyDescent="0.25">
      <c r="B161" s="5">
        <v>156</v>
      </c>
      <c r="C161" s="11">
        <v>106.9581089972087</v>
      </c>
      <c r="D161" s="42"/>
    </row>
    <row r="162" spans="2:4" ht="16" thickBot="1" x14ac:dyDescent="0.25">
      <c r="B162" s="4">
        <v>157</v>
      </c>
      <c r="C162" s="10">
        <v>248.45385820422638</v>
      </c>
      <c r="D162" s="42"/>
    </row>
    <row r="163" spans="2:4" ht="16" thickBot="1" x14ac:dyDescent="0.25">
      <c r="B163" s="5">
        <v>158</v>
      </c>
      <c r="C163" s="11">
        <v>161.49358216582115</v>
      </c>
      <c r="D163" s="42"/>
    </row>
    <row r="164" spans="2:4" ht="16" thickBot="1" x14ac:dyDescent="0.25">
      <c r="B164" s="4">
        <v>159</v>
      </c>
      <c r="C164" s="10">
        <v>348.19383602182057</v>
      </c>
      <c r="D164" s="42"/>
    </row>
    <row r="165" spans="2:4" ht="16" thickBot="1" x14ac:dyDescent="0.25">
      <c r="B165" s="5">
        <v>160</v>
      </c>
      <c r="C165" s="11">
        <v>113.87440992336651</v>
      </c>
      <c r="D165" s="42"/>
    </row>
    <row r="166" spans="2:4" ht="16" thickBot="1" x14ac:dyDescent="0.25">
      <c r="B166" s="4">
        <v>161</v>
      </c>
      <c r="C166" s="10">
        <v>194.13919453519392</v>
      </c>
      <c r="D166" s="42"/>
    </row>
    <row r="167" spans="2:4" ht="16" thickBot="1" x14ac:dyDescent="0.25">
      <c r="B167" s="5">
        <v>162</v>
      </c>
      <c r="C167" s="11">
        <v>92.167957118672049</v>
      </c>
      <c r="D167" s="42"/>
    </row>
    <row r="168" spans="2:4" ht="16" thickBot="1" x14ac:dyDescent="0.25">
      <c r="B168" s="4">
        <v>163</v>
      </c>
      <c r="C168" s="10">
        <v>248.1127700565313</v>
      </c>
      <c r="D168" s="42"/>
    </row>
    <row r="169" spans="2:4" ht="16" thickBot="1" x14ac:dyDescent="0.25">
      <c r="B169" s="5">
        <v>164</v>
      </c>
      <c r="C169" s="11">
        <v>349.4062962138853</v>
      </c>
      <c r="D169" s="42"/>
    </row>
    <row r="170" spans="2:4" ht="16" thickBot="1" x14ac:dyDescent="0.25">
      <c r="B170" s="4">
        <v>165</v>
      </c>
      <c r="C170" s="10">
        <v>70.588128060973688</v>
      </c>
      <c r="D170" s="42"/>
    </row>
    <row r="171" spans="2:4" ht="16" thickBot="1" x14ac:dyDescent="0.25">
      <c r="B171" s="5">
        <v>166</v>
      </c>
      <c r="C171" s="11">
        <v>212.5561072286215</v>
      </c>
      <c r="D171" s="42"/>
    </row>
    <row r="172" spans="2:4" ht="16" thickBot="1" x14ac:dyDescent="0.25">
      <c r="B172" s="4">
        <v>167</v>
      </c>
      <c r="C172" s="10">
        <v>205.69042809549433</v>
      </c>
      <c r="D172" s="42"/>
    </row>
    <row r="173" spans="2:4" ht="16" thickBot="1" x14ac:dyDescent="0.25">
      <c r="B173" s="5">
        <v>168</v>
      </c>
      <c r="C173" s="11">
        <v>202.52966922779106</v>
      </c>
      <c r="D173" s="42"/>
    </row>
    <row r="174" spans="2:4" ht="16" thickBot="1" x14ac:dyDescent="0.25">
      <c r="B174" s="4">
        <v>169</v>
      </c>
      <c r="C174" s="10">
        <v>419.60805350668414</v>
      </c>
      <c r="D174" s="42"/>
    </row>
    <row r="175" spans="2:4" ht="16" thickBot="1" x14ac:dyDescent="0.25">
      <c r="B175" s="5">
        <v>170</v>
      </c>
      <c r="C175" s="11">
        <v>272.92752647006563</v>
      </c>
      <c r="D175" s="42"/>
    </row>
    <row r="176" spans="2:4" ht="16" thickBot="1" x14ac:dyDescent="0.25">
      <c r="B176" s="4">
        <v>171</v>
      </c>
      <c r="C176" s="10">
        <v>384.6655748853828</v>
      </c>
      <c r="D176" s="42"/>
    </row>
    <row r="177" spans="2:4" ht="16" thickBot="1" x14ac:dyDescent="0.25">
      <c r="B177" s="5">
        <v>172</v>
      </c>
      <c r="C177" s="11">
        <v>128.74788357047106</v>
      </c>
      <c r="D177" s="42"/>
    </row>
    <row r="178" spans="2:4" ht="16" thickBot="1" x14ac:dyDescent="0.25">
      <c r="B178" s="4">
        <v>173</v>
      </c>
      <c r="C178" s="10">
        <v>253.83476229642244</v>
      </c>
      <c r="D178" s="42"/>
    </row>
    <row r="179" spans="2:4" ht="16" thickBot="1" x14ac:dyDescent="0.25">
      <c r="B179" s="5">
        <v>174</v>
      </c>
      <c r="C179" s="11">
        <v>137.81290101022753</v>
      </c>
      <c r="D179" s="42"/>
    </row>
    <row r="180" spans="2:4" ht="16" thickBot="1" x14ac:dyDescent="0.25">
      <c r="B180" s="4">
        <v>175</v>
      </c>
      <c r="C180" s="10">
        <v>244.226618460222</v>
      </c>
      <c r="D180" s="42"/>
    </row>
    <row r="181" spans="2:4" ht="16" thickBot="1" x14ac:dyDescent="0.25">
      <c r="B181" s="5">
        <v>176</v>
      </c>
      <c r="C181" s="11">
        <v>261.3926732963406</v>
      </c>
      <c r="D181" s="42"/>
    </row>
    <row r="182" spans="2:4" ht="16" thickBot="1" x14ac:dyDescent="0.25">
      <c r="B182" s="4">
        <v>177</v>
      </c>
      <c r="C182" s="10">
        <v>189.08716803743562</v>
      </c>
      <c r="D182" s="42"/>
    </row>
    <row r="183" spans="2:4" ht="16" thickBot="1" x14ac:dyDescent="0.25">
      <c r="B183" s="5">
        <v>178</v>
      </c>
      <c r="C183" s="11">
        <v>188.27040316021743</v>
      </c>
      <c r="D183" s="42"/>
    </row>
    <row r="184" spans="2:4" ht="16" thickBot="1" x14ac:dyDescent="0.25">
      <c r="B184" s="4">
        <v>179</v>
      </c>
      <c r="C184" s="10">
        <v>221.01170686464886</v>
      </c>
      <c r="D184" s="42"/>
    </row>
    <row r="185" spans="2:4" ht="16" thickBot="1" x14ac:dyDescent="0.25">
      <c r="B185" s="5">
        <v>180</v>
      </c>
      <c r="C185" s="11">
        <v>189.57355383110499</v>
      </c>
      <c r="D185" s="42"/>
    </row>
    <row r="186" spans="2:4" ht="16" thickBot="1" x14ac:dyDescent="0.25">
      <c r="B186" s="4">
        <v>181</v>
      </c>
      <c r="C186" s="10">
        <v>129.22968748742602</v>
      </c>
      <c r="D186" s="42"/>
    </row>
    <row r="187" spans="2:4" ht="16" thickBot="1" x14ac:dyDescent="0.25">
      <c r="B187" s="5">
        <v>182</v>
      </c>
      <c r="C187" s="11">
        <v>181.95587444146543</v>
      </c>
      <c r="D187" s="42"/>
    </row>
    <row r="188" spans="2:4" ht="16" thickBot="1" x14ac:dyDescent="0.25">
      <c r="B188" s="4">
        <v>183</v>
      </c>
      <c r="C188" s="10">
        <v>207.7165210284744</v>
      </c>
      <c r="D188" s="42"/>
    </row>
    <row r="189" spans="2:4" ht="16" thickBot="1" x14ac:dyDescent="0.25">
      <c r="B189" s="5">
        <v>184</v>
      </c>
      <c r="C189" s="11">
        <v>80.926467963818396</v>
      </c>
      <c r="D189" s="42"/>
    </row>
    <row r="190" spans="2:4" ht="16" thickBot="1" x14ac:dyDescent="0.25">
      <c r="B190" s="4">
        <v>185</v>
      </c>
      <c r="C190" s="10">
        <v>139.19071555288747</v>
      </c>
      <c r="D190" s="42"/>
    </row>
    <row r="191" spans="2:4" ht="16" thickBot="1" x14ac:dyDescent="0.25">
      <c r="B191" s="5">
        <v>186</v>
      </c>
      <c r="C191" s="11">
        <v>388.94744113165268</v>
      </c>
      <c r="D191" s="42"/>
    </row>
    <row r="192" spans="2:4" ht="16" thickBot="1" x14ac:dyDescent="0.25">
      <c r="B192" s="4">
        <v>187</v>
      </c>
      <c r="C192" s="10">
        <v>160.66659571995501</v>
      </c>
      <c r="D192" s="42"/>
    </row>
    <row r="193" spans="2:4" ht="16" thickBot="1" x14ac:dyDescent="0.25">
      <c r="B193" s="5">
        <v>188</v>
      </c>
      <c r="C193" s="11">
        <v>124.256950669772</v>
      </c>
      <c r="D193" s="42"/>
    </row>
    <row r="194" spans="2:4" ht="16" thickBot="1" x14ac:dyDescent="0.25">
      <c r="B194" s="4">
        <v>189</v>
      </c>
      <c r="C194" s="10">
        <v>78.207152656594431</v>
      </c>
      <c r="D194" s="42"/>
    </row>
    <row r="195" spans="2:4" ht="16" thickBot="1" x14ac:dyDescent="0.25">
      <c r="B195" s="5">
        <v>190</v>
      </c>
      <c r="C195" s="11">
        <v>194.25650033228703</v>
      </c>
      <c r="D195" s="42"/>
    </row>
    <row r="196" spans="2:4" ht="16" thickBot="1" x14ac:dyDescent="0.25">
      <c r="B196" s="4">
        <v>191</v>
      </c>
      <c r="C196" s="10">
        <v>177.40221239450571</v>
      </c>
      <c r="D196" s="42"/>
    </row>
    <row r="197" spans="2:4" ht="16" thickBot="1" x14ac:dyDescent="0.25">
      <c r="B197" s="5">
        <v>192</v>
      </c>
      <c r="C197" s="11">
        <v>561.21124145655244</v>
      </c>
      <c r="D197" s="42"/>
    </row>
    <row r="198" spans="2:4" ht="16" thickBot="1" x14ac:dyDescent="0.25">
      <c r="B198" s="4">
        <v>193</v>
      </c>
      <c r="C198" s="10">
        <v>396.64866436330618</v>
      </c>
      <c r="D198" s="42"/>
    </row>
    <row r="199" spans="2:4" ht="16" thickBot="1" x14ac:dyDescent="0.25">
      <c r="B199" s="5">
        <v>194</v>
      </c>
      <c r="C199" s="11">
        <v>246.60746841400672</v>
      </c>
      <c r="D199" s="42"/>
    </row>
    <row r="200" spans="2:4" ht="16" thickBot="1" x14ac:dyDescent="0.25">
      <c r="B200" s="4">
        <v>195</v>
      </c>
      <c r="C200" s="10">
        <v>737.95321620650088</v>
      </c>
      <c r="D200" s="42"/>
    </row>
    <row r="201" spans="2:4" ht="16" thickBot="1" x14ac:dyDescent="0.25">
      <c r="B201" s="5">
        <v>196</v>
      </c>
      <c r="C201" s="11">
        <v>96.587884379388328</v>
      </c>
      <c r="D201" s="42"/>
    </row>
    <row r="202" spans="2:4" ht="16" thickBot="1" x14ac:dyDescent="0.25">
      <c r="B202" s="4">
        <v>197</v>
      </c>
      <c r="C202" s="10">
        <v>162.07947512039641</v>
      </c>
      <c r="D202" s="42"/>
    </row>
    <row r="203" spans="2:4" ht="16" thickBot="1" x14ac:dyDescent="0.25">
      <c r="B203" s="5">
        <v>198</v>
      </c>
      <c r="C203" s="11">
        <v>330.47706371496224</v>
      </c>
      <c r="D203" s="42"/>
    </row>
    <row r="204" spans="2:4" ht="16" thickBot="1" x14ac:dyDescent="0.25">
      <c r="B204" s="4">
        <v>199</v>
      </c>
      <c r="C204" s="10">
        <v>418.41214981197004</v>
      </c>
      <c r="D204" s="42"/>
    </row>
    <row r="205" spans="2:4" ht="16" thickBot="1" x14ac:dyDescent="0.25">
      <c r="B205" s="5">
        <v>200</v>
      </c>
      <c r="C205" s="11">
        <v>86.962574487467975</v>
      </c>
      <c r="D205" s="42"/>
    </row>
    <row r="206" spans="2:4" ht="16" thickBot="1" x14ac:dyDescent="0.25">
      <c r="B206" s="4">
        <v>201</v>
      </c>
      <c r="C206" s="10">
        <v>283.40544075552731</v>
      </c>
      <c r="D206" s="42"/>
    </row>
    <row r="207" spans="2:4" ht="16" thickBot="1" x14ac:dyDescent="0.25">
      <c r="B207" s="5">
        <v>202</v>
      </c>
      <c r="C207" s="11">
        <v>368.34759223173995</v>
      </c>
      <c r="D207" s="42"/>
    </row>
    <row r="208" spans="2:4" ht="16" thickBot="1" x14ac:dyDescent="0.25">
      <c r="B208" s="4">
        <v>203</v>
      </c>
      <c r="C208" s="10">
        <v>90.198166453695649</v>
      </c>
      <c r="D208" s="42"/>
    </row>
    <row r="209" spans="2:4" ht="16" thickBot="1" x14ac:dyDescent="0.25">
      <c r="B209" s="5">
        <v>204</v>
      </c>
      <c r="C209" s="11">
        <v>365.03505793295454</v>
      </c>
      <c r="D209" s="42"/>
    </row>
    <row r="210" spans="2:4" ht="16" thickBot="1" x14ac:dyDescent="0.25">
      <c r="B210" s="4">
        <v>205</v>
      </c>
      <c r="C210" s="10">
        <v>138.22492527498102</v>
      </c>
      <c r="D210" s="42"/>
    </row>
    <row r="211" spans="2:4" ht="16" thickBot="1" x14ac:dyDescent="0.25">
      <c r="B211" s="5">
        <v>206</v>
      </c>
      <c r="C211" s="11">
        <v>48.429371296913367</v>
      </c>
      <c r="D211" s="42"/>
    </row>
    <row r="212" spans="2:4" ht="16" thickBot="1" x14ac:dyDescent="0.25">
      <c r="B212" s="4">
        <v>207</v>
      </c>
      <c r="C212" s="10">
        <v>131.2081970086528</v>
      </c>
      <c r="D212" s="42"/>
    </row>
    <row r="213" spans="2:4" ht="16" thickBot="1" x14ac:dyDescent="0.25">
      <c r="B213" s="5">
        <v>208</v>
      </c>
      <c r="C213" s="11">
        <v>514.89465607378474</v>
      </c>
      <c r="D213" s="42"/>
    </row>
    <row r="214" spans="2:4" ht="16" thickBot="1" x14ac:dyDescent="0.25">
      <c r="B214" s="4">
        <v>209</v>
      </c>
      <c r="C214" s="10">
        <v>121.42883847879455</v>
      </c>
      <c r="D214" s="42"/>
    </row>
    <row r="215" spans="2:4" ht="16" thickBot="1" x14ac:dyDescent="0.25">
      <c r="B215" s="5">
        <v>210</v>
      </c>
      <c r="C215" s="11">
        <v>278.19106781989291</v>
      </c>
      <c r="D215" s="42"/>
    </row>
    <row r="216" spans="2:4" ht="16" thickBot="1" x14ac:dyDescent="0.25">
      <c r="B216" s="4">
        <v>211</v>
      </c>
      <c r="C216" s="10">
        <v>179.54847806835019</v>
      </c>
      <c r="D216" s="42"/>
    </row>
    <row r="217" spans="2:4" ht="16" thickBot="1" x14ac:dyDescent="0.25">
      <c r="B217" s="5">
        <v>212</v>
      </c>
      <c r="C217" s="11">
        <v>435.27738359347143</v>
      </c>
      <c r="D217" s="42"/>
    </row>
    <row r="218" spans="2:4" ht="16" thickBot="1" x14ac:dyDescent="0.25">
      <c r="B218" s="4">
        <v>213</v>
      </c>
      <c r="C218" s="10">
        <v>530.44183345005331</v>
      </c>
      <c r="D218" s="42"/>
    </row>
    <row r="219" spans="2:4" ht="16" thickBot="1" x14ac:dyDescent="0.25">
      <c r="B219" s="5">
        <v>214</v>
      </c>
      <c r="C219" s="11">
        <v>169.0596046612732</v>
      </c>
      <c r="D219" s="42"/>
    </row>
    <row r="220" spans="2:4" ht="16" thickBot="1" x14ac:dyDescent="0.25">
      <c r="B220" s="4">
        <v>215</v>
      </c>
      <c r="C220" s="10">
        <v>534.16654427661319</v>
      </c>
      <c r="D220" s="42"/>
    </row>
    <row r="221" spans="2:4" ht="16" thickBot="1" x14ac:dyDescent="0.25">
      <c r="B221" s="5">
        <v>216</v>
      </c>
      <c r="C221" s="11">
        <v>85.025353425765701</v>
      </c>
      <c r="D221" s="42"/>
    </row>
    <row r="222" spans="2:4" ht="16" thickBot="1" x14ac:dyDescent="0.25">
      <c r="B222" s="4">
        <v>217</v>
      </c>
      <c r="C222" s="10">
        <v>303.56719449558869</v>
      </c>
      <c r="D222" s="42"/>
    </row>
    <row r="223" spans="2:4" ht="16" thickBot="1" x14ac:dyDescent="0.25">
      <c r="B223" s="5">
        <v>218</v>
      </c>
      <c r="C223" s="11">
        <v>779.1671652267089</v>
      </c>
      <c r="D223" s="42"/>
    </row>
    <row r="224" spans="2:4" ht="16" thickBot="1" x14ac:dyDescent="0.25">
      <c r="B224" s="4">
        <v>219</v>
      </c>
      <c r="C224" s="10">
        <v>564.64013380070764</v>
      </c>
      <c r="D224" s="42"/>
    </row>
    <row r="225" spans="2:4" ht="16" thickBot="1" x14ac:dyDescent="0.25">
      <c r="B225" s="5">
        <v>220</v>
      </c>
      <c r="C225" s="11">
        <v>484.12822155086468</v>
      </c>
      <c r="D225" s="42"/>
    </row>
    <row r="226" spans="2:4" ht="16" thickBot="1" x14ac:dyDescent="0.25">
      <c r="B226" s="4">
        <v>221</v>
      </c>
      <c r="C226" s="10">
        <v>391.69621842993337</v>
      </c>
      <c r="D226" s="42"/>
    </row>
    <row r="227" spans="2:4" ht="16" thickBot="1" x14ac:dyDescent="0.25">
      <c r="B227" s="5">
        <v>222</v>
      </c>
      <c r="C227" s="11">
        <v>391.83738526546404</v>
      </c>
      <c r="D227" s="42"/>
    </row>
    <row r="228" spans="2:4" ht="16" thickBot="1" x14ac:dyDescent="0.25">
      <c r="B228" s="4">
        <v>223</v>
      </c>
      <c r="C228" s="10">
        <v>363.04009780570749</v>
      </c>
      <c r="D228" s="42"/>
    </row>
    <row r="229" spans="2:4" ht="16" thickBot="1" x14ac:dyDescent="0.25">
      <c r="B229" s="5">
        <v>224</v>
      </c>
      <c r="C229" s="11">
        <v>109.41934896418076</v>
      </c>
      <c r="D229" s="42"/>
    </row>
    <row r="230" spans="2:4" ht="16" thickBot="1" x14ac:dyDescent="0.25">
      <c r="B230" s="4">
        <v>225</v>
      </c>
      <c r="C230" s="10">
        <v>72.143994157319625</v>
      </c>
      <c r="D230" s="42"/>
    </row>
    <row r="231" spans="2:4" ht="16" thickBot="1" x14ac:dyDescent="0.25">
      <c r="B231" s="5">
        <v>226</v>
      </c>
      <c r="C231" s="11">
        <v>217.20028485762606</v>
      </c>
      <c r="D231" s="42"/>
    </row>
    <row r="232" spans="2:4" ht="16" thickBot="1" x14ac:dyDescent="0.25">
      <c r="B232" s="4">
        <v>227</v>
      </c>
      <c r="C232" s="10">
        <v>126.23989849561367</v>
      </c>
      <c r="D232" s="42"/>
    </row>
    <row r="233" spans="2:4" ht="16" thickBot="1" x14ac:dyDescent="0.25">
      <c r="B233" s="5">
        <v>228</v>
      </c>
      <c r="C233" s="11">
        <v>63.767966179018217</v>
      </c>
      <c r="D233" s="42"/>
    </row>
    <row r="234" spans="2:4" ht="16" thickBot="1" x14ac:dyDescent="0.25">
      <c r="B234" s="4">
        <v>229</v>
      </c>
      <c r="C234" s="10">
        <v>482.32601268254592</v>
      </c>
      <c r="D234" s="42"/>
    </row>
    <row r="235" spans="2:4" ht="16" thickBot="1" x14ac:dyDescent="0.25">
      <c r="B235" s="5">
        <v>230</v>
      </c>
      <c r="C235" s="11">
        <v>239.85752726784651</v>
      </c>
      <c r="D235" s="42"/>
    </row>
    <row r="236" spans="2:4" ht="16" thickBot="1" x14ac:dyDescent="0.25">
      <c r="B236" s="4">
        <v>231</v>
      </c>
      <c r="C236" s="10">
        <v>178.05613417429157</v>
      </c>
      <c r="D236" s="42"/>
    </row>
    <row r="237" spans="2:4" ht="16" thickBot="1" x14ac:dyDescent="0.25">
      <c r="B237" s="5">
        <v>232</v>
      </c>
      <c r="C237" s="11">
        <v>286.56038293902088</v>
      </c>
      <c r="D237" s="42"/>
    </row>
    <row r="238" spans="2:4" ht="16" thickBot="1" x14ac:dyDescent="0.25">
      <c r="B238" s="4">
        <v>233</v>
      </c>
      <c r="C238" s="10">
        <v>195.191239105308</v>
      </c>
      <c r="D238" s="42"/>
    </row>
    <row r="239" spans="2:4" ht="16" thickBot="1" x14ac:dyDescent="0.25">
      <c r="B239" s="5">
        <v>234</v>
      </c>
      <c r="C239" s="11">
        <v>181.93333132657202</v>
      </c>
      <c r="D239" s="42"/>
    </row>
    <row r="240" spans="2:4" ht="16" thickBot="1" x14ac:dyDescent="0.25">
      <c r="B240" s="4">
        <v>235</v>
      </c>
      <c r="C240" s="10">
        <v>406.55293471687054</v>
      </c>
      <c r="D240" s="42"/>
    </row>
    <row r="241" spans="2:4" ht="16" thickBot="1" x14ac:dyDescent="0.25">
      <c r="B241" s="5">
        <v>236</v>
      </c>
      <c r="C241" s="11">
        <v>101.29555345124945</v>
      </c>
      <c r="D241" s="42"/>
    </row>
    <row r="242" spans="2:4" ht="16" thickBot="1" x14ac:dyDescent="0.25">
      <c r="B242" s="4">
        <v>237</v>
      </c>
      <c r="C242" s="10">
        <v>167.44957015728212</v>
      </c>
      <c r="D242" s="42"/>
    </row>
    <row r="243" spans="2:4" ht="16" thickBot="1" x14ac:dyDescent="0.25">
      <c r="B243" s="5">
        <v>238</v>
      </c>
      <c r="C243" s="11">
        <v>127.29228846046186</v>
      </c>
      <c r="D243" s="42"/>
    </row>
    <row r="244" spans="2:4" ht="16" thickBot="1" x14ac:dyDescent="0.25">
      <c r="B244" s="4">
        <v>239</v>
      </c>
      <c r="C244" s="10">
        <v>197.6624019616464</v>
      </c>
      <c r="D244" s="42"/>
    </row>
    <row r="245" spans="2:4" ht="16" thickBot="1" x14ac:dyDescent="0.25">
      <c r="B245" s="5">
        <v>240</v>
      </c>
      <c r="C245" s="11">
        <v>105.01015960394757</v>
      </c>
      <c r="D245" s="42"/>
    </row>
    <row r="246" spans="2:4" ht="16" thickBot="1" x14ac:dyDescent="0.25">
      <c r="B246" s="4">
        <v>241</v>
      </c>
      <c r="C246" s="10">
        <v>157.742596637915</v>
      </c>
      <c r="D246" s="42"/>
    </row>
    <row r="247" spans="2:4" ht="16" thickBot="1" x14ac:dyDescent="0.25">
      <c r="B247" s="5">
        <v>242</v>
      </c>
      <c r="C247" s="11">
        <v>279.37648965651402</v>
      </c>
      <c r="D247" s="42"/>
    </row>
    <row r="248" spans="2:4" ht="16" thickBot="1" x14ac:dyDescent="0.25">
      <c r="B248" s="4">
        <v>243</v>
      </c>
      <c r="C248" s="10">
        <v>329.30718891734409</v>
      </c>
      <c r="D248" s="42"/>
    </row>
    <row r="249" spans="2:4" ht="16" thickBot="1" x14ac:dyDescent="0.25">
      <c r="B249" s="5">
        <v>244</v>
      </c>
      <c r="C249" s="11">
        <v>226.42451691541322</v>
      </c>
      <c r="D249" s="42"/>
    </row>
    <row r="250" spans="2:4" ht="16" thickBot="1" x14ac:dyDescent="0.25">
      <c r="B250" s="4">
        <v>245</v>
      </c>
      <c r="C250" s="10">
        <v>433.28620516441708</v>
      </c>
      <c r="D250" s="42"/>
    </row>
    <row r="251" spans="2:4" ht="16" thickBot="1" x14ac:dyDescent="0.25">
      <c r="B251" s="5">
        <v>246</v>
      </c>
      <c r="C251" s="11">
        <v>691.51397078221339</v>
      </c>
      <c r="D251" s="42"/>
    </row>
    <row r="252" spans="2:4" ht="16" thickBot="1" x14ac:dyDescent="0.25">
      <c r="B252" s="4">
        <v>247</v>
      </c>
      <c r="C252" s="10">
        <v>110.43975238458256</v>
      </c>
      <c r="D252" s="42"/>
    </row>
    <row r="253" spans="2:4" ht="16" thickBot="1" x14ac:dyDescent="0.25">
      <c r="B253" s="5">
        <v>248</v>
      </c>
      <c r="C253" s="11">
        <v>124.4463251469565</v>
      </c>
      <c r="D253" s="42"/>
    </row>
    <row r="254" spans="2:4" ht="16" thickBot="1" x14ac:dyDescent="0.25">
      <c r="B254" s="4">
        <v>249</v>
      </c>
      <c r="C254" s="10">
        <v>189.73353934901874</v>
      </c>
      <c r="D254" s="42"/>
    </row>
    <row r="255" spans="2:4" ht="16" thickBot="1" x14ac:dyDescent="0.25">
      <c r="B255" s="5">
        <v>250</v>
      </c>
      <c r="C255" s="11">
        <v>389.84052696140145</v>
      </c>
      <c r="D255" s="42"/>
    </row>
    <row r="256" spans="2:4" ht="16" thickBot="1" x14ac:dyDescent="0.25">
      <c r="B256" s="4">
        <v>251</v>
      </c>
      <c r="C256" s="10">
        <v>342.81363314416183</v>
      </c>
      <c r="D256" s="42"/>
    </row>
    <row r="257" spans="2:4" ht="16" thickBot="1" x14ac:dyDescent="0.25">
      <c r="B257" s="5">
        <v>252</v>
      </c>
      <c r="C257" s="11">
        <v>441.01052209434812</v>
      </c>
      <c r="D257" s="42"/>
    </row>
    <row r="258" spans="2:4" ht="16" thickBot="1" x14ac:dyDescent="0.25">
      <c r="B258" s="4">
        <v>253</v>
      </c>
      <c r="C258" s="10">
        <v>369.64439832297717</v>
      </c>
      <c r="D258" s="42"/>
    </row>
    <row r="259" spans="2:4" ht="16" thickBot="1" x14ac:dyDescent="0.25">
      <c r="B259" s="5">
        <v>254</v>
      </c>
      <c r="C259" s="11">
        <v>443.48004743086551</v>
      </c>
      <c r="D259" s="42"/>
    </row>
    <row r="260" spans="2:4" ht="16" thickBot="1" x14ac:dyDescent="0.25">
      <c r="B260" s="4">
        <v>255</v>
      </c>
      <c r="C260" s="10">
        <v>559.17850790282432</v>
      </c>
      <c r="D260" s="42"/>
    </row>
    <row r="261" spans="2:4" ht="16" thickBot="1" x14ac:dyDescent="0.25">
      <c r="B261" s="5">
        <v>256</v>
      </c>
      <c r="C261" s="11">
        <v>326.21510227655278</v>
      </c>
      <c r="D261" s="42"/>
    </row>
    <row r="262" spans="2:4" ht="16" thickBot="1" x14ac:dyDescent="0.25">
      <c r="B262" s="4">
        <v>257</v>
      </c>
      <c r="C262" s="10">
        <v>437.95424980581316</v>
      </c>
      <c r="D262" s="42"/>
    </row>
    <row r="263" spans="2:4" ht="16" thickBot="1" x14ac:dyDescent="0.25">
      <c r="B263" s="5">
        <v>258</v>
      </c>
      <c r="C263" s="11">
        <v>327.31685820273668</v>
      </c>
      <c r="D263" s="42"/>
    </row>
    <row r="264" spans="2:4" ht="16" thickBot="1" x14ac:dyDescent="0.25">
      <c r="B264" s="4">
        <v>259</v>
      </c>
      <c r="C264" s="10">
        <v>159.7454742039215</v>
      </c>
      <c r="D264" s="42"/>
    </row>
    <row r="265" spans="2:4" ht="16" thickBot="1" x14ac:dyDescent="0.25">
      <c r="B265" s="5">
        <v>260</v>
      </c>
      <c r="C265" s="11">
        <v>421.58970161644157</v>
      </c>
      <c r="D265" s="42"/>
    </row>
    <row r="266" spans="2:4" ht="16" thickBot="1" x14ac:dyDescent="0.25">
      <c r="B266" s="4">
        <v>261</v>
      </c>
      <c r="C266" s="10">
        <v>215.2342635815784</v>
      </c>
      <c r="D266" s="42"/>
    </row>
    <row r="267" spans="2:4" ht="16" thickBot="1" x14ac:dyDescent="0.25">
      <c r="B267" s="5">
        <v>262</v>
      </c>
      <c r="C267" s="11">
        <v>406.19661383046804</v>
      </c>
      <c r="D267" s="42"/>
    </row>
    <row r="268" spans="2:4" ht="16" thickBot="1" x14ac:dyDescent="0.25">
      <c r="B268" s="4">
        <v>263</v>
      </c>
      <c r="C268" s="10">
        <v>301.40747656721584</v>
      </c>
      <c r="D268" s="42"/>
    </row>
    <row r="269" spans="2:4" ht="16" thickBot="1" x14ac:dyDescent="0.25">
      <c r="B269" s="5">
        <v>264</v>
      </c>
      <c r="C269" s="11">
        <v>180.43904770798432</v>
      </c>
      <c r="D269" s="42"/>
    </row>
    <row r="270" spans="2:4" ht="16" thickBot="1" x14ac:dyDescent="0.25">
      <c r="B270" s="4">
        <v>265</v>
      </c>
      <c r="C270" s="10">
        <v>248.10537078874731</v>
      </c>
      <c r="D270" s="42"/>
    </row>
    <row r="271" spans="2:4" ht="16" thickBot="1" x14ac:dyDescent="0.25">
      <c r="B271" s="5">
        <v>266</v>
      </c>
      <c r="C271" s="11">
        <v>81.951825964684133</v>
      </c>
      <c r="D271" s="42"/>
    </row>
    <row r="272" spans="2:4" ht="16" thickBot="1" x14ac:dyDescent="0.25">
      <c r="B272" s="4">
        <v>267</v>
      </c>
      <c r="C272" s="10">
        <v>151.07539751342398</v>
      </c>
      <c r="D272" s="42"/>
    </row>
    <row r="273" spans="2:4" ht="16" thickBot="1" x14ac:dyDescent="0.25">
      <c r="B273" s="5">
        <v>268</v>
      </c>
      <c r="C273" s="11">
        <v>369.36557145722884</v>
      </c>
      <c r="D273" s="42"/>
    </row>
    <row r="274" spans="2:4" ht="16" thickBot="1" x14ac:dyDescent="0.25">
      <c r="B274" s="4">
        <v>269</v>
      </c>
      <c r="C274" s="10">
        <v>380.33188981053382</v>
      </c>
      <c r="D274" s="42"/>
    </row>
    <row r="275" spans="2:4" ht="16" thickBot="1" x14ac:dyDescent="0.25">
      <c r="B275" s="5">
        <v>270</v>
      </c>
      <c r="C275" s="11">
        <v>497.45429460209431</v>
      </c>
      <c r="D275" s="42"/>
    </row>
    <row r="276" spans="2:4" ht="16" thickBot="1" x14ac:dyDescent="0.25">
      <c r="B276" s="4">
        <v>271</v>
      </c>
      <c r="C276" s="10">
        <v>248.07544869993151</v>
      </c>
      <c r="D276" s="42"/>
    </row>
    <row r="277" spans="2:4" ht="16" thickBot="1" x14ac:dyDescent="0.25">
      <c r="B277" s="5">
        <v>272</v>
      </c>
      <c r="C277" s="11">
        <v>204.37944158783912</v>
      </c>
      <c r="D277" s="42"/>
    </row>
    <row r="278" spans="2:4" ht="16" thickBot="1" x14ac:dyDescent="0.25">
      <c r="B278" s="4">
        <v>273</v>
      </c>
      <c r="C278" s="10">
        <v>453.46239538145858</v>
      </c>
      <c r="D278" s="42"/>
    </row>
    <row r="279" spans="2:4" ht="16" thickBot="1" x14ac:dyDescent="0.25">
      <c r="B279" s="5">
        <v>274</v>
      </c>
      <c r="C279" s="11">
        <v>327.67264177211462</v>
      </c>
      <c r="D279" s="42"/>
    </row>
    <row r="280" spans="2:4" ht="16" thickBot="1" x14ac:dyDescent="0.25">
      <c r="B280" s="4">
        <v>275</v>
      </c>
      <c r="C280" s="10">
        <v>329.54945901956512</v>
      </c>
      <c r="D280" s="42"/>
    </row>
    <row r="281" spans="2:4" ht="16" thickBot="1" x14ac:dyDescent="0.25">
      <c r="B281" s="5">
        <v>276</v>
      </c>
      <c r="C281" s="11">
        <v>555.73837247241534</v>
      </c>
      <c r="D281" s="42"/>
    </row>
    <row r="282" spans="2:4" ht="16" thickBot="1" x14ac:dyDescent="0.25">
      <c r="B282" s="4">
        <v>277</v>
      </c>
      <c r="C282" s="10">
        <v>285.01152861970189</v>
      </c>
      <c r="D282" s="42"/>
    </row>
    <row r="283" spans="2:4" ht="16" thickBot="1" x14ac:dyDescent="0.25">
      <c r="B283" s="5">
        <v>278</v>
      </c>
      <c r="C283" s="11">
        <v>145.23085600579554</v>
      </c>
      <c r="D283" s="42"/>
    </row>
    <row r="284" spans="2:4" ht="16" thickBot="1" x14ac:dyDescent="0.25">
      <c r="B284" s="4">
        <v>279</v>
      </c>
      <c r="C284" s="10">
        <v>223.72289211929797</v>
      </c>
      <c r="D284" s="42"/>
    </row>
    <row r="285" spans="2:4" ht="16" thickBot="1" x14ac:dyDescent="0.25">
      <c r="B285" s="5">
        <v>280</v>
      </c>
      <c r="C285" s="11">
        <v>306.51731668397798</v>
      </c>
      <c r="D285" s="42"/>
    </row>
    <row r="286" spans="2:4" ht="16" thickBot="1" x14ac:dyDescent="0.25">
      <c r="B286" s="4">
        <v>281</v>
      </c>
      <c r="C286" s="10">
        <v>284.18964496452492</v>
      </c>
      <c r="D286" s="42"/>
    </row>
    <row r="287" spans="2:4" ht="16" thickBot="1" x14ac:dyDescent="0.25">
      <c r="B287" s="5">
        <v>282</v>
      </c>
      <c r="C287" s="11">
        <v>235.13183151480661</v>
      </c>
      <c r="D287" s="42"/>
    </row>
    <row r="288" spans="2:4" ht="16" thickBot="1" x14ac:dyDescent="0.25">
      <c r="B288" s="4">
        <v>283</v>
      </c>
      <c r="C288" s="10">
        <v>882.44987146540791</v>
      </c>
      <c r="D288" s="42"/>
    </row>
    <row r="289" spans="2:4" ht="16" thickBot="1" x14ac:dyDescent="0.25">
      <c r="B289" s="5">
        <v>284</v>
      </c>
      <c r="C289" s="11">
        <v>119.4760869268577</v>
      </c>
      <c r="D289" s="42"/>
    </row>
    <row r="290" spans="2:4" ht="16" thickBot="1" x14ac:dyDescent="0.25">
      <c r="B290" s="4">
        <v>285</v>
      </c>
      <c r="C290" s="10">
        <v>119.29416595011503</v>
      </c>
      <c r="D290" s="42"/>
    </row>
    <row r="291" spans="2:4" ht="16" thickBot="1" x14ac:dyDescent="0.25">
      <c r="B291" s="5">
        <v>286</v>
      </c>
      <c r="C291" s="11">
        <v>574.72461586447162</v>
      </c>
      <c r="D291" s="42"/>
    </row>
    <row r="292" spans="2:4" ht="16" thickBot="1" x14ac:dyDescent="0.25">
      <c r="B292" s="4">
        <v>287</v>
      </c>
      <c r="C292" s="10">
        <v>116.20910505946588</v>
      </c>
      <c r="D292" s="42"/>
    </row>
    <row r="293" spans="2:4" ht="16" thickBot="1" x14ac:dyDescent="0.25">
      <c r="B293" s="5">
        <v>288</v>
      </c>
      <c r="C293" s="11">
        <v>390.10843318018726</v>
      </c>
      <c r="D293" s="42"/>
    </row>
    <row r="294" spans="2:4" ht="16" thickBot="1" x14ac:dyDescent="0.25">
      <c r="B294" s="4">
        <v>289</v>
      </c>
      <c r="C294" s="10">
        <v>122.20898952055585</v>
      </c>
      <c r="D294" s="42"/>
    </row>
    <row r="295" spans="2:4" ht="16" thickBot="1" x14ac:dyDescent="0.25">
      <c r="B295" s="5">
        <v>290</v>
      </c>
      <c r="C295" s="11">
        <v>93.249723497151933</v>
      </c>
      <c r="D295" s="42"/>
    </row>
    <row r="296" spans="2:4" ht="16" thickBot="1" x14ac:dyDescent="0.25">
      <c r="B296" s="4">
        <v>291</v>
      </c>
      <c r="C296" s="10">
        <v>174.17752010881193</v>
      </c>
      <c r="D296" s="42"/>
    </row>
    <row r="297" spans="2:4" ht="16" thickBot="1" x14ac:dyDescent="0.25">
      <c r="B297" s="5">
        <v>292</v>
      </c>
      <c r="C297" s="11">
        <v>77.132212554252845</v>
      </c>
      <c r="D297" s="42"/>
    </row>
    <row r="298" spans="2:4" ht="16" thickBot="1" x14ac:dyDescent="0.25">
      <c r="B298" s="4">
        <v>293</v>
      </c>
      <c r="C298" s="10">
        <v>106.69004527080767</v>
      </c>
      <c r="D298" s="42"/>
    </row>
    <row r="299" spans="2:4" ht="16" thickBot="1" x14ac:dyDescent="0.25">
      <c r="B299" s="5">
        <v>294</v>
      </c>
      <c r="C299" s="11">
        <v>439.82970100789163</v>
      </c>
      <c r="D299" s="42"/>
    </row>
    <row r="300" spans="2:4" ht="16" thickBot="1" x14ac:dyDescent="0.25">
      <c r="B300" s="4">
        <v>295</v>
      </c>
      <c r="C300" s="10">
        <v>228.7896917152579</v>
      </c>
      <c r="D300" s="42"/>
    </row>
    <row r="301" spans="2:4" ht="16" thickBot="1" x14ac:dyDescent="0.25">
      <c r="B301" s="5">
        <v>296</v>
      </c>
      <c r="C301" s="11">
        <v>306.67139931666651</v>
      </c>
      <c r="D301" s="42"/>
    </row>
    <row r="302" spans="2:4" ht="16" thickBot="1" x14ac:dyDescent="0.25">
      <c r="B302" s="4">
        <v>297</v>
      </c>
      <c r="C302" s="10">
        <v>273.23264491564794</v>
      </c>
      <c r="D302" s="42"/>
    </row>
    <row r="303" spans="2:4" ht="16" thickBot="1" x14ac:dyDescent="0.25">
      <c r="B303" s="5">
        <v>298</v>
      </c>
      <c r="C303" s="11">
        <v>539.76172274445059</v>
      </c>
      <c r="D303" s="42"/>
    </row>
    <row r="304" spans="2:4" ht="16" thickBot="1" x14ac:dyDescent="0.25">
      <c r="B304" s="4">
        <v>299</v>
      </c>
      <c r="C304" s="10">
        <v>282.90041561673553</v>
      </c>
      <c r="D304" s="42"/>
    </row>
    <row r="305" spans="2:4" ht="16" thickBot="1" x14ac:dyDescent="0.25">
      <c r="B305" s="5">
        <v>300</v>
      </c>
      <c r="C305" s="11">
        <v>159.4821969536265</v>
      </c>
      <c r="D305" s="42"/>
    </row>
    <row r="306" spans="2:4" ht="16" thickBot="1" x14ac:dyDescent="0.25">
      <c r="B306" s="4">
        <v>301</v>
      </c>
      <c r="C306" s="10">
        <v>193.44456936407138</v>
      </c>
      <c r="D306" s="42"/>
    </row>
    <row r="307" spans="2:4" ht="16" thickBot="1" x14ac:dyDescent="0.25">
      <c r="B307" s="5">
        <v>302</v>
      </c>
      <c r="C307" s="11">
        <v>277.75521197515178</v>
      </c>
      <c r="D307" s="42"/>
    </row>
    <row r="308" spans="2:4" ht="16" thickBot="1" x14ac:dyDescent="0.25">
      <c r="B308" s="4">
        <v>303</v>
      </c>
      <c r="C308" s="10">
        <v>129.04025591216813</v>
      </c>
      <c r="D308" s="42"/>
    </row>
    <row r="309" spans="2:4" ht="16" thickBot="1" x14ac:dyDescent="0.25">
      <c r="B309" s="5">
        <v>304</v>
      </c>
      <c r="C309" s="11">
        <v>279.91216919611122</v>
      </c>
      <c r="D309" s="42"/>
    </row>
    <row r="310" spans="2:4" ht="16" thickBot="1" x14ac:dyDescent="0.25">
      <c r="B310" s="4">
        <v>305</v>
      </c>
      <c r="C310" s="10">
        <v>456.46224671270772</v>
      </c>
      <c r="D310" s="42"/>
    </row>
    <row r="311" spans="2:4" ht="16" thickBot="1" x14ac:dyDescent="0.25">
      <c r="B311" s="5">
        <v>306</v>
      </c>
      <c r="C311" s="11">
        <v>234.2363492245783</v>
      </c>
      <c r="D311" s="42"/>
    </row>
    <row r="312" spans="2:4" ht="16" thickBot="1" x14ac:dyDescent="0.25">
      <c r="B312" s="4">
        <v>307</v>
      </c>
      <c r="C312" s="10">
        <v>63.031149722524368</v>
      </c>
      <c r="D312" s="42"/>
    </row>
    <row r="313" spans="2:4" ht="16" thickBot="1" x14ac:dyDescent="0.25">
      <c r="B313" s="5">
        <v>308</v>
      </c>
      <c r="C313" s="11">
        <v>105.57382860430701</v>
      </c>
      <c r="D313" s="42"/>
    </row>
    <row r="314" spans="2:4" ht="16" thickBot="1" x14ac:dyDescent="0.25">
      <c r="B314" s="4">
        <v>309</v>
      </c>
      <c r="C314" s="10">
        <v>87.00431956224611</v>
      </c>
      <c r="D314" s="42"/>
    </row>
    <row r="315" spans="2:4" ht="16" thickBot="1" x14ac:dyDescent="0.25">
      <c r="B315" s="5">
        <v>310</v>
      </c>
      <c r="C315" s="11">
        <v>230.57554806694426</v>
      </c>
      <c r="D315" s="42"/>
    </row>
    <row r="316" spans="2:4" ht="16" thickBot="1" x14ac:dyDescent="0.25">
      <c r="B316" s="4">
        <v>311</v>
      </c>
      <c r="C316" s="10">
        <v>50.386655375035154</v>
      </c>
      <c r="D316" s="42"/>
    </row>
    <row r="317" spans="2:4" ht="16" thickBot="1" x14ac:dyDescent="0.25">
      <c r="B317" s="5">
        <v>312</v>
      </c>
      <c r="C317" s="11">
        <v>224.03156717464782</v>
      </c>
      <c r="D317" s="42"/>
    </row>
    <row r="318" spans="2:4" ht="16" thickBot="1" x14ac:dyDescent="0.25">
      <c r="B318" s="4">
        <v>313</v>
      </c>
      <c r="C318" s="10">
        <v>260.30479009214815</v>
      </c>
      <c r="D318" s="42"/>
    </row>
    <row r="319" spans="2:4" ht="16" thickBot="1" x14ac:dyDescent="0.25">
      <c r="B319" s="5">
        <v>314</v>
      </c>
      <c r="C319" s="11">
        <v>591.80798969100158</v>
      </c>
      <c r="D319" s="42"/>
    </row>
    <row r="320" spans="2:4" ht="16" thickBot="1" x14ac:dyDescent="0.25">
      <c r="B320" s="4">
        <v>315</v>
      </c>
      <c r="C320" s="10">
        <v>351.90909085186701</v>
      </c>
      <c r="D320" s="42"/>
    </row>
    <row r="321" spans="2:4" ht="16" thickBot="1" x14ac:dyDescent="0.25">
      <c r="B321" s="5">
        <v>316</v>
      </c>
      <c r="C321" s="11">
        <v>551.03984138902479</v>
      </c>
      <c r="D321" s="42"/>
    </row>
    <row r="322" spans="2:4" ht="16" thickBot="1" x14ac:dyDescent="0.25">
      <c r="B322" s="4">
        <v>317</v>
      </c>
      <c r="C322" s="10">
        <v>307.13223512835742</v>
      </c>
      <c r="D322" s="42"/>
    </row>
    <row r="323" spans="2:4" ht="16" thickBot="1" x14ac:dyDescent="0.25">
      <c r="B323" s="5">
        <v>318</v>
      </c>
      <c r="C323" s="11">
        <v>149.78074086061676</v>
      </c>
      <c r="D323" s="42"/>
    </row>
    <row r="324" spans="2:4" ht="16" thickBot="1" x14ac:dyDescent="0.25">
      <c r="B324" s="4">
        <v>319</v>
      </c>
      <c r="C324" s="10">
        <v>121.31219569487942</v>
      </c>
      <c r="D324" s="42"/>
    </row>
    <row r="325" spans="2:4" ht="16" thickBot="1" x14ac:dyDescent="0.25">
      <c r="B325" s="5">
        <v>320</v>
      </c>
      <c r="C325" s="11">
        <v>204.27604699840512</v>
      </c>
      <c r="D325" s="42"/>
    </row>
    <row r="326" spans="2:4" ht="16" thickBot="1" x14ac:dyDescent="0.25">
      <c r="B326" s="4">
        <v>321</v>
      </c>
      <c r="C326" s="10">
        <v>158.75251298271922</v>
      </c>
      <c r="D326" s="42"/>
    </row>
    <row r="327" spans="2:4" ht="16" thickBot="1" x14ac:dyDescent="0.25">
      <c r="B327" s="5">
        <v>322</v>
      </c>
      <c r="C327" s="11">
        <v>415.89227597614479</v>
      </c>
      <c r="D327" s="42"/>
    </row>
    <row r="328" spans="2:4" ht="16" thickBot="1" x14ac:dyDescent="0.25">
      <c r="B328" s="4">
        <v>323</v>
      </c>
      <c r="C328" s="10">
        <v>175.98500917143278</v>
      </c>
      <c r="D328" s="42"/>
    </row>
    <row r="329" spans="2:4" ht="16" thickBot="1" x14ac:dyDescent="0.25">
      <c r="B329" s="5">
        <v>324</v>
      </c>
      <c r="C329" s="11">
        <v>311.72279628759912</v>
      </c>
      <c r="D329" s="42"/>
    </row>
    <row r="330" spans="2:4" ht="16" thickBot="1" x14ac:dyDescent="0.25">
      <c r="B330" s="4">
        <v>325</v>
      </c>
      <c r="C330" s="10">
        <v>550.3481137257678</v>
      </c>
      <c r="D330" s="42"/>
    </row>
    <row r="331" spans="2:4" ht="16" thickBot="1" x14ac:dyDescent="0.25">
      <c r="B331" s="5">
        <v>326</v>
      </c>
      <c r="C331" s="11">
        <v>357.34963892974406</v>
      </c>
      <c r="D331" s="42"/>
    </row>
    <row r="332" spans="2:4" ht="16" thickBot="1" x14ac:dyDescent="0.25">
      <c r="B332" s="4">
        <v>327</v>
      </c>
      <c r="C332" s="10">
        <v>157.48156821323445</v>
      </c>
      <c r="D332" s="42"/>
    </row>
    <row r="333" spans="2:4" ht="16" thickBot="1" x14ac:dyDescent="0.25">
      <c r="B333" s="5">
        <v>328</v>
      </c>
      <c r="C333" s="11">
        <v>454.10269648340665</v>
      </c>
      <c r="D333" s="42"/>
    </row>
    <row r="334" spans="2:4" ht="16" thickBot="1" x14ac:dyDescent="0.25">
      <c r="B334" s="4">
        <v>329</v>
      </c>
      <c r="C334" s="10">
        <v>48.36132962031045</v>
      </c>
      <c r="D334" s="42"/>
    </row>
    <row r="335" spans="2:4" ht="16" thickBot="1" x14ac:dyDescent="0.25">
      <c r="B335" s="5">
        <v>330</v>
      </c>
      <c r="C335" s="11">
        <v>248.18384612369985</v>
      </c>
      <c r="D335" s="42"/>
    </row>
    <row r="336" spans="2:4" ht="16" thickBot="1" x14ac:dyDescent="0.25">
      <c r="B336" s="4">
        <v>331</v>
      </c>
      <c r="C336" s="10">
        <v>222.13434438523726</v>
      </c>
      <c r="D336" s="42"/>
    </row>
    <row r="337" spans="2:4" ht="16" thickBot="1" x14ac:dyDescent="0.25">
      <c r="B337" s="5">
        <v>332</v>
      </c>
      <c r="C337" s="11">
        <v>320.43094024515972</v>
      </c>
      <c r="D337" s="42"/>
    </row>
    <row r="338" spans="2:4" ht="16" thickBot="1" x14ac:dyDescent="0.25">
      <c r="B338" s="4">
        <v>333</v>
      </c>
      <c r="C338" s="10">
        <v>139.8547100240215</v>
      </c>
      <c r="D338" s="42"/>
    </row>
    <row r="339" spans="2:4" ht="16" thickBot="1" x14ac:dyDescent="0.25">
      <c r="B339" s="5">
        <v>334</v>
      </c>
      <c r="C339" s="11">
        <v>183.58398438765997</v>
      </c>
      <c r="D339" s="42"/>
    </row>
    <row r="340" spans="2:4" ht="16" thickBot="1" x14ac:dyDescent="0.25">
      <c r="B340" s="4">
        <v>335</v>
      </c>
      <c r="C340" s="10">
        <v>323.05285086751786</v>
      </c>
      <c r="D340" s="42"/>
    </row>
    <row r="341" spans="2:4" ht="16" thickBot="1" x14ac:dyDescent="0.25">
      <c r="B341" s="5">
        <v>336</v>
      </c>
      <c r="C341" s="11">
        <v>109.47358446718142</v>
      </c>
      <c r="D341" s="42"/>
    </row>
    <row r="342" spans="2:4" ht="16" thickBot="1" x14ac:dyDescent="0.25">
      <c r="B342" s="4">
        <v>337</v>
      </c>
      <c r="C342" s="10">
        <v>207.19322019198003</v>
      </c>
      <c r="D342" s="42"/>
    </row>
    <row r="343" spans="2:4" ht="16" thickBot="1" x14ac:dyDescent="0.25">
      <c r="B343" s="5">
        <v>338</v>
      </c>
      <c r="C343" s="11">
        <v>299.81079482178905</v>
      </c>
      <c r="D343" s="42"/>
    </row>
    <row r="344" spans="2:4" ht="16" thickBot="1" x14ac:dyDescent="0.25">
      <c r="B344" s="4">
        <v>339</v>
      </c>
      <c r="C344" s="10">
        <v>160.07367871476887</v>
      </c>
      <c r="D344" s="42"/>
    </row>
    <row r="345" spans="2:4" ht="16" thickBot="1" x14ac:dyDescent="0.25">
      <c r="B345" s="5">
        <v>340</v>
      </c>
      <c r="C345" s="11">
        <v>121.56276071811914</v>
      </c>
      <c r="D345" s="42"/>
    </row>
    <row r="346" spans="2:4" ht="16" thickBot="1" x14ac:dyDescent="0.25">
      <c r="B346" s="4">
        <v>341</v>
      </c>
      <c r="C346" s="10">
        <v>722.52966765814654</v>
      </c>
      <c r="D346" s="42"/>
    </row>
    <row r="347" spans="2:4" ht="16" thickBot="1" x14ac:dyDescent="0.25">
      <c r="B347" s="5">
        <v>342</v>
      </c>
      <c r="C347" s="11">
        <v>157.2229105767716</v>
      </c>
      <c r="D347" s="42"/>
    </row>
    <row r="348" spans="2:4" ht="16" thickBot="1" x14ac:dyDescent="0.25">
      <c r="B348" s="4">
        <v>343</v>
      </c>
      <c r="C348" s="10">
        <v>231.09522355336719</v>
      </c>
      <c r="D348" s="42"/>
    </row>
    <row r="349" spans="2:4" ht="16" thickBot="1" x14ac:dyDescent="0.25">
      <c r="B349" s="5">
        <v>344</v>
      </c>
      <c r="C349" s="11">
        <v>415.97680779801351</v>
      </c>
      <c r="D349" s="42"/>
    </row>
    <row r="350" spans="2:4" ht="16" thickBot="1" x14ac:dyDescent="0.25">
      <c r="B350" s="4">
        <v>345</v>
      </c>
      <c r="C350" s="10">
        <v>44.542774346574916</v>
      </c>
      <c r="D350" s="42"/>
    </row>
    <row r="351" spans="2:4" ht="16" thickBot="1" x14ac:dyDescent="0.25">
      <c r="B351" s="5">
        <v>346</v>
      </c>
      <c r="C351" s="11">
        <v>191.75791121068985</v>
      </c>
      <c r="D351" s="42"/>
    </row>
    <row r="352" spans="2:4" ht="16" thickBot="1" x14ac:dyDescent="0.25">
      <c r="B352" s="4">
        <v>347</v>
      </c>
      <c r="C352" s="10">
        <v>256.1480358988282</v>
      </c>
      <c r="D352" s="42"/>
    </row>
    <row r="353" spans="2:4" ht="16" thickBot="1" x14ac:dyDescent="0.25">
      <c r="B353" s="5">
        <v>348</v>
      </c>
      <c r="C353" s="11">
        <v>75.679425040354275</v>
      </c>
      <c r="D353" s="42"/>
    </row>
    <row r="354" spans="2:4" ht="16" thickBot="1" x14ac:dyDescent="0.25">
      <c r="B354" s="4">
        <v>349</v>
      </c>
      <c r="C354" s="10">
        <v>341.3407087961665</v>
      </c>
      <c r="D354" s="42"/>
    </row>
    <row r="355" spans="2:4" ht="16" thickBot="1" x14ac:dyDescent="0.25">
      <c r="B355" s="5">
        <v>350</v>
      </c>
      <c r="C355" s="11">
        <v>285.32551767937389</v>
      </c>
      <c r="D355" s="42"/>
    </row>
    <row r="356" spans="2:4" ht="16" thickBot="1" x14ac:dyDescent="0.25">
      <c r="B356" s="4">
        <v>351</v>
      </c>
      <c r="C356" s="10">
        <v>283.40799176043339</v>
      </c>
      <c r="D356" s="42"/>
    </row>
    <row r="357" spans="2:4" ht="16" thickBot="1" x14ac:dyDescent="0.25">
      <c r="B357" s="5">
        <v>352</v>
      </c>
      <c r="C357" s="11">
        <v>355.57321667664263</v>
      </c>
      <c r="D357" s="42"/>
    </row>
    <row r="358" spans="2:4" ht="16" thickBot="1" x14ac:dyDescent="0.25">
      <c r="B358" s="4">
        <v>353</v>
      </c>
      <c r="C358" s="10">
        <v>641.40264805318759</v>
      </c>
      <c r="D358" s="42"/>
    </row>
    <row r="359" spans="2:4" ht="16" thickBot="1" x14ac:dyDescent="0.25">
      <c r="B359" s="5">
        <v>354</v>
      </c>
      <c r="C359" s="11">
        <v>608.91287555252097</v>
      </c>
      <c r="D359" s="42"/>
    </row>
    <row r="360" spans="2:4" ht="16" thickBot="1" x14ac:dyDescent="0.25">
      <c r="B360" s="4">
        <v>355</v>
      </c>
      <c r="C360" s="10">
        <v>113.38683533113246</v>
      </c>
      <c r="D360" s="42"/>
    </row>
    <row r="361" spans="2:4" ht="16" thickBot="1" x14ac:dyDescent="0.25">
      <c r="B361" s="5">
        <v>356</v>
      </c>
      <c r="C361" s="11">
        <v>156.50953020590916</v>
      </c>
      <c r="D361" s="42"/>
    </row>
    <row r="362" spans="2:4" ht="16" thickBot="1" x14ac:dyDescent="0.25">
      <c r="B362" s="4">
        <v>357</v>
      </c>
      <c r="C362" s="10">
        <v>236.44514326700846</v>
      </c>
      <c r="D362" s="42"/>
    </row>
    <row r="363" spans="2:4" ht="16" thickBot="1" x14ac:dyDescent="0.25">
      <c r="B363" s="5">
        <v>358</v>
      </c>
      <c r="C363" s="11">
        <v>268.08057434699555</v>
      </c>
      <c r="D363" s="42"/>
    </row>
    <row r="364" spans="2:4" ht="16" thickBot="1" x14ac:dyDescent="0.25">
      <c r="B364" s="4">
        <v>359</v>
      </c>
      <c r="C364" s="10">
        <v>504.54445255440453</v>
      </c>
      <c r="D364" s="42"/>
    </row>
    <row r="365" spans="2:4" ht="16" thickBot="1" x14ac:dyDescent="0.25">
      <c r="B365" s="5">
        <v>360</v>
      </c>
      <c r="C365" s="11">
        <v>178.70246191021488</v>
      </c>
      <c r="D365" s="42"/>
    </row>
    <row r="366" spans="2:4" ht="16" thickBot="1" x14ac:dyDescent="0.25">
      <c r="B366" s="4">
        <v>361</v>
      </c>
      <c r="C366" s="10">
        <v>425.50634730527952</v>
      </c>
      <c r="D366" s="42"/>
    </row>
    <row r="367" spans="2:4" ht="16" thickBot="1" x14ac:dyDescent="0.25">
      <c r="B367" s="5">
        <v>362</v>
      </c>
      <c r="C367" s="11">
        <v>71.539328750523254</v>
      </c>
      <c r="D367" s="42"/>
    </row>
    <row r="368" spans="2:4" ht="16" thickBot="1" x14ac:dyDescent="0.25">
      <c r="B368" s="4">
        <v>363</v>
      </c>
      <c r="C368" s="10">
        <v>208.51572202607812</v>
      </c>
      <c r="D368" s="42"/>
    </row>
    <row r="369" spans="2:4" ht="16" thickBot="1" x14ac:dyDescent="0.25">
      <c r="B369" s="5">
        <v>364</v>
      </c>
      <c r="C369" s="11">
        <v>459.53259143969757</v>
      </c>
      <c r="D369" s="42"/>
    </row>
    <row r="370" spans="2:4" ht="16" thickBot="1" x14ac:dyDescent="0.25">
      <c r="B370" s="4">
        <v>365</v>
      </c>
      <c r="C370" s="10">
        <v>219.71708695334584</v>
      </c>
      <c r="D370" s="42"/>
    </row>
    <row r="371" spans="2:4" ht="16" thickBot="1" x14ac:dyDescent="0.25">
      <c r="B371" s="5">
        <v>366</v>
      </c>
      <c r="C371" s="11">
        <v>255.00025796766263</v>
      </c>
      <c r="D371" s="42"/>
    </row>
    <row r="372" spans="2:4" ht="16" thickBot="1" x14ac:dyDescent="0.25">
      <c r="B372" s="4">
        <v>367</v>
      </c>
      <c r="C372" s="10">
        <v>100.16580054985666</v>
      </c>
      <c r="D372" s="42"/>
    </row>
    <row r="373" spans="2:4" ht="16" thickBot="1" x14ac:dyDescent="0.25">
      <c r="B373" s="5">
        <v>368</v>
      </c>
      <c r="C373" s="11">
        <v>806.21266855536658</v>
      </c>
      <c r="D373" s="42"/>
    </row>
    <row r="374" spans="2:4" ht="16" thickBot="1" x14ac:dyDescent="0.25">
      <c r="B374" s="4">
        <v>369</v>
      </c>
      <c r="C374" s="10">
        <v>651.07980987540111</v>
      </c>
      <c r="D374" s="42"/>
    </row>
    <row r="375" spans="2:4" ht="16" thickBot="1" x14ac:dyDescent="0.25">
      <c r="B375" s="5">
        <v>370</v>
      </c>
      <c r="C375" s="11">
        <v>197.36546097595627</v>
      </c>
      <c r="D375" s="42"/>
    </row>
    <row r="376" spans="2:4" ht="16" thickBot="1" x14ac:dyDescent="0.25">
      <c r="B376" s="4">
        <v>371</v>
      </c>
      <c r="C376" s="10">
        <v>387.72385618741691</v>
      </c>
      <c r="D376" s="42"/>
    </row>
    <row r="377" spans="2:4" ht="16" thickBot="1" x14ac:dyDescent="0.25">
      <c r="B377" s="5">
        <v>372</v>
      </c>
      <c r="C377" s="11">
        <v>308.54191640489245</v>
      </c>
      <c r="D377" s="42"/>
    </row>
    <row r="378" spans="2:4" ht="16" thickBot="1" x14ac:dyDescent="0.25">
      <c r="B378" s="4">
        <v>373</v>
      </c>
      <c r="C378" s="10">
        <v>138.39276096276294</v>
      </c>
      <c r="D378" s="42"/>
    </row>
    <row r="379" spans="2:4" ht="16" thickBot="1" x14ac:dyDescent="0.25">
      <c r="B379" s="5">
        <v>374</v>
      </c>
      <c r="C379" s="11">
        <v>399.23007389431285</v>
      </c>
      <c r="D379" s="42"/>
    </row>
    <row r="380" spans="2:4" ht="16" thickBot="1" x14ac:dyDescent="0.25">
      <c r="B380" s="4">
        <v>375</v>
      </c>
      <c r="C380" s="10">
        <v>450.11889609136506</v>
      </c>
      <c r="D380" s="42"/>
    </row>
    <row r="381" spans="2:4" ht="16" thickBot="1" x14ac:dyDescent="0.25">
      <c r="B381" s="5">
        <v>376</v>
      </c>
      <c r="C381" s="11">
        <v>316.83620474742258</v>
      </c>
      <c r="D381" s="42"/>
    </row>
    <row r="382" spans="2:4" ht="16" thickBot="1" x14ac:dyDescent="0.25">
      <c r="B382" s="4">
        <v>377</v>
      </c>
      <c r="C382" s="10">
        <v>243.9518170690892</v>
      </c>
      <c r="D382" s="42"/>
    </row>
    <row r="383" spans="2:4" ht="16" thickBot="1" x14ac:dyDescent="0.25">
      <c r="B383" s="5">
        <v>378</v>
      </c>
      <c r="C383" s="11">
        <v>207.38868608975193</v>
      </c>
      <c r="D383" s="42"/>
    </row>
    <row r="384" spans="2:4" ht="16" thickBot="1" x14ac:dyDescent="0.25">
      <c r="B384" s="4">
        <v>379</v>
      </c>
      <c r="C384" s="10">
        <v>154.18227951272939</v>
      </c>
      <c r="D384" s="42"/>
    </row>
    <row r="385" spans="2:4" ht="16" thickBot="1" x14ac:dyDescent="0.25">
      <c r="B385" s="5">
        <v>380</v>
      </c>
      <c r="C385" s="11">
        <v>277.27766624767764</v>
      </c>
      <c r="D385" s="42"/>
    </row>
    <row r="386" spans="2:4" ht="16" thickBot="1" x14ac:dyDescent="0.25">
      <c r="B386" s="4">
        <v>381</v>
      </c>
      <c r="C386" s="10">
        <v>196.82436673532888</v>
      </c>
      <c r="D386" s="42"/>
    </row>
    <row r="387" spans="2:4" ht="16" thickBot="1" x14ac:dyDescent="0.25">
      <c r="B387" s="5">
        <v>382</v>
      </c>
      <c r="C387" s="11">
        <v>403.69476598311843</v>
      </c>
      <c r="D387" s="42"/>
    </row>
    <row r="388" spans="2:4" ht="16" thickBot="1" x14ac:dyDescent="0.25">
      <c r="B388" s="4">
        <v>383</v>
      </c>
      <c r="C388" s="10">
        <v>20.189801110768986</v>
      </c>
      <c r="D388" s="42"/>
    </row>
    <row r="389" spans="2:4" ht="16" thickBot="1" x14ac:dyDescent="0.25">
      <c r="B389" s="5">
        <v>384</v>
      </c>
      <c r="C389" s="11">
        <v>184.277860865701</v>
      </c>
      <c r="D389" s="42"/>
    </row>
    <row r="390" spans="2:4" ht="16" thickBot="1" x14ac:dyDescent="0.25">
      <c r="B390" s="4">
        <v>385</v>
      </c>
      <c r="C390" s="10">
        <v>407.25353616512677</v>
      </c>
      <c r="D390" s="42"/>
    </row>
    <row r="391" spans="2:4" ht="16" thickBot="1" x14ac:dyDescent="0.25">
      <c r="B391" s="5">
        <v>386</v>
      </c>
      <c r="C391" s="11">
        <v>109.38947721872758</v>
      </c>
      <c r="D391" s="42"/>
    </row>
    <row r="392" spans="2:4" ht="16" thickBot="1" x14ac:dyDescent="0.25">
      <c r="B392" s="4">
        <v>387</v>
      </c>
      <c r="C392" s="10">
        <v>269.35361262127196</v>
      </c>
      <c r="D392" s="42"/>
    </row>
    <row r="393" spans="2:4" ht="16" thickBot="1" x14ac:dyDescent="0.25">
      <c r="B393" s="5">
        <v>388</v>
      </c>
      <c r="C393" s="11">
        <v>234.20009216560914</v>
      </c>
      <c r="D393" s="42"/>
    </row>
    <row r="394" spans="2:4" ht="16" thickBot="1" x14ac:dyDescent="0.25">
      <c r="B394" s="4">
        <v>389</v>
      </c>
      <c r="C394" s="10">
        <v>472.75250256859823</v>
      </c>
      <c r="D394" s="42"/>
    </row>
    <row r="395" spans="2:4" ht="16" thickBot="1" x14ac:dyDescent="0.25">
      <c r="B395" s="5">
        <v>390</v>
      </c>
      <c r="C395" s="11">
        <v>606.58669471013866</v>
      </c>
      <c r="D395" s="42"/>
    </row>
    <row r="396" spans="2:4" ht="16" thickBot="1" x14ac:dyDescent="0.25">
      <c r="B396" s="4">
        <v>391</v>
      </c>
      <c r="C396" s="10">
        <v>406.26947964994559</v>
      </c>
      <c r="D396" s="42"/>
    </row>
    <row r="397" spans="2:4" ht="16" thickBot="1" x14ac:dyDescent="0.25">
      <c r="B397" s="5">
        <v>392</v>
      </c>
      <c r="C397" s="11">
        <v>149.66780711351927</v>
      </c>
      <c r="D397" s="42"/>
    </row>
    <row r="398" spans="2:4" ht="16" thickBot="1" x14ac:dyDescent="0.25">
      <c r="B398" s="4">
        <v>393</v>
      </c>
      <c r="C398" s="10">
        <v>490.30866278537633</v>
      </c>
      <c r="D398" s="42"/>
    </row>
    <row r="399" spans="2:4" ht="16" thickBot="1" x14ac:dyDescent="0.25">
      <c r="B399" s="5">
        <v>394</v>
      </c>
      <c r="C399" s="11">
        <v>319.98774439556229</v>
      </c>
      <c r="D399" s="42"/>
    </row>
    <row r="400" spans="2:4" ht="16" thickBot="1" x14ac:dyDescent="0.25">
      <c r="B400" s="4">
        <v>395</v>
      </c>
      <c r="C400" s="10">
        <v>59.835787414825646</v>
      </c>
      <c r="D400" s="42"/>
    </row>
    <row r="401" spans="2:4" ht="16" thickBot="1" x14ac:dyDescent="0.25">
      <c r="B401" s="5">
        <v>396</v>
      </c>
      <c r="C401" s="11">
        <v>183.41665479713956</v>
      </c>
      <c r="D401" s="42"/>
    </row>
    <row r="402" spans="2:4" ht="16" thickBot="1" x14ac:dyDescent="0.25">
      <c r="B402" s="4">
        <v>397</v>
      </c>
      <c r="C402" s="10">
        <v>169.94008989263463</v>
      </c>
      <c r="D402" s="42"/>
    </row>
    <row r="403" spans="2:4" ht="16" thickBot="1" x14ac:dyDescent="0.25">
      <c r="B403" s="5">
        <v>398</v>
      </c>
      <c r="C403" s="11">
        <v>138.45932029026446</v>
      </c>
      <c r="D403" s="42"/>
    </row>
    <row r="404" spans="2:4" ht="16" thickBot="1" x14ac:dyDescent="0.25">
      <c r="B404" s="4">
        <v>399</v>
      </c>
      <c r="C404" s="10">
        <v>336.16151348677005</v>
      </c>
      <c r="D404" s="42"/>
    </row>
    <row r="405" spans="2:4" ht="16" thickBot="1" x14ac:dyDescent="0.25">
      <c r="B405" s="5">
        <v>400</v>
      </c>
      <c r="C405" s="11">
        <v>286.10361782275032</v>
      </c>
      <c r="D405" s="42"/>
    </row>
    <row r="406" spans="2:4" ht="16" thickBot="1" x14ac:dyDescent="0.25">
      <c r="B406" s="4">
        <v>401</v>
      </c>
      <c r="C406" s="10">
        <v>155.71621928030314</v>
      </c>
      <c r="D406" s="42"/>
    </row>
    <row r="407" spans="2:4" ht="16" thickBot="1" x14ac:dyDescent="0.25">
      <c r="B407" s="5">
        <v>402</v>
      </c>
      <c r="C407" s="11">
        <v>233.75953171830494</v>
      </c>
      <c r="D407" s="42"/>
    </row>
    <row r="408" spans="2:4" ht="16" thickBot="1" x14ac:dyDescent="0.25">
      <c r="B408" s="4">
        <v>403</v>
      </c>
      <c r="C408" s="10">
        <v>192.6007809042035</v>
      </c>
      <c r="D408" s="42"/>
    </row>
    <row r="409" spans="2:4" ht="16" thickBot="1" x14ac:dyDescent="0.25">
      <c r="B409" s="5">
        <v>404</v>
      </c>
      <c r="C409" s="11">
        <v>114.9481661195364</v>
      </c>
      <c r="D409" s="42"/>
    </row>
    <row r="410" spans="2:4" ht="16" thickBot="1" x14ac:dyDescent="0.25">
      <c r="B410" s="4">
        <v>405</v>
      </c>
      <c r="C410" s="10">
        <v>164.12181511421537</v>
      </c>
      <c r="D410" s="42"/>
    </row>
    <row r="411" spans="2:4" ht="16" thickBot="1" x14ac:dyDescent="0.25">
      <c r="B411" s="5">
        <v>406</v>
      </c>
      <c r="C411" s="11">
        <v>170.9360788031976</v>
      </c>
      <c r="D411" s="42"/>
    </row>
    <row r="412" spans="2:4" ht="16" thickBot="1" x14ac:dyDescent="0.25">
      <c r="B412" s="4">
        <v>407</v>
      </c>
      <c r="C412" s="10">
        <v>294.5294334804986</v>
      </c>
      <c r="D412" s="42"/>
    </row>
    <row r="413" spans="2:4" ht="16" thickBot="1" x14ac:dyDescent="0.25">
      <c r="B413" s="5">
        <v>408</v>
      </c>
      <c r="C413" s="11">
        <v>173.50209881323718</v>
      </c>
      <c r="D413" s="42"/>
    </row>
    <row r="414" spans="2:4" ht="16" thickBot="1" x14ac:dyDescent="0.25">
      <c r="B414" s="4">
        <v>409</v>
      </c>
      <c r="C414" s="10">
        <v>22.217822636708352</v>
      </c>
      <c r="D414" s="42"/>
    </row>
    <row r="415" spans="2:4" ht="16" thickBot="1" x14ac:dyDescent="0.25">
      <c r="B415" s="5">
        <v>410</v>
      </c>
      <c r="C415" s="11">
        <v>155.75140759073915</v>
      </c>
      <c r="D415" s="42"/>
    </row>
    <row r="416" spans="2:4" ht="16" thickBot="1" x14ac:dyDescent="0.25">
      <c r="B416" s="4">
        <v>411</v>
      </c>
      <c r="C416" s="10">
        <v>498.51287133275673</v>
      </c>
      <c r="D416" s="42"/>
    </row>
    <row r="417" spans="2:4" ht="16" thickBot="1" x14ac:dyDescent="0.25">
      <c r="B417" s="5">
        <v>412</v>
      </c>
      <c r="C417" s="11">
        <v>451.88403948167758</v>
      </c>
      <c r="D417" s="42"/>
    </row>
    <row r="418" spans="2:4" ht="16" thickBot="1" x14ac:dyDescent="0.25">
      <c r="B418" s="4">
        <v>413</v>
      </c>
      <c r="C418" s="10">
        <v>490.84090049298425</v>
      </c>
      <c r="D418" s="42"/>
    </row>
    <row r="419" spans="2:4" ht="16" thickBot="1" x14ac:dyDescent="0.25">
      <c r="B419" s="5">
        <v>414</v>
      </c>
      <c r="C419" s="11">
        <v>104.10893655954973</v>
      </c>
      <c r="D419" s="42"/>
    </row>
    <row r="420" spans="2:4" ht="16" thickBot="1" x14ac:dyDescent="0.25">
      <c r="B420" s="4">
        <v>415</v>
      </c>
      <c r="C420" s="10">
        <v>170.54403965669107</v>
      </c>
      <c r="D420" s="42"/>
    </row>
    <row r="421" spans="2:4" ht="16" thickBot="1" x14ac:dyDescent="0.25">
      <c r="B421" s="5">
        <v>416</v>
      </c>
      <c r="C421" s="11">
        <v>414.95981358665784</v>
      </c>
      <c r="D421" s="42"/>
    </row>
    <row r="422" spans="2:4" ht="16" thickBot="1" x14ac:dyDescent="0.25">
      <c r="B422" s="4">
        <v>417</v>
      </c>
      <c r="C422" s="10">
        <v>235.71132890653536</v>
      </c>
      <c r="D422" s="42"/>
    </row>
    <row r="423" spans="2:4" ht="16" thickBot="1" x14ac:dyDescent="0.25">
      <c r="B423" s="5">
        <v>418</v>
      </c>
      <c r="C423" s="11">
        <v>439.88180636818441</v>
      </c>
      <c r="D423" s="42"/>
    </row>
    <row r="424" spans="2:4" ht="16" thickBot="1" x14ac:dyDescent="0.25">
      <c r="B424" s="4">
        <v>419</v>
      </c>
      <c r="C424" s="10">
        <v>95.843948556242808</v>
      </c>
      <c r="D424" s="42"/>
    </row>
    <row r="425" spans="2:4" ht="16" thickBot="1" x14ac:dyDescent="0.25">
      <c r="B425" s="5">
        <v>420</v>
      </c>
      <c r="C425" s="11">
        <v>503.9427285223386</v>
      </c>
      <c r="D425" s="42"/>
    </row>
    <row r="426" spans="2:4" ht="16" thickBot="1" x14ac:dyDescent="0.25">
      <c r="B426" s="4">
        <v>421</v>
      </c>
      <c r="C426" s="10">
        <v>241.70359524012679</v>
      </c>
      <c r="D426" s="42"/>
    </row>
    <row r="427" spans="2:4" ht="16" thickBot="1" x14ac:dyDescent="0.25">
      <c r="B427" s="5">
        <v>422</v>
      </c>
      <c r="C427" s="11">
        <v>110.93535897015104</v>
      </c>
      <c r="D427" s="42"/>
    </row>
    <row r="428" spans="2:4" ht="16" thickBot="1" x14ac:dyDescent="0.25">
      <c r="B428" s="4">
        <v>423</v>
      </c>
      <c r="C428" s="10">
        <v>500.19765585276679</v>
      </c>
      <c r="D428" s="42"/>
    </row>
    <row r="429" spans="2:4" ht="16" thickBot="1" x14ac:dyDescent="0.25">
      <c r="B429" s="5">
        <v>424</v>
      </c>
      <c r="C429" s="11">
        <v>184.60425945785562</v>
      </c>
      <c r="D429" s="42"/>
    </row>
    <row r="430" spans="2:4" ht="16" thickBot="1" x14ac:dyDescent="0.25">
      <c r="B430" s="4">
        <v>425</v>
      </c>
      <c r="C430" s="10">
        <v>147.86993586158155</v>
      </c>
      <c r="D430" s="42"/>
    </row>
    <row r="431" spans="2:4" ht="16" thickBot="1" x14ac:dyDescent="0.25">
      <c r="B431" s="5">
        <v>426</v>
      </c>
      <c r="C431" s="11">
        <v>54.406741062198336</v>
      </c>
      <c r="D431" s="42"/>
    </row>
    <row r="432" spans="2:4" ht="16" thickBot="1" x14ac:dyDescent="0.25">
      <c r="B432" s="4">
        <v>427</v>
      </c>
      <c r="C432" s="10">
        <v>320.83652779523851</v>
      </c>
      <c r="D432" s="42"/>
    </row>
    <row r="433" spans="2:4" ht="16" thickBot="1" x14ac:dyDescent="0.25">
      <c r="B433" s="5">
        <v>428</v>
      </c>
      <c r="C433" s="11">
        <v>228.51583350090223</v>
      </c>
      <c r="D433" s="42"/>
    </row>
    <row r="434" spans="2:4" ht="16" thickBot="1" x14ac:dyDescent="0.25">
      <c r="B434" s="4">
        <v>429</v>
      </c>
      <c r="C434" s="10">
        <v>393.64599036853991</v>
      </c>
      <c r="D434" s="42"/>
    </row>
    <row r="435" spans="2:4" ht="16" thickBot="1" x14ac:dyDescent="0.25">
      <c r="B435" s="5">
        <v>430</v>
      </c>
      <c r="C435" s="11">
        <v>106.79498490066803</v>
      </c>
      <c r="D435" s="42"/>
    </row>
    <row r="436" spans="2:4" ht="16" thickBot="1" x14ac:dyDescent="0.25">
      <c r="B436" s="4">
        <v>431</v>
      </c>
      <c r="C436" s="10">
        <v>185.73385168421004</v>
      </c>
      <c r="D436" s="42"/>
    </row>
    <row r="437" spans="2:4" ht="16" thickBot="1" x14ac:dyDescent="0.25">
      <c r="B437" s="5">
        <v>432</v>
      </c>
      <c r="C437" s="11">
        <v>171.82440958844867</v>
      </c>
      <c r="D437" s="42"/>
    </row>
    <row r="438" spans="2:4" ht="16" thickBot="1" x14ac:dyDescent="0.25">
      <c r="B438" s="4">
        <v>433</v>
      </c>
      <c r="C438" s="10">
        <v>342.09189391896342</v>
      </c>
      <c r="D438" s="42"/>
    </row>
    <row r="439" spans="2:4" ht="16" thickBot="1" x14ac:dyDescent="0.25">
      <c r="B439" s="5">
        <v>434</v>
      </c>
      <c r="C439" s="11">
        <v>219.17165297774147</v>
      </c>
      <c r="D439" s="42"/>
    </row>
    <row r="440" spans="2:4" ht="16" thickBot="1" x14ac:dyDescent="0.25">
      <c r="B440" s="4">
        <v>435</v>
      </c>
      <c r="C440" s="10">
        <v>205.65213930340468</v>
      </c>
      <c r="D440" s="42"/>
    </row>
    <row r="441" spans="2:4" ht="16" thickBot="1" x14ac:dyDescent="0.25">
      <c r="B441" s="5">
        <v>436</v>
      </c>
      <c r="C441" s="11">
        <v>101.56666305821931</v>
      </c>
      <c r="D441" s="42"/>
    </row>
    <row r="442" spans="2:4" ht="16" thickBot="1" x14ac:dyDescent="0.25">
      <c r="B442" s="4">
        <v>437</v>
      </c>
      <c r="C442" s="10">
        <v>305.07041656558044</v>
      </c>
      <c r="D442" s="42"/>
    </row>
    <row r="443" spans="2:4" ht="16" thickBot="1" x14ac:dyDescent="0.25">
      <c r="B443" s="5">
        <v>438</v>
      </c>
      <c r="C443" s="11">
        <v>573.5993442023514</v>
      </c>
      <c r="D443" s="42"/>
    </row>
    <row r="444" spans="2:4" ht="16" thickBot="1" x14ac:dyDescent="0.25">
      <c r="B444" s="4">
        <v>439</v>
      </c>
      <c r="C444" s="10">
        <v>206.34961100366394</v>
      </c>
      <c r="D444" s="42"/>
    </row>
    <row r="445" spans="2:4" ht="16" thickBot="1" x14ac:dyDescent="0.25">
      <c r="B445" s="5">
        <v>440</v>
      </c>
      <c r="C445" s="11">
        <v>77.29439403022046</v>
      </c>
      <c r="D445" s="42"/>
    </row>
    <row r="446" spans="2:4" ht="16" thickBot="1" x14ac:dyDescent="0.25">
      <c r="B446" s="4">
        <v>441</v>
      </c>
      <c r="C446" s="10">
        <v>253.34305342855262</v>
      </c>
      <c r="D446" s="42"/>
    </row>
    <row r="447" spans="2:4" ht="16" thickBot="1" x14ac:dyDescent="0.25">
      <c r="B447" s="5">
        <v>442</v>
      </c>
      <c r="C447" s="11">
        <v>360.48640863909441</v>
      </c>
      <c r="D447" s="42"/>
    </row>
    <row r="448" spans="2:4" ht="16" thickBot="1" x14ac:dyDescent="0.25">
      <c r="B448" s="4">
        <v>443</v>
      </c>
      <c r="C448" s="10">
        <v>355.13138032592082</v>
      </c>
      <c r="D448" s="42"/>
    </row>
    <row r="449" spans="2:4" ht="16" thickBot="1" x14ac:dyDescent="0.25">
      <c r="B449" s="5">
        <v>444</v>
      </c>
      <c r="C449" s="11">
        <v>201.22276982590972</v>
      </c>
      <c r="D449" s="42"/>
    </row>
    <row r="450" spans="2:4" ht="16" thickBot="1" x14ac:dyDescent="0.25">
      <c r="B450" s="4">
        <v>445</v>
      </c>
      <c r="C450" s="10">
        <v>212.45054499059484</v>
      </c>
      <c r="D450" s="42"/>
    </row>
    <row r="451" spans="2:4" ht="16" thickBot="1" x14ac:dyDescent="0.25">
      <c r="B451" s="5">
        <v>446</v>
      </c>
      <c r="C451" s="11">
        <v>202.76712031649896</v>
      </c>
      <c r="D451" s="42"/>
    </row>
    <row r="452" spans="2:4" ht="16" thickBot="1" x14ac:dyDescent="0.25">
      <c r="B452" s="4">
        <v>447</v>
      </c>
      <c r="C452" s="10">
        <v>248.28905112605707</v>
      </c>
      <c r="D452" s="42"/>
    </row>
    <row r="453" spans="2:4" ht="16" thickBot="1" x14ac:dyDescent="0.25">
      <c r="B453" s="5">
        <v>448</v>
      </c>
      <c r="C453" s="11">
        <v>82.447287923440541</v>
      </c>
      <c r="D453" s="42"/>
    </row>
    <row r="454" spans="2:4" ht="16" thickBot="1" x14ac:dyDescent="0.25">
      <c r="B454" s="4">
        <v>449</v>
      </c>
      <c r="C454" s="10">
        <v>49.181918276106543</v>
      </c>
      <c r="D454" s="42"/>
    </row>
    <row r="455" spans="2:4" ht="16" thickBot="1" x14ac:dyDescent="0.25">
      <c r="B455" s="5">
        <v>450</v>
      </c>
      <c r="C455" s="11">
        <v>126.71537900914035</v>
      </c>
      <c r="D455" s="42"/>
    </row>
    <row r="456" spans="2:4" ht="16" thickBot="1" x14ac:dyDescent="0.25">
      <c r="B456" s="4">
        <v>451</v>
      </c>
      <c r="C456" s="10">
        <v>527.94961313422971</v>
      </c>
      <c r="D456" s="42"/>
    </row>
    <row r="457" spans="2:4" ht="16" thickBot="1" x14ac:dyDescent="0.25">
      <c r="B457" s="5">
        <v>452</v>
      </c>
      <c r="C457" s="11">
        <v>100.7613581334133</v>
      </c>
      <c r="D457" s="42"/>
    </row>
    <row r="458" spans="2:4" ht="16" thickBot="1" x14ac:dyDescent="0.25">
      <c r="B458" s="4">
        <v>453</v>
      </c>
      <c r="C458" s="10">
        <v>83.120846347604868</v>
      </c>
      <c r="D458" s="42"/>
    </row>
    <row r="459" spans="2:4" ht="16" thickBot="1" x14ac:dyDescent="0.25">
      <c r="B459" s="5">
        <v>454</v>
      </c>
      <c r="C459" s="11">
        <v>15.438427192484278</v>
      </c>
      <c r="D459" s="42"/>
    </row>
    <row r="460" spans="2:4" ht="16" thickBot="1" x14ac:dyDescent="0.25">
      <c r="B460" s="4">
        <v>455</v>
      </c>
      <c r="C460" s="10">
        <v>324.21239200186022</v>
      </c>
      <c r="D460" s="42"/>
    </row>
    <row r="461" spans="2:4" ht="16" thickBot="1" x14ac:dyDescent="0.25">
      <c r="B461" s="5">
        <v>456</v>
      </c>
      <c r="C461" s="11">
        <v>148.23195739957913</v>
      </c>
      <c r="D461" s="42"/>
    </row>
    <row r="462" spans="2:4" ht="16" thickBot="1" x14ac:dyDescent="0.25">
      <c r="B462" s="4">
        <v>457</v>
      </c>
      <c r="C462" s="10">
        <v>154.11974708430023</v>
      </c>
      <c r="D462" s="42"/>
    </row>
    <row r="463" spans="2:4" ht="16" thickBot="1" x14ac:dyDescent="0.25">
      <c r="B463" s="5">
        <v>458</v>
      </c>
      <c r="C463" s="11">
        <v>123.89748760666555</v>
      </c>
      <c r="D463" s="42"/>
    </row>
    <row r="464" spans="2:4" ht="16" thickBot="1" x14ac:dyDescent="0.25">
      <c r="B464" s="4">
        <v>459</v>
      </c>
      <c r="C464" s="10">
        <v>236.14059807782891</v>
      </c>
      <c r="D464" s="42"/>
    </row>
    <row r="465" spans="2:4" ht="16" thickBot="1" x14ac:dyDescent="0.25">
      <c r="B465" s="5">
        <v>460</v>
      </c>
      <c r="C465" s="11">
        <v>219.91311110152722</v>
      </c>
      <c r="D465" s="42"/>
    </row>
    <row r="466" spans="2:4" ht="16" thickBot="1" x14ac:dyDescent="0.25">
      <c r="B466" s="4">
        <v>461</v>
      </c>
      <c r="C466" s="10">
        <v>38.128127453138198</v>
      </c>
      <c r="D466" s="42"/>
    </row>
    <row r="467" spans="2:4" ht="16" thickBot="1" x14ac:dyDescent="0.25">
      <c r="B467" s="5">
        <v>462</v>
      </c>
      <c r="C467" s="11">
        <v>245.49517651289293</v>
      </c>
      <c r="D467" s="42"/>
    </row>
    <row r="468" spans="2:4" ht="16" thickBot="1" x14ac:dyDescent="0.25">
      <c r="B468" s="4">
        <v>463</v>
      </c>
      <c r="C468" s="10">
        <v>260.41905392109004</v>
      </c>
      <c r="D468" s="42"/>
    </row>
    <row r="469" spans="2:4" ht="16" thickBot="1" x14ac:dyDescent="0.25">
      <c r="B469" s="5">
        <v>464</v>
      </c>
      <c r="C469" s="11">
        <v>948.45906739336817</v>
      </c>
      <c r="D469" s="42"/>
    </row>
    <row r="470" spans="2:4" ht="16" thickBot="1" x14ac:dyDescent="0.25">
      <c r="B470" s="4">
        <v>465</v>
      </c>
      <c r="C470" s="10">
        <v>123.2208401498757</v>
      </c>
      <c r="D470" s="42"/>
    </row>
    <row r="471" spans="2:4" ht="16" thickBot="1" x14ac:dyDescent="0.25">
      <c r="B471" s="5">
        <v>466</v>
      </c>
      <c r="C471" s="11">
        <v>56.992978480975196</v>
      </c>
      <c r="D471" s="42"/>
    </row>
    <row r="472" spans="2:4" ht="16" thickBot="1" x14ac:dyDescent="0.25">
      <c r="B472" s="4">
        <v>467</v>
      </c>
      <c r="C472" s="10">
        <v>265.34645708624583</v>
      </c>
      <c r="D472" s="42"/>
    </row>
    <row r="473" spans="2:4" ht="16" thickBot="1" x14ac:dyDescent="0.25">
      <c r="B473" s="5">
        <v>468</v>
      </c>
      <c r="C473" s="11">
        <v>490.32310329292517</v>
      </c>
      <c r="D473" s="42"/>
    </row>
    <row r="474" spans="2:4" ht="16" thickBot="1" x14ac:dyDescent="0.25">
      <c r="B474" s="4">
        <v>469</v>
      </c>
      <c r="C474" s="10">
        <v>237.47833958501411</v>
      </c>
      <c r="D474" s="42"/>
    </row>
    <row r="475" spans="2:4" ht="16" thickBot="1" x14ac:dyDescent="0.25">
      <c r="B475" s="5">
        <v>470</v>
      </c>
      <c r="C475" s="11">
        <v>138.8268677806646</v>
      </c>
      <c r="D475" s="42"/>
    </row>
    <row r="476" spans="2:4" ht="16" thickBot="1" x14ac:dyDescent="0.25">
      <c r="B476" s="4">
        <v>471</v>
      </c>
      <c r="C476" s="10">
        <v>154.16157319487445</v>
      </c>
      <c r="D476" s="42"/>
    </row>
    <row r="477" spans="2:4" ht="16" thickBot="1" x14ac:dyDescent="0.25">
      <c r="B477" s="5">
        <v>472</v>
      </c>
      <c r="C477" s="11">
        <v>320.75300078456479</v>
      </c>
      <c r="D477" s="42"/>
    </row>
    <row r="478" spans="2:4" ht="16" thickBot="1" x14ac:dyDescent="0.25">
      <c r="B478" s="4">
        <v>473</v>
      </c>
      <c r="C478" s="10">
        <v>444.53431700431577</v>
      </c>
      <c r="D478" s="42"/>
    </row>
    <row r="479" spans="2:4" ht="16" thickBot="1" x14ac:dyDescent="0.25">
      <c r="B479" s="5">
        <v>474</v>
      </c>
      <c r="C479" s="11">
        <v>105.2832403071297</v>
      </c>
      <c r="D479" s="42"/>
    </row>
    <row r="480" spans="2:4" ht="16" thickBot="1" x14ac:dyDescent="0.25">
      <c r="B480" s="4">
        <v>475</v>
      </c>
      <c r="C480" s="10">
        <v>354.29664349760765</v>
      </c>
      <c r="D480" s="42"/>
    </row>
    <row r="481" spans="2:4" ht="16" thickBot="1" x14ac:dyDescent="0.25">
      <c r="B481" s="5">
        <v>476</v>
      </c>
      <c r="C481" s="11">
        <v>312.09950486018829</v>
      </c>
      <c r="D481" s="42"/>
    </row>
    <row r="482" spans="2:4" ht="16" thickBot="1" x14ac:dyDescent="0.25">
      <c r="B482" s="4">
        <v>477</v>
      </c>
      <c r="C482" s="10">
        <v>144.75769399324136</v>
      </c>
      <c r="D482" s="42"/>
    </row>
    <row r="483" spans="2:4" ht="16" thickBot="1" x14ac:dyDescent="0.25">
      <c r="B483" s="5">
        <v>478</v>
      </c>
      <c r="C483" s="11">
        <v>97.298184571612964</v>
      </c>
      <c r="D483" s="42"/>
    </row>
    <row r="484" spans="2:4" ht="16" thickBot="1" x14ac:dyDescent="0.25">
      <c r="B484" s="4">
        <v>479</v>
      </c>
      <c r="C484" s="10">
        <v>441.98362015751286</v>
      </c>
      <c r="D484" s="42"/>
    </row>
    <row r="485" spans="2:4" ht="16" thickBot="1" x14ac:dyDescent="0.25">
      <c r="B485" s="5">
        <v>480</v>
      </c>
      <c r="C485" s="11">
        <v>261.06823727277384</v>
      </c>
      <c r="D485" s="42"/>
    </row>
    <row r="486" spans="2:4" ht="16" thickBot="1" x14ac:dyDescent="0.25">
      <c r="B486" s="4">
        <v>481</v>
      </c>
      <c r="C486" s="10">
        <v>66.300956175942218</v>
      </c>
      <c r="D486" s="42"/>
    </row>
    <row r="487" spans="2:4" ht="16" thickBot="1" x14ac:dyDescent="0.25">
      <c r="B487" s="5">
        <v>482</v>
      </c>
      <c r="C487" s="11">
        <v>165.11755346255666</v>
      </c>
      <c r="D487" s="42"/>
    </row>
    <row r="488" spans="2:4" ht="16" thickBot="1" x14ac:dyDescent="0.25">
      <c r="B488" s="4">
        <v>483</v>
      </c>
      <c r="C488" s="10">
        <v>293.94009205316058</v>
      </c>
      <c r="D488" s="42"/>
    </row>
    <row r="489" spans="2:4" ht="16" thickBot="1" x14ac:dyDescent="0.25">
      <c r="B489" s="5">
        <v>484</v>
      </c>
      <c r="C489" s="11">
        <v>179.92109794614194</v>
      </c>
      <c r="D489" s="42"/>
    </row>
    <row r="490" spans="2:4" ht="16" thickBot="1" x14ac:dyDescent="0.25">
      <c r="B490" s="4">
        <v>485</v>
      </c>
      <c r="C490" s="10">
        <v>136.76602196884775</v>
      </c>
      <c r="D490" s="42"/>
    </row>
    <row r="491" spans="2:4" ht="16" thickBot="1" x14ac:dyDescent="0.25">
      <c r="B491" s="5">
        <v>486</v>
      </c>
      <c r="C491" s="11">
        <v>272.5505649594399</v>
      </c>
      <c r="D491" s="42"/>
    </row>
    <row r="492" spans="2:4" ht="16" thickBot="1" x14ac:dyDescent="0.25">
      <c r="B492" s="4">
        <v>487</v>
      </c>
      <c r="C492" s="10">
        <v>141.90026290756745</v>
      </c>
      <c r="D492" s="42"/>
    </row>
    <row r="493" spans="2:4" ht="16" thickBot="1" x14ac:dyDescent="0.25">
      <c r="B493" s="5">
        <v>488</v>
      </c>
      <c r="C493" s="11">
        <v>110.00083974486665</v>
      </c>
      <c r="D493" s="42"/>
    </row>
    <row r="494" spans="2:4" ht="16" thickBot="1" x14ac:dyDescent="0.25">
      <c r="B494" s="4">
        <v>489</v>
      </c>
      <c r="C494" s="10">
        <v>222.41000419366475</v>
      </c>
      <c r="D494" s="42"/>
    </row>
    <row r="495" spans="2:4" ht="16" thickBot="1" x14ac:dyDescent="0.25">
      <c r="B495" s="5">
        <v>490</v>
      </c>
      <c r="C495" s="11">
        <v>429.18275240785249</v>
      </c>
      <c r="D495" s="42"/>
    </row>
    <row r="496" spans="2:4" ht="16" thickBot="1" x14ac:dyDescent="0.25">
      <c r="B496" s="4">
        <v>491</v>
      </c>
      <c r="C496" s="10">
        <v>50.302559421227862</v>
      </c>
      <c r="D496" s="42"/>
    </row>
    <row r="497" spans="2:4" ht="16" thickBot="1" x14ac:dyDescent="0.25">
      <c r="B497" s="5">
        <v>492</v>
      </c>
      <c r="C497" s="11">
        <v>382.72043658769098</v>
      </c>
      <c r="D497" s="42"/>
    </row>
    <row r="498" spans="2:4" ht="16" thickBot="1" x14ac:dyDescent="0.25">
      <c r="B498" s="4">
        <v>493</v>
      </c>
      <c r="C498" s="10">
        <v>172.65668559399103</v>
      </c>
      <c r="D498" s="42"/>
    </row>
    <row r="499" spans="2:4" ht="16" thickBot="1" x14ac:dyDescent="0.25">
      <c r="B499" s="5">
        <v>494</v>
      </c>
      <c r="C499" s="11">
        <v>316.88004170332999</v>
      </c>
      <c r="D499" s="42"/>
    </row>
    <row r="500" spans="2:4" ht="16" thickBot="1" x14ac:dyDescent="0.25">
      <c r="B500" s="4">
        <v>495</v>
      </c>
      <c r="C500" s="10">
        <v>201.30426929652927</v>
      </c>
      <c r="D500" s="42"/>
    </row>
    <row r="501" spans="2:4" ht="16" thickBot="1" x14ac:dyDescent="0.25">
      <c r="B501" s="5">
        <v>496</v>
      </c>
      <c r="C501" s="11">
        <v>164.99968100899289</v>
      </c>
      <c r="D501" s="42"/>
    </row>
    <row r="502" spans="2:4" ht="16" thickBot="1" x14ac:dyDescent="0.25">
      <c r="B502" s="4">
        <v>497</v>
      </c>
      <c r="C502" s="10">
        <v>198.30187803488568</v>
      </c>
      <c r="D502" s="42"/>
    </row>
    <row r="503" spans="2:4" ht="16" thickBot="1" x14ac:dyDescent="0.25">
      <c r="B503" s="5">
        <v>498</v>
      </c>
      <c r="C503" s="11">
        <v>283.7974661943955</v>
      </c>
      <c r="D503" s="42"/>
    </row>
    <row r="504" spans="2:4" ht="16" thickBot="1" x14ac:dyDescent="0.25">
      <c r="B504" s="4">
        <v>499</v>
      </c>
      <c r="C504" s="10">
        <v>210.47439183485037</v>
      </c>
      <c r="D504" s="42"/>
    </row>
    <row r="505" spans="2:4" ht="16" thickBot="1" x14ac:dyDescent="0.25">
      <c r="B505" s="5">
        <v>500</v>
      </c>
      <c r="C505" s="11">
        <v>131.44305202489684</v>
      </c>
      <c r="D505" s="42"/>
    </row>
    <row r="506" spans="2:4" ht="16" thickBot="1" x14ac:dyDescent="0.25">
      <c r="B506" s="4">
        <v>501</v>
      </c>
      <c r="C506" s="10">
        <v>604.06319490608541</v>
      </c>
      <c r="D506" s="42"/>
    </row>
    <row r="507" spans="2:4" ht="16" thickBot="1" x14ac:dyDescent="0.25">
      <c r="B507" s="5">
        <v>502</v>
      </c>
      <c r="C507" s="11">
        <v>233.26381225659108</v>
      </c>
      <c r="D507" s="42"/>
    </row>
    <row r="508" spans="2:4" ht="16" thickBot="1" x14ac:dyDescent="0.25">
      <c r="B508" s="4">
        <v>503</v>
      </c>
      <c r="C508" s="10">
        <v>359.30611093027738</v>
      </c>
      <c r="D508" s="42"/>
    </row>
    <row r="509" spans="2:4" ht="16" thickBot="1" x14ac:dyDescent="0.25">
      <c r="B509" s="5">
        <v>504</v>
      </c>
      <c r="C509" s="11">
        <v>195.93510654778683</v>
      </c>
      <c r="D509" s="42"/>
    </row>
    <row r="510" spans="2:4" ht="16" thickBot="1" x14ac:dyDescent="0.25">
      <c r="B510" s="4">
        <v>505</v>
      </c>
      <c r="C510" s="10">
        <v>77.936006606787643</v>
      </c>
      <c r="D510" s="42"/>
    </row>
    <row r="511" spans="2:4" ht="16" thickBot="1" x14ac:dyDescent="0.25">
      <c r="B511" s="5">
        <v>506</v>
      </c>
      <c r="C511" s="11">
        <v>191.5491153341527</v>
      </c>
      <c r="D511" s="42"/>
    </row>
    <row r="512" spans="2:4" ht="16" thickBot="1" x14ac:dyDescent="0.25">
      <c r="B512" s="4">
        <v>507</v>
      </c>
      <c r="C512" s="10">
        <v>362.45217326626124</v>
      </c>
      <c r="D512" s="42"/>
    </row>
    <row r="513" spans="2:4" ht="16" thickBot="1" x14ac:dyDescent="0.25">
      <c r="B513" s="5">
        <v>508</v>
      </c>
      <c r="C513" s="11">
        <v>187.96977592424585</v>
      </c>
      <c r="D513" s="42"/>
    </row>
    <row r="514" spans="2:4" ht="16" thickBot="1" x14ac:dyDescent="0.25">
      <c r="B514" s="4">
        <v>509</v>
      </c>
      <c r="C514" s="10">
        <v>180.97187353165094</v>
      </c>
      <c r="D514" s="42"/>
    </row>
    <row r="515" spans="2:4" ht="16" thickBot="1" x14ac:dyDescent="0.25">
      <c r="B515" s="5">
        <v>510</v>
      </c>
      <c r="C515" s="11">
        <v>328.60925179375278</v>
      </c>
      <c r="D515" s="42"/>
    </row>
    <row r="516" spans="2:4" ht="16" thickBot="1" x14ac:dyDescent="0.25">
      <c r="B516" s="4">
        <v>511</v>
      </c>
      <c r="C516" s="10">
        <v>316.2409094155455</v>
      </c>
      <c r="D516" s="42"/>
    </row>
    <row r="517" spans="2:4" ht="16" thickBot="1" x14ac:dyDescent="0.25">
      <c r="B517" s="5">
        <v>512</v>
      </c>
      <c r="C517" s="11">
        <v>176.24889234815973</v>
      </c>
      <c r="D517" s="42"/>
    </row>
    <row r="518" spans="2:4" ht="16" thickBot="1" x14ac:dyDescent="0.25">
      <c r="B518" s="4">
        <v>513</v>
      </c>
      <c r="C518" s="10">
        <v>220.56549467824337</v>
      </c>
      <c r="D518" s="42"/>
    </row>
    <row r="519" spans="2:4" ht="16" thickBot="1" x14ac:dyDescent="0.25">
      <c r="B519" s="5">
        <v>514</v>
      </c>
      <c r="C519" s="11">
        <v>84.920704041247362</v>
      </c>
      <c r="D519" s="42"/>
    </row>
    <row r="520" spans="2:4" ht="16" thickBot="1" x14ac:dyDescent="0.25">
      <c r="B520" s="4">
        <v>515</v>
      </c>
      <c r="C520" s="10">
        <v>88.533731340719498</v>
      </c>
      <c r="D520" s="42"/>
    </row>
    <row r="521" spans="2:4" ht="16" thickBot="1" x14ac:dyDescent="0.25">
      <c r="B521" s="5">
        <v>516</v>
      </c>
      <c r="C521" s="11">
        <v>148.55106347584234</v>
      </c>
      <c r="D521" s="42"/>
    </row>
    <row r="522" spans="2:4" ht="16" thickBot="1" x14ac:dyDescent="0.25">
      <c r="B522" s="4">
        <v>517</v>
      </c>
      <c r="C522" s="10">
        <v>221.22972688386241</v>
      </c>
      <c r="D522" s="42"/>
    </row>
    <row r="523" spans="2:4" ht="16" thickBot="1" x14ac:dyDescent="0.25">
      <c r="B523" s="5">
        <v>518</v>
      </c>
      <c r="C523" s="11">
        <v>101.34967017174122</v>
      </c>
      <c r="D523" s="42"/>
    </row>
    <row r="524" spans="2:4" ht="16" thickBot="1" x14ac:dyDescent="0.25">
      <c r="B524" s="4">
        <v>519</v>
      </c>
      <c r="C524" s="10">
        <v>295.88804039269235</v>
      </c>
      <c r="D524" s="42"/>
    </row>
    <row r="525" spans="2:4" ht="16" thickBot="1" x14ac:dyDescent="0.25">
      <c r="B525" s="5">
        <v>520</v>
      </c>
      <c r="C525" s="11">
        <v>132.54317305295814</v>
      </c>
      <c r="D525" s="42"/>
    </row>
    <row r="526" spans="2:4" ht="16" thickBot="1" x14ac:dyDescent="0.25">
      <c r="B526" s="4">
        <v>521</v>
      </c>
      <c r="C526" s="10">
        <v>216.48023358101022</v>
      </c>
      <c r="D526" s="42"/>
    </row>
    <row r="527" spans="2:4" ht="16" thickBot="1" x14ac:dyDescent="0.25">
      <c r="B527" s="5">
        <v>522</v>
      </c>
      <c r="C527" s="11">
        <v>581.99769526763566</v>
      </c>
      <c r="D527" s="42"/>
    </row>
    <row r="528" spans="2:4" ht="16" thickBot="1" x14ac:dyDescent="0.25">
      <c r="B528" s="4">
        <v>523</v>
      </c>
      <c r="C528" s="10">
        <v>529.14357601987354</v>
      </c>
      <c r="D528" s="42"/>
    </row>
    <row r="529" spans="2:4" ht="16" thickBot="1" x14ac:dyDescent="0.25">
      <c r="B529" s="5">
        <v>524</v>
      </c>
      <c r="C529" s="11">
        <v>224.19827720905013</v>
      </c>
      <c r="D529" s="42"/>
    </row>
    <row r="530" spans="2:4" ht="16" thickBot="1" x14ac:dyDescent="0.25">
      <c r="B530" s="4">
        <v>525</v>
      </c>
      <c r="C530" s="10">
        <v>62.300801129822986</v>
      </c>
      <c r="D530" s="42"/>
    </row>
    <row r="531" spans="2:4" ht="16" thickBot="1" x14ac:dyDescent="0.25">
      <c r="B531" s="5">
        <v>526</v>
      </c>
      <c r="C531" s="11">
        <v>195.17084638135557</v>
      </c>
      <c r="D531" s="42"/>
    </row>
    <row r="532" spans="2:4" ht="16" thickBot="1" x14ac:dyDescent="0.25">
      <c r="B532" s="4">
        <v>527</v>
      </c>
      <c r="C532" s="10">
        <v>230.75395850729277</v>
      </c>
      <c r="D532" s="42"/>
    </row>
    <row r="533" spans="2:4" ht="16" thickBot="1" x14ac:dyDescent="0.25">
      <c r="B533" s="5">
        <v>528</v>
      </c>
      <c r="C533" s="11">
        <v>520.77447189862824</v>
      </c>
      <c r="D533" s="42"/>
    </row>
    <row r="534" spans="2:4" ht="16" thickBot="1" x14ac:dyDescent="0.25">
      <c r="B534" s="4">
        <v>529</v>
      </c>
      <c r="C534" s="10">
        <v>63.024483894253081</v>
      </c>
      <c r="D534" s="42"/>
    </row>
    <row r="535" spans="2:4" ht="16" thickBot="1" x14ac:dyDescent="0.25">
      <c r="B535" s="5">
        <v>530</v>
      </c>
      <c r="C535" s="11">
        <v>375.8008959651068</v>
      </c>
      <c r="D535" s="42"/>
    </row>
    <row r="536" spans="2:4" ht="16" thickBot="1" x14ac:dyDescent="0.25">
      <c r="B536" s="4">
        <v>531</v>
      </c>
      <c r="C536" s="10">
        <v>244.01917446171049</v>
      </c>
      <c r="D536" s="42"/>
    </row>
    <row r="537" spans="2:4" ht="16" thickBot="1" x14ac:dyDescent="0.25">
      <c r="B537" s="5">
        <v>532</v>
      </c>
      <c r="C537" s="11">
        <v>385.57375819898743</v>
      </c>
      <c r="D537" s="42"/>
    </row>
    <row r="538" spans="2:4" ht="16" thickBot="1" x14ac:dyDescent="0.25">
      <c r="B538" s="4">
        <v>533</v>
      </c>
      <c r="C538" s="10">
        <v>391.21060427988283</v>
      </c>
      <c r="D538" s="42"/>
    </row>
    <row r="539" spans="2:4" ht="16" thickBot="1" x14ac:dyDescent="0.25">
      <c r="B539" s="5">
        <v>534</v>
      </c>
      <c r="C539" s="11">
        <v>97.515483861432699</v>
      </c>
      <c r="D539" s="42"/>
    </row>
    <row r="540" spans="2:4" ht="16" thickBot="1" x14ac:dyDescent="0.25">
      <c r="B540" s="4">
        <v>535</v>
      </c>
      <c r="C540" s="10">
        <v>254.12109673721693</v>
      </c>
      <c r="D540" s="42"/>
    </row>
    <row r="541" spans="2:4" ht="16" thickBot="1" x14ac:dyDescent="0.25">
      <c r="B541" s="5">
        <v>536</v>
      </c>
      <c r="C541" s="11">
        <v>323.89747739003883</v>
      </c>
      <c r="D541" s="42"/>
    </row>
    <row r="542" spans="2:4" ht="16" thickBot="1" x14ac:dyDescent="0.25">
      <c r="B542" s="4">
        <v>537</v>
      </c>
      <c r="C542" s="10">
        <v>493.06660875365475</v>
      </c>
      <c r="D542" s="42"/>
    </row>
    <row r="543" spans="2:4" ht="16" thickBot="1" x14ac:dyDescent="0.25">
      <c r="B543" s="5">
        <v>538</v>
      </c>
      <c r="C543" s="11">
        <v>364.97169005106826</v>
      </c>
      <c r="D543" s="42"/>
    </row>
    <row r="544" spans="2:4" ht="16" thickBot="1" x14ac:dyDescent="0.25">
      <c r="B544" s="4">
        <v>539</v>
      </c>
      <c r="C544" s="10">
        <v>210.60411381721042</v>
      </c>
      <c r="D544" s="42"/>
    </row>
    <row r="545" spans="2:4" ht="16" thickBot="1" x14ac:dyDescent="0.25">
      <c r="B545" s="5">
        <v>540</v>
      </c>
      <c r="C545" s="11">
        <v>310.12105333611828</v>
      </c>
      <c r="D545" s="42"/>
    </row>
    <row r="546" spans="2:4" ht="16" thickBot="1" x14ac:dyDescent="0.25">
      <c r="B546" s="4">
        <v>541</v>
      </c>
      <c r="C546" s="10">
        <v>293.73255937120797</v>
      </c>
      <c r="D546" s="42"/>
    </row>
    <row r="547" spans="2:4" ht="16" thickBot="1" x14ac:dyDescent="0.25">
      <c r="B547" s="5">
        <v>542</v>
      </c>
      <c r="C547" s="11">
        <v>419.66901922110907</v>
      </c>
      <c r="D547" s="42"/>
    </row>
    <row r="548" spans="2:4" ht="16" thickBot="1" x14ac:dyDescent="0.25">
      <c r="B548" s="4">
        <v>543</v>
      </c>
      <c r="C548" s="10">
        <v>354.14906866954067</v>
      </c>
      <c r="D548" s="42"/>
    </row>
    <row r="549" spans="2:4" ht="16" thickBot="1" x14ac:dyDescent="0.25">
      <c r="B549" s="5">
        <v>544</v>
      </c>
      <c r="C549" s="11">
        <v>491.1298588486959</v>
      </c>
      <c r="D549" s="42"/>
    </row>
    <row r="550" spans="2:4" ht="16" thickBot="1" x14ac:dyDescent="0.25">
      <c r="B550" s="4">
        <v>545</v>
      </c>
      <c r="C550" s="10">
        <v>304.27055956240361</v>
      </c>
      <c r="D550" s="42"/>
    </row>
    <row r="551" spans="2:4" ht="16" thickBot="1" x14ac:dyDescent="0.25">
      <c r="B551" s="5">
        <v>546</v>
      </c>
      <c r="C551" s="11">
        <v>82.056929257401649</v>
      </c>
      <c r="D551" s="42"/>
    </row>
    <row r="552" spans="2:4" ht="16" thickBot="1" x14ac:dyDescent="0.25">
      <c r="B552" s="4">
        <v>547</v>
      </c>
      <c r="C552" s="10">
        <v>277.34662323557473</v>
      </c>
      <c r="D552" s="42"/>
    </row>
    <row r="553" spans="2:4" ht="16" thickBot="1" x14ac:dyDescent="0.25">
      <c r="B553" s="5">
        <v>548</v>
      </c>
      <c r="C553" s="11">
        <v>276.17272045561691</v>
      </c>
      <c r="D553" s="42"/>
    </row>
    <row r="554" spans="2:4" ht="16" thickBot="1" x14ac:dyDescent="0.25">
      <c r="B554" s="4">
        <v>549</v>
      </c>
      <c r="C554" s="10">
        <v>53.015457343600602</v>
      </c>
      <c r="D554" s="42"/>
    </row>
    <row r="555" spans="2:4" ht="16" thickBot="1" x14ac:dyDescent="0.25">
      <c r="B555" s="5">
        <v>550</v>
      </c>
      <c r="C555" s="11">
        <v>282.48206727428425</v>
      </c>
      <c r="D555" s="42"/>
    </row>
    <row r="556" spans="2:4" ht="16" thickBot="1" x14ac:dyDescent="0.25">
      <c r="B556" s="4">
        <v>551</v>
      </c>
      <c r="C556" s="10">
        <v>234.13362874723515</v>
      </c>
      <c r="D556" s="42"/>
    </row>
    <row r="557" spans="2:4" ht="16" thickBot="1" x14ac:dyDescent="0.25">
      <c r="B557" s="5">
        <v>552</v>
      </c>
      <c r="C557" s="11">
        <v>321.40971361836205</v>
      </c>
      <c r="D557" s="42"/>
    </row>
    <row r="558" spans="2:4" ht="16" thickBot="1" x14ac:dyDescent="0.25">
      <c r="B558" s="4">
        <v>553</v>
      </c>
      <c r="C558" s="10">
        <v>69.118114934620422</v>
      </c>
      <c r="D558" s="42"/>
    </row>
    <row r="559" spans="2:4" ht="16" thickBot="1" x14ac:dyDescent="0.25">
      <c r="B559" s="5">
        <v>554</v>
      </c>
      <c r="C559" s="11">
        <v>204.50840975961026</v>
      </c>
      <c r="D559" s="42"/>
    </row>
    <row r="560" spans="2:4" ht="16" thickBot="1" x14ac:dyDescent="0.25">
      <c r="B560" s="4">
        <v>555</v>
      </c>
      <c r="C560" s="10">
        <v>262.68540891887261</v>
      </c>
      <c r="D560" s="42"/>
    </row>
    <row r="561" spans="2:4" ht="16" thickBot="1" x14ac:dyDescent="0.25">
      <c r="B561" s="5">
        <v>556</v>
      </c>
      <c r="C561" s="11">
        <v>471.41169172561024</v>
      </c>
      <c r="D561" s="42"/>
    </row>
    <row r="562" spans="2:4" ht="16" thickBot="1" x14ac:dyDescent="0.25">
      <c r="B562" s="4">
        <v>557</v>
      </c>
      <c r="C562" s="10">
        <v>123.33199285369146</v>
      </c>
      <c r="D562" s="42"/>
    </row>
    <row r="563" spans="2:4" ht="16" thickBot="1" x14ac:dyDescent="0.25">
      <c r="B563" s="5">
        <v>558</v>
      </c>
      <c r="C563" s="11">
        <v>150.33009787403336</v>
      </c>
      <c r="D563" s="42"/>
    </row>
    <row r="564" spans="2:4" ht="16" thickBot="1" x14ac:dyDescent="0.25">
      <c r="B564" s="4">
        <v>559</v>
      </c>
      <c r="C564" s="10">
        <v>208.22816567218797</v>
      </c>
      <c r="D564" s="42"/>
    </row>
    <row r="565" spans="2:4" ht="16" thickBot="1" x14ac:dyDescent="0.25">
      <c r="B565" s="5">
        <v>560</v>
      </c>
      <c r="C565" s="11">
        <v>202.9293540730869</v>
      </c>
      <c r="D565" s="42"/>
    </row>
    <row r="566" spans="2:4" ht="16" thickBot="1" x14ac:dyDescent="0.25">
      <c r="B566" s="4">
        <v>561</v>
      </c>
      <c r="C566" s="10">
        <v>296.72398054046135</v>
      </c>
      <c r="D566" s="42"/>
    </row>
    <row r="567" spans="2:4" ht="16" thickBot="1" x14ac:dyDescent="0.25">
      <c r="B567" s="5">
        <v>562</v>
      </c>
      <c r="C567" s="11">
        <v>149.87494730183482</v>
      </c>
      <c r="D567" s="42"/>
    </row>
    <row r="568" spans="2:4" ht="16" thickBot="1" x14ac:dyDescent="0.25">
      <c r="B568" s="4">
        <v>563</v>
      </c>
      <c r="C568" s="10">
        <v>311.71942066823834</v>
      </c>
      <c r="D568" s="42"/>
    </row>
    <row r="569" spans="2:4" ht="16" thickBot="1" x14ac:dyDescent="0.25">
      <c r="B569" s="5">
        <v>564</v>
      </c>
      <c r="C569" s="11">
        <v>119.24065218146272</v>
      </c>
      <c r="D569" s="42"/>
    </row>
    <row r="570" spans="2:4" ht="16" thickBot="1" x14ac:dyDescent="0.25">
      <c r="B570" s="4">
        <v>565</v>
      </c>
      <c r="C570" s="10">
        <v>120.05791024308448</v>
      </c>
      <c r="D570" s="42"/>
    </row>
    <row r="571" spans="2:4" ht="16" thickBot="1" x14ac:dyDescent="0.25">
      <c r="B571" s="5">
        <v>566</v>
      </c>
      <c r="C571" s="11">
        <v>115.64050895501246</v>
      </c>
      <c r="D571" s="42"/>
    </row>
    <row r="572" spans="2:4" ht="16" thickBot="1" x14ac:dyDescent="0.25">
      <c r="B572" s="4">
        <v>567</v>
      </c>
      <c r="C572" s="10">
        <v>41.060474529596789</v>
      </c>
      <c r="D572" s="42"/>
    </row>
    <row r="573" spans="2:4" ht="16" thickBot="1" x14ac:dyDescent="0.25">
      <c r="B573" s="5">
        <v>568</v>
      </c>
      <c r="C573" s="11">
        <v>347.2305231696634</v>
      </c>
      <c r="D573" s="42"/>
    </row>
    <row r="574" spans="2:4" ht="16" thickBot="1" x14ac:dyDescent="0.25">
      <c r="B574" s="4">
        <v>569</v>
      </c>
      <c r="C574" s="10">
        <v>151.09853995025989</v>
      </c>
      <c r="D574" s="42"/>
    </row>
    <row r="575" spans="2:4" ht="16" thickBot="1" x14ac:dyDescent="0.25">
      <c r="B575" s="5">
        <v>570</v>
      </c>
      <c r="C575" s="11">
        <v>105.09502908375754</v>
      </c>
      <c r="D575" s="42"/>
    </row>
    <row r="576" spans="2:4" ht="16" thickBot="1" x14ac:dyDescent="0.25">
      <c r="B576" s="4">
        <v>571</v>
      </c>
      <c r="C576" s="10">
        <v>260.13069852395603</v>
      </c>
      <c r="D576" s="42"/>
    </row>
    <row r="577" spans="2:4" ht="16" thickBot="1" x14ac:dyDescent="0.25">
      <c r="B577" s="5">
        <v>572</v>
      </c>
      <c r="C577" s="11">
        <v>502.99998943366683</v>
      </c>
      <c r="D577" s="42"/>
    </row>
    <row r="578" spans="2:4" ht="16" thickBot="1" x14ac:dyDescent="0.25">
      <c r="B578" s="4">
        <v>573</v>
      </c>
      <c r="C578" s="10">
        <v>142.90121091434614</v>
      </c>
      <c r="D578" s="42"/>
    </row>
    <row r="579" spans="2:4" ht="16" thickBot="1" x14ac:dyDescent="0.25">
      <c r="B579" s="5">
        <v>574</v>
      </c>
      <c r="C579" s="11">
        <v>618.60737846444852</v>
      </c>
      <c r="D579" s="42"/>
    </row>
    <row r="580" spans="2:4" ht="16" thickBot="1" x14ac:dyDescent="0.25">
      <c r="B580" s="4">
        <v>575</v>
      </c>
      <c r="C580" s="10">
        <v>521.22387138676163</v>
      </c>
      <c r="D580" s="42"/>
    </row>
    <row r="581" spans="2:4" ht="16" thickBot="1" x14ac:dyDescent="0.25">
      <c r="B581" s="5">
        <v>576</v>
      </c>
      <c r="C581" s="11">
        <v>313.92468947794617</v>
      </c>
      <c r="D581" s="42"/>
    </row>
    <row r="582" spans="2:4" ht="16" thickBot="1" x14ac:dyDescent="0.25">
      <c r="B582" s="4">
        <v>577</v>
      </c>
      <c r="C582" s="10">
        <v>86.795675356903899</v>
      </c>
      <c r="D582" s="42"/>
    </row>
    <row r="583" spans="2:4" ht="16" thickBot="1" x14ac:dyDescent="0.25">
      <c r="B583" s="5">
        <v>578</v>
      </c>
      <c r="C583" s="11">
        <v>248.25205365201464</v>
      </c>
      <c r="D583" s="42"/>
    </row>
    <row r="584" spans="2:4" ht="16" thickBot="1" x14ac:dyDescent="0.25">
      <c r="B584" s="4">
        <v>579</v>
      </c>
      <c r="C584" s="10">
        <v>517.45300156358212</v>
      </c>
      <c r="D584" s="42"/>
    </row>
    <row r="585" spans="2:4" ht="16" thickBot="1" x14ac:dyDescent="0.25">
      <c r="B585" s="5">
        <v>580</v>
      </c>
      <c r="C585" s="11">
        <v>209.36761329624267</v>
      </c>
      <c r="D585" s="42"/>
    </row>
    <row r="586" spans="2:4" ht="16" thickBot="1" x14ac:dyDescent="0.25">
      <c r="B586" s="4">
        <v>581</v>
      </c>
      <c r="C586" s="10">
        <v>492.52236035183307</v>
      </c>
      <c r="D586" s="42"/>
    </row>
    <row r="587" spans="2:4" ht="16" thickBot="1" x14ac:dyDescent="0.25">
      <c r="B587" s="5">
        <v>582</v>
      </c>
      <c r="C587" s="11">
        <v>274.83960911419342</v>
      </c>
      <c r="D587" s="42"/>
    </row>
    <row r="588" spans="2:4" ht="16" thickBot="1" x14ac:dyDescent="0.25">
      <c r="B588" s="4">
        <v>583</v>
      </c>
      <c r="C588" s="10">
        <v>389.00484501951667</v>
      </c>
      <c r="D588" s="42"/>
    </row>
    <row r="589" spans="2:4" ht="16" thickBot="1" x14ac:dyDescent="0.25">
      <c r="B589" s="5">
        <v>584</v>
      </c>
      <c r="C589" s="11">
        <v>859.68333239013066</v>
      </c>
      <c r="D589" s="42"/>
    </row>
    <row r="590" spans="2:4" ht="16" thickBot="1" x14ac:dyDescent="0.25">
      <c r="B590" s="4">
        <v>585</v>
      </c>
      <c r="C590" s="10">
        <v>162.84987482895937</v>
      </c>
      <c r="D590" s="42"/>
    </row>
    <row r="591" spans="2:4" ht="16" thickBot="1" x14ac:dyDescent="0.25">
      <c r="B591" s="5">
        <v>586</v>
      </c>
      <c r="C591" s="11">
        <v>84.139421973114011</v>
      </c>
      <c r="D591" s="42"/>
    </row>
    <row r="592" spans="2:4" ht="16" thickBot="1" x14ac:dyDescent="0.25">
      <c r="B592" s="4">
        <v>587</v>
      </c>
      <c r="C592" s="10">
        <v>117.0661314616505</v>
      </c>
      <c r="D592" s="42"/>
    </row>
    <row r="593" spans="2:4" ht="16" thickBot="1" x14ac:dyDescent="0.25">
      <c r="B593" s="5">
        <v>588</v>
      </c>
      <c r="C593" s="11">
        <v>113.70153050997018</v>
      </c>
      <c r="D593" s="42"/>
    </row>
    <row r="594" spans="2:4" ht="16" thickBot="1" x14ac:dyDescent="0.25">
      <c r="B594" s="4">
        <v>589</v>
      </c>
      <c r="C594" s="10">
        <v>139.00722556929622</v>
      </c>
      <c r="D594" s="42"/>
    </row>
    <row r="595" spans="2:4" ht="16" thickBot="1" x14ac:dyDescent="0.25">
      <c r="B595" s="5">
        <v>590</v>
      </c>
      <c r="C595" s="11">
        <v>429.69520063449397</v>
      </c>
      <c r="D595" s="42"/>
    </row>
    <row r="596" spans="2:4" ht="16" thickBot="1" x14ac:dyDescent="0.25">
      <c r="B596" s="4">
        <v>591</v>
      </c>
      <c r="C596" s="10">
        <v>90.030656645427328</v>
      </c>
      <c r="D596" s="42"/>
    </row>
    <row r="597" spans="2:4" ht="16" thickBot="1" x14ac:dyDescent="0.25">
      <c r="B597" s="5">
        <v>592</v>
      </c>
      <c r="C597" s="11">
        <v>226.54291031083605</v>
      </c>
      <c r="D597" s="42"/>
    </row>
    <row r="598" spans="2:4" ht="16" thickBot="1" x14ac:dyDescent="0.25">
      <c r="B598" s="4">
        <v>593</v>
      </c>
      <c r="C598" s="10">
        <v>859.63889143358756</v>
      </c>
      <c r="D598" s="42"/>
    </row>
    <row r="599" spans="2:4" ht="16" thickBot="1" x14ac:dyDescent="0.25">
      <c r="B599" s="5">
        <v>594</v>
      </c>
      <c r="C599" s="11">
        <v>455.24389275150719</v>
      </c>
      <c r="D599" s="42"/>
    </row>
    <row r="600" spans="2:4" ht="16" thickBot="1" x14ac:dyDescent="0.25">
      <c r="B600" s="4">
        <v>595</v>
      </c>
      <c r="C600" s="10">
        <v>327.87834671030168</v>
      </c>
      <c r="D600" s="42"/>
    </row>
    <row r="601" spans="2:4" ht="16" thickBot="1" x14ac:dyDescent="0.25">
      <c r="B601" s="5">
        <v>596</v>
      </c>
      <c r="C601" s="11">
        <v>279.61022127084635</v>
      </c>
      <c r="D601" s="42"/>
    </row>
    <row r="602" spans="2:4" ht="16" thickBot="1" x14ac:dyDescent="0.25">
      <c r="B602" s="4">
        <v>597</v>
      </c>
      <c r="C602" s="10">
        <v>333.80748671171813</v>
      </c>
      <c r="D602" s="42"/>
    </row>
    <row r="603" spans="2:4" ht="16" thickBot="1" x14ac:dyDescent="0.25">
      <c r="B603" s="5">
        <v>598</v>
      </c>
      <c r="C603" s="11">
        <v>408.61390393725202</v>
      </c>
      <c r="D603" s="42"/>
    </row>
    <row r="604" spans="2:4" ht="16" thickBot="1" x14ac:dyDescent="0.25">
      <c r="B604" s="4">
        <v>599</v>
      </c>
      <c r="C604" s="10">
        <v>422.35550470176639</v>
      </c>
      <c r="D604" s="42"/>
    </row>
    <row r="605" spans="2:4" ht="16" thickBot="1" x14ac:dyDescent="0.25">
      <c r="B605" s="5">
        <v>600</v>
      </c>
      <c r="C605" s="11">
        <v>295.16364010007459</v>
      </c>
      <c r="D605" s="42"/>
    </row>
    <row r="606" spans="2:4" ht="16" thickBot="1" x14ac:dyDescent="0.25">
      <c r="B606" s="4">
        <v>601</v>
      </c>
      <c r="C606" s="10">
        <v>228.28487549953445</v>
      </c>
      <c r="D606" s="42"/>
    </row>
    <row r="607" spans="2:4" ht="16" thickBot="1" x14ac:dyDescent="0.25">
      <c r="B607" s="5">
        <v>602</v>
      </c>
      <c r="C607" s="11">
        <v>93.62985816981778</v>
      </c>
      <c r="D607" s="42"/>
    </row>
    <row r="608" spans="2:4" ht="16" thickBot="1" x14ac:dyDescent="0.25">
      <c r="B608" s="4">
        <v>603</v>
      </c>
      <c r="C608" s="10">
        <v>179.70920491689196</v>
      </c>
      <c r="D608" s="42"/>
    </row>
    <row r="609" spans="2:4" ht="16" thickBot="1" x14ac:dyDescent="0.25">
      <c r="B609" s="5">
        <v>604</v>
      </c>
      <c r="C609" s="11">
        <v>360.29571704106382</v>
      </c>
      <c r="D609" s="42"/>
    </row>
    <row r="610" spans="2:4" ht="16" thickBot="1" x14ac:dyDescent="0.25">
      <c r="B610" s="4">
        <v>605</v>
      </c>
      <c r="C610" s="10">
        <v>114.61206743119931</v>
      </c>
      <c r="D610" s="42"/>
    </row>
    <row r="611" spans="2:4" ht="16" thickBot="1" x14ac:dyDescent="0.25">
      <c r="B611" s="5">
        <v>606</v>
      </c>
      <c r="C611" s="11">
        <v>196.89174641144143</v>
      </c>
      <c r="D611" s="42"/>
    </row>
    <row r="612" spans="2:4" ht="16" thickBot="1" x14ac:dyDescent="0.25">
      <c r="B612" s="4">
        <v>607</v>
      </c>
      <c r="C612" s="10">
        <v>316.34484712800548</v>
      </c>
      <c r="D612" s="42"/>
    </row>
    <row r="613" spans="2:4" ht="16" thickBot="1" x14ac:dyDescent="0.25">
      <c r="B613" s="5">
        <v>608</v>
      </c>
      <c r="C613" s="11">
        <v>96.934300031299614</v>
      </c>
      <c r="D613" s="42"/>
    </row>
    <row r="614" spans="2:4" ht="16" thickBot="1" x14ac:dyDescent="0.25">
      <c r="B614" s="4">
        <v>609</v>
      </c>
      <c r="C614" s="10">
        <v>252.93761917465287</v>
      </c>
      <c r="D614" s="42"/>
    </row>
    <row r="615" spans="2:4" ht="16" thickBot="1" x14ac:dyDescent="0.25">
      <c r="B615" s="5">
        <v>610</v>
      </c>
      <c r="C615" s="11">
        <v>203.33494339420315</v>
      </c>
      <c r="D615" s="42"/>
    </row>
    <row r="616" spans="2:4" ht="16" thickBot="1" x14ac:dyDescent="0.25">
      <c r="B616" s="4">
        <v>611</v>
      </c>
      <c r="C616" s="10">
        <v>247.26139520170557</v>
      </c>
      <c r="D616" s="42"/>
    </row>
    <row r="617" spans="2:4" ht="16" thickBot="1" x14ac:dyDescent="0.25">
      <c r="B617" s="5">
        <v>612</v>
      </c>
      <c r="C617" s="11">
        <v>386.83269814313388</v>
      </c>
      <c r="D617" s="42"/>
    </row>
    <row r="618" spans="2:4" ht="16" thickBot="1" x14ac:dyDescent="0.25">
      <c r="B618" s="4">
        <v>613</v>
      </c>
      <c r="C618" s="10">
        <v>378.78241220216785</v>
      </c>
      <c r="D618" s="42"/>
    </row>
    <row r="619" spans="2:4" ht="16" thickBot="1" x14ac:dyDescent="0.25">
      <c r="B619" s="5">
        <v>614</v>
      </c>
      <c r="C619" s="11">
        <v>301.27807256495072</v>
      </c>
      <c r="D619" s="42"/>
    </row>
    <row r="620" spans="2:4" ht="16" thickBot="1" x14ac:dyDescent="0.25">
      <c r="B620" s="4">
        <v>615</v>
      </c>
      <c r="C620" s="10">
        <v>179.63474268561185</v>
      </c>
      <c r="D620" s="42"/>
    </row>
    <row r="621" spans="2:4" ht="16" thickBot="1" x14ac:dyDescent="0.25">
      <c r="B621" s="5">
        <v>616</v>
      </c>
      <c r="C621" s="11">
        <v>360.15013879409554</v>
      </c>
      <c r="D621" s="42"/>
    </row>
    <row r="622" spans="2:4" ht="16" thickBot="1" x14ac:dyDescent="0.25">
      <c r="B622" s="4">
        <v>617</v>
      </c>
      <c r="C622" s="10">
        <v>236.12211685819037</v>
      </c>
      <c r="D622" s="42"/>
    </row>
    <row r="623" spans="2:4" ht="16" thickBot="1" x14ac:dyDescent="0.25">
      <c r="B623" s="5">
        <v>618</v>
      </c>
      <c r="C623" s="11">
        <v>386.75908625041569</v>
      </c>
      <c r="D623" s="42"/>
    </row>
    <row r="624" spans="2:4" ht="16" thickBot="1" x14ac:dyDescent="0.25">
      <c r="B624" s="4">
        <v>619</v>
      </c>
      <c r="C624" s="10">
        <v>226.59070552603495</v>
      </c>
      <c r="D624" s="42"/>
    </row>
    <row r="625" spans="2:4" ht="16" thickBot="1" x14ac:dyDescent="0.25">
      <c r="B625" s="5">
        <v>620</v>
      </c>
      <c r="C625" s="11">
        <v>135.87007566625888</v>
      </c>
      <c r="D625" s="42"/>
    </row>
    <row r="626" spans="2:4" ht="16" thickBot="1" x14ac:dyDescent="0.25">
      <c r="B626" s="4">
        <v>621</v>
      </c>
      <c r="C626" s="10">
        <v>366.30122912870507</v>
      </c>
      <c r="D626" s="42"/>
    </row>
    <row r="627" spans="2:4" ht="16" thickBot="1" x14ac:dyDescent="0.25">
      <c r="B627" s="5">
        <v>622</v>
      </c>
      <c r="C627" s="11">
        <v>83.845482091128048</v>
      </c>
      <c r="D627" s="42"/>
    </row>
    <row r="628" spans="2:4" ht="16" thickBot="1" x14ac:dyDescent="0.25">
      <c r="B628" s="4">
        <v>623</v>
      </c>
      <c r="C628" s="10">
        <v>119.51236706712479</v>
      </c>
      <c r="D628" s="42"/>
    </row>
    <row r="629" spans="2:4" ht="16" thickBot="1" x14ac:dyDescent="0.25">
      <c r="B629" s="5">
        <v>624</v>
      </c>
      <c r="C629" s="11">
        <v>94.486144170410626</v>
      </c>
      <c r="D629" s="42"/>
    </row>
    <row r="630" spans="2:4" ht="16" thickBot="1" x14ac:dyDescent="0.25">
      <c r="B630" s="4">
        <v>625</v>
      </c>
      <c r="C630" s="10">
        <v>185.99061902799039</v>
      </c>
      <c r="D630" s="42"/>
    </row>
    <row r="631" spans="2:4" ht="16" thickBot="1" x14ac:dyDescent="0.25">
      <c r="B631" s="5">
        <v>626</v>
      </c>
      <c r="C631" s="11">
        <v>315.31289787021416</v>
      </c>
      <c r="D631" s="42"/>
    </row>
    <row r="632" spans="2:4" ht="16" thickBot="1" x14ac:dyDescent="0.25">
      <c r="B632" s="4">
        <v>627</v>
      </c>
      <c r="C632" s="10">
        <v>218.75615653798579</v>
      </c>
      <c r="D632" s="42"/>
    </row>
    <row r="633" spans="2:4" ht="16" thickBot="1" x14ac:dyDescent="0.25">
      <c r="B633" s="5">
        <v>628</v>
      </c>
      <c r="C633" s="11">
        <v>209.55723631366723</v>
      </c>
      <c r="D633" s="42"/>
    </row>
    <row r="634" spans="2:4" ht="16" thickBot="1" x14ac:dyDescent="0.25">
      <c r="B634" s="4">
        <v>629</v>
      </c>
      <c r="C634" s="10">
        <v>411.66136954969261</v>
      </c>
      <c r="D634" s="42"/>
    </row>
    <row r="635" spans="2:4" ht="16" thickBot="1" x14ac:dyDescent="0.25">
      <c r="B635" s="5">
        <v>630</v>
      </c>
      <c r="C635" s="11">
        <v>348.27619190549166</v>
      </c>
      <c r="D635" s="42"/>
    </row>
    <row r="636" spans="2:4" ht="16" thickBot="1" x14ac:dyDescent="0.25">
      <c r="B636" s="4">
        <v>631</v>
      </c>
      <c r="C636" s="10">
        <v>455.56137893895453</v>
      </c>
      <c r="D636" s="42"/>
    </row>
    <row r="637" spans="2:4" ht="16" thickBot="1" x14ac:dyDescent="0.25">
      <c r="B637" s="5">
        <v>632</v>
      </c>
      <c r="C637" s="11">
        <v>223.33820193584168</v>
      </c>
      <c r="D637" s="42"/>
    </row>
    <row r="638" spans="2:4" ht="16" thickBot="1" x14ac:dyDescent="0.25">
      <c r="B638" s="4">
        <v>633</v>
      </c>
      <c r="C638" s="10">
        <v>123.94676419385804</v>
      </c>
      <c r="D638" s="42"/>
    </row>
    <row r="639" spans="2:4" ht="16" thickBot="1" x14ac:dyDescent="0.25">
      <c r="B639" s="5">
        <v>634</v>
      </c>
      <c r="C639" s="11">
        <v>217.34323474451062</v>
      </c>
      <c r="D639" s="42"/>
    </row>
    <row r="640" spans="2:4" ht="16" thickBot="1" x14ac:dyDescent="0.25">
      <c r="B640" s="4">
        <v>635</v>
      </c>
      <c r="C640" s="10">
        <v>89.149824589362552</v>
      </c>
      <c r="D640" s="42"/>
    </row>
    <row r="641" spans="2:4" ht="16" thickBot="1" x14ac:dyDescent="0.25">
      <c r="B641" s="5">
        <v>636</v>
      </c>
      <c r="C641" s="11">
        <v>333.82214417959449</v>
      </c>
      <c r="D641" s="42"/>
    </row>
    <row r="642" spans="2:4" ht="16" thickBot="1" x14ac:dyDescent="0.25">
      <c r="B642" s="4">
        <v>637</v>
      </c>
      <c r="C642" s="10">
        <v>675.07776625694589</v>
      </c>
      <c r="D642" s="42"/>
    </row>
    <row r="643" spans="2:4" ht="16" thickBot="1" x14ac:dyDescent="0.25">
      <c r="B643" s="5">
        <v>638</v>
      </c>
      <c r="C643" s="11">
        <v>238.92778042799233</v>
      </c>
      <c r="D643" s="42"/>
    </row>
    <row r="644" spans="2:4" ht="16" thickBot="1" x14ac:dyDescent="0.25">
      <c r="B644" s="4">
        <v>639</v>
      </c>
      <c r="C644" s="10">
        <v>442.71667163812833</v>
      </c>
      <c r="D644" s="42"/>
    </row>
    <row r="645" spans="2:4" ht="16" thickBot="1" x14ac:dyDescent="0.25">
      <c r="B645" s="5">
        <v>640</v>
      </c>
      <c r="C645" s="11">
        <v>192.62536942553953</v>
      </c>
      <c r="D645" s="42"/>
    </row>
    <row r="646" spans="2:4" ht="16" thickBot="1" x14ac:dyDescent="0.25">
      <c r="B646" s="4">
        <v>641</v>
      </c>
      <c r="C646" s="10">
        <v>351.66838616663318</v>
      </c>
      <c r="D646" s="42"/>
    </row>
    <row r="647" spans="2:4" ht="16" thickBot="1" x14ac:dyDescent="0.25">
      <c r="B647" s="5">
        <v>642</v>
      </c>
      <c r="C647" s="11">
        <v>162.58760332632738</v>
      </c>
      <c r="D647" s="42"/>
    </row>
    <row r="648" spans="2:4" ht="16" thickBot="1" x14ac:dyDescent="0.25">
      <c r="B648" s="4">
        <v>643</v>
      </c>
      <c r="C648" s="10">
        <v>211.64455407552168</v>
      </c>
      <c r="D648" s="42"/>
    </row>
    <row r="649" spans="2:4" ht="16" thickBot="1" x14ac:dyDescent="0.25">
      <c r="B649" s="5">
        <v>644</v>
      </c>
      <c r="C649" s="11">
        <v>133.32302730505077</v>
      </c>
      <c r="D649" s="42"/>
    </row>
    <row r="650" spans="2:4" ht="16" thickBot="1" x14ac:dyDescent="0.25">
      <c r="B650" s="4">
        <v>645</v>
      </c>
      <c r="C650" s="10">
        <v>389.37247289003699</v>
      </c>
      <c r="D650" s="42"/>
    </row>
    <row r="651" spans="2:4" ht="16" thickBot="1" x14ac:dyDescent="0.25">
      <c r="B651" s="5">
        <v>646</v>
      </c>
      <c r="C651" s="11">
        <v>338.71968913791227</v>
      </c>
      <c r="D651" s="42"/>
    </row>
    <row r="652" spans="2:4" ht="16" thickBot="1" x14ac:dyDescent="0.25">
      <c r="B652" s="4">
        <v>647</v>
      </c>
      <c r="C652" s="10">
        <v>444.43408829989113</v>
      </c>
      <c r="D652" s="42"/>
    </row>
    <row r="653" spans="2:4" ht="16" thickBot="1" x14ac:dyDescent="0.25">
      <c r="B653" s="5">
        <v>648</v>
      </c>
      <c r="C653" s="11">
        <v>128.21021083052941</v>
      </c>
      <c r="D653" s="42"/>
    </row>
    <row r="654" spans="2:4" ht="16" thickBot="1" x14ac:dyDescent="0.25">
      <c r="B654" s="4">
        <v>649</v>
      </c>
      <c r="C654" s="10">
        <v>232.69338540339007</v>
      </c>
      <c r="D654" s="42"/>
    </row>
    <row r="655" spans="2:4" ht="16" thickBot="1" x14ac:dyDescent="0.25">
      <c r="B655" s="5">
        <v>650</v>
      </c>
      <c r="C655" s="11">
        <v>95.662810731519443</v>
      </c>
      <c r="D655" s="42"/>
    </row>
    <row r="656" spans="2:4" ht="16" thickBot="1" x14ac:dyDescent="0.25">
      <c r="B656" s="4">
        <v>651</v>
      </c>
      <c r="C656" s="10">
        <v>564.4904523056955</v>
      </c>
      <c r="D656" s="42"/>
    </row>
    <row r="657" spans="2:4" ht="16" thickBot="1" x14ac:dyDescent="0.25">
      <c r="B657" s="5">
        <v>652</v>
      </c>
      <c r="C657" s="11">
        <v>528.20971327349901</v>
      </c>
      <c r="D657" s="42"/>
    </row>
    <row r="658" spans="2:4" ht="16" thickBot="1" x14ac:dyDescent="0.25">
      <c r="B658" s="4">
        <v>653</v>
      </c>
      <c r="C658" s="10">
        <v>82.351503798896942</v>
      </c>
      <c r="D658" s="42"/>
    </row>
    <row r="659" spans="2:4" ht="16" thickBot="1" x14ac:dyDescent="0.25">
      <c r="B659" s="5">
        <v>654</v>
      </c>
      <c r="C659" s="11">
        <v>468.87377978472182</v>
      </c>
      <c r="D659" s="42"/>
    </row>
    <row r="660" spans="2:4" ht="16" thickBot="1" x14ac:dyDescent="0.25">
      <c r="B660" s="4">
        <v>655</v>
      </c>
      <c r="C660" s="10">
        <v>65.264364689894151</v>
      </c>
      <c r="D660" s="42"/>
    </row>
    <row r="661" spans="2:4" ht="16" thickBot="1" x14ac:dyDescent="0.25">
      <c r="B661" s="5">
        <v>656</v>
      </c>
      <c r="C661" s="11">
        <v>214.37928793816948</v>
      </c>
      <c r="D661" s="42"/>
    </row>
    <row r="662" spans="2:4" ht="16" thickBot="1" x14ac:dyDescent="0.25">
      <c r="B662" s="4">
        <v>657</v>
      </c>
      <c r="C662" s="10">
        <v>288.81224053871614</v>
      </c>
      <c r="D662" s="42"/>
    </row>
    <row r="663" spans="2:4" ht="16" thickBot="1" x14ac:dyDescent="0.25">
      <c r="B663" s="5">
        <v>658</v>
      </c>
      <c r="C663" s="11">
        <v>192.96926465758145</v>
      </c>
      <c r="D663" s="42"/>
    </row>
    <row r="664" spans="2:4" ht="16" thickBot="1" x14ac:dyDescent="0.25">
      <c r="B664" s="4">
        <v>659</v>
      </c>
      <c r="C664" s="10">
        <v>394.60244215086061</v>
      </c>
      <c r="D664" s="42"/>
    </row>
    <row r="665" spans="2:4" ht="16" thickBot="1" x14ac:dyDescent="0.25">
      <c r="B665" s="5">
        <v>660</v>
      </c>
      <c r="C665" s="11">
        <v>298.98423263087005</v>
      </c>
      <c r="D665" s="42"/>
    </row>
    <row r="666" spans="2:4" ht="16" thickBot="1" x14ac:dyDescent="0.25">
      <c r="B666" s="4">
        <v>661</v>
      </c>
      <c r="C666" s="10">
        <v>29.750677662553436</v>
      </c>
      <c r="D666" s="42"/>
    </row>
    <row r="667" spans="2:4" ht="16" thickBot="1" x14ac:dyDescent="0.25">
      <c r="B667" s="5">
        <v>662</v>
      </c>
      <c r="C667" s="11">
        <v>301.43312646625242</v>
      </c>
      <c r="D667" s="42"/>
    </row>
    <row r="668" spans="2:4" ht="16" thickBot="1" x14ac:dyDescent="0.25">
      <c r="B668" s="4">
        <v>663</v>
      </c>
      <c r="C668" s="10">
        <v>669.17059727799312</v>
      </c>
      <c r="D668" s="42"/>
    </row>
    <row r="669" spans="2:4" ht="16" thickBot="1" x14ac:dyDescent="0.25">
      <c r="B669" s="5">
        <v>664</v>
      </c>
      <c r="C669" s="11">
        <v>386.45784538900193</v>
      </c>
      <c r="D669" s="42"/>
    </row>
    <row r="670" spans="2:4" ht="16" thickBot="1" x14ac:dyDescent="0.25">
      <c r="B670" s="4">
        <v>665</v>
      </c>
      <c r="C670" s="10">
        <v>378.96284948482543</v>
      </c>
      <c r="D670" s="42"/>
    </row>
    <row r="671" spans="2:4" ht="16" thickBot="1" x14ac:dyDescent="0.25">
      <c r="B671" s="5">
        <v>666</v>
      </c>
      <c r="C671" s="11">
        <v>402.3225381310744</v>
      </c>
      <c r="D671" s="42"/>
    </row>
    <row r="672" spans="2:4" ht="16" thickBot="1" x14ac:dyDescent="0.25">
      <c r="B672" s="4">
        <v>667</v>
      </c>
      <c r="C672" s="10">
        <v>212.78850692743995</v>
      </c>
      <c r="D672" s="42"/>
    </row>
    <row r="673" spans="2:4" ht="16" thickBot="1" x14ac:dyDescent="0.25">
      <c r="B673" s="5">
        <v>668</v>
      </c>
      <c r="C673" s="11">
        <v>185.0196064303984</v>
      </c>
      <c r="D673" s="42"/>
    </row>
    <row r="674" spans="2:4" ht="16" thickBot="1" x14ac:dyDescent="0.25">
      <c r="B674" s="4">
        <v>669</v>
      </c>
      <c r="C674" s="10">
        <v>121.92897012646154</v>
      </c>
      <c r="D674" s="42"/>
    </row>
    <row r="675" spans="2:4" ht="16" thickBot="1" x14ac:dyDescent="0.25">
      <c r="B675" s="5">
        <v>670</v>
      </c>
      <c r="C675" s="11">
        <v>108.63356040922667</v>
      </c>
      <c r="D675" s="42"/>
    </row>
    <row r="676" spans="2:4" ht="16" thickBot="1" x14ac:dyDescent="0.25">
      <c r="B676" s="4">
        <v>671</v>
      </c>
      <c r="C676" s="10">
        <v>601.18498945821523</v>
      </c>
      <c r="D676" s="42"/>
    </row>
    <row r="677" spans="2:4" ht="16" thickBot="1" x14ac:dyDescent="0.25">
      <c r="B677" s="5">
        <v>672</v>
      </c>
      <c r="C677" s="11">
        <v>473.70295956164432</v>
      </c>
      <c r="D677" s="42"/>
    </row>
    <row r="678" spans="2:4" ht="16" thickBot="1" x14ac:dyDescent="0.25">
      <c r="B678" s="4">
        <v>673</v>
      </c>
      <c r="C678" s="10">
        <v>111.73806875686566</v>
      </c>
      <c r="D678" s="42"/>
    </row>
    <row r="679" spans="2:4" ht="16" thickBot="1" x14ac:dyDescent="0.25">
      <c r="B679" s="5">
        <v>674</v>
      </c>
      <c r="C679" s="11">
        <v>99.065860395565991</v>
      </c>
      <c r="D679" s="42"/>
    </row>
    <row r="680" spans="2:4" ht="16" thickBot="1" x14ac:dyDescent="0.25">
      <c r="B680" s="4">
        <v>675</v>
      </c>
      <c r="C680" s="10">
        <v>351.34672146128935</v>
      </c>
      <c r="D680" s="42"/>
    </row>
    <row r="681" spans="2:4" ht="16" thickBot="1" x14ac:dyDescent="0.25">
      <c r="B681" s="5">
        <v>676</v>
      </c>
      <c r="C681" s="11">
        <v>137.80504320871657</v>
      </c>
      <c r="D681" s="42"/>
    </row>
    <row r="682" spans="2:4" ht="16" thickBot="1" x14ac:dyDescent="0.25">
      <c r="B682" s="4">
        <v>677</v>
      </c>
      <c r="C682" s="10">
        <v>424.75311317258002</v>
      </c>
      <c r="D682" s="42"/>
    </row>
    <row r="683" spans="2:4" ht="16" thickBot="1" x14ac:dyDescent="0.25">
      <c r="B683" s="5">
        <v>678</v>
      </c>
      <c r="C683" s="11">
        <v>281.43685775606463</v>
      </c>
      <c r="D683" s="42"/>
    </row>
    <row r="684" spans="2:4" ht="16" thickBot="1" x14ac:dyDescent="0.25">
      <c r="B684" s="4">
        <v>679</v>
      </c>
      <c r="C684" s="10">
        <v>197.01489350932368</v>
      </c>
      <c r="D684" s="42"/>
    </row>
    <row r="685" spans="2:4" ht="16" thickBot="1" x14ac:dyDescent="0.25">
      <c r="B685" s="5">
        <v>680</v>
      </c>
      <c r="C685" s="11">
        <v>249.41103779659255</v>
      </c>
      <c r="D685" s="42"/>
    </row>
    <row r="686" spans="2:4" ht="16" thickBot="1" x14ac:dyDescent="0.25">
      <c r="B686" s="4">
        <v>681</v>
      </c>
      <c r="C686" s="10">
        <v>461.48339195472386</v>
      </c>
      <c r="D686" s="42"/>
    </row>
    <row r="687" spans="2:4" ht="16" thickBot="1" x14ac:dyDescent="0.25">
      <c r="B687" s="5">
        <v>682</v>
      </c>
      <c r="C687" s="11">
        <v>217.09064754543658</v>
      </c>
      <c r="D687" s="42"/>
    </row>
    <row r="688" spans="2:4" ht="16" thickBot="1" x14ac:dyDescent="0.25">
      <c r="B688" s="4">
        <v>683</v>
      </c>
      <c r="C688" s="10">
        <v>115.78926072399221</v>
      </c>
      <c r="D688" s="42"/>
    </row>
    <row r="689" spans="2:4" ht="16" thickBot="1" x14ac:dyDescent="0.25">
      <c r="B689" s="5">
        <v>684</v>
      </c>
      <c r="C689" s="11">
        <v>138.13726109863669</v>
      </c>
      <c r="D689" s="42"/>
    </row>
    <row r="690" spans="2:4" ht="16" thickBot="1" x14ac:dyDescent="0.25">
      <c r="B690" s="4">
        <v>685</v>
      </c>
      <c r="C690" s="10">
        <v>331.64111905420827</v>
      </c>
      <c r="D690" s="42"/>
    </row>
    <row r="691" spans="2:4" ht="16" thickBot="1" x14ac:dyDescent="0.25">
      <c r="B691" s="5">
        <v>686</v>
      </c>
      <c r="C691" s="11">
        <v>345.13539828468379</v>
      </c>
      <c r="D691" s="42"/>
    </row>
    <row r="692" spans="2:4" ht="16" thickBot="1" x14ac:dyDescent="0.25">
      <c r="B692" s="4">
        <v>687</v>
      </c>
      <c r="C692" s="10">
        <v>311.11577244271439</v>
      </c>
      <c r="D692" s="42"/>
    </row>
    <row r="693" spans="2:4" ht="16" thickBot="1" x14ac:dyDescent="0.25">
      <c r="B693" s="5">
        <v>688</v>
      </c>
      <c r="C693" s="11">
        <v>61.86836292401982</v>
      </c>
      <c r="D693" s="42"/>
    </row>
    <row r="694" spans="2:4" ht="16" thickBot="1" x14ac:dyDescent="0.25">
      <c r="B694" s="4">
        <v>689</v>
      </c>
      <c r="C694" s="10">
        <v>430.00531196507364</v>
      </c>
      <c r="D694" s="42"/>
    </row>
    <row r="695" spans="2:4" ht="16" thickBot="1" x14ac:dyDescent="0.25">
      <c r="B695" s="5">
        <v>690</v>
      </c>
      <c r="C695" s="11">
        <v>299.52010156255494</v>
      </c>
      <c r="D695" s="42"/>
    </row>
    <row r="696" spans="2:4" ht="16" thickBot="1" x14ac:dyDescent="0.25">
      <c r="B696" s="4">
        <v>691</v>
      </c>
      <c r="C696" s="10">
        <v>91.560487347723921</v>
      </c>
      <c r="D696" s="42"/>
    </row>
    <row r="697" spans="2:4" ht="16" thickBot="1" x14ac:dyDescent="0.25">
      <c r="B697" s="5">
        <v>692</v>
      </c>
      <c r="C697" s="11">
        <v>162.41578128485753</v>
      </c>
      <c r="D697" s="42"/>
    </row>
    <row r="698" spans="2:4" ht="16" thickBot="1" x14ac:dyDescent="0.25">
      <c r="B698" s="4">
        <v>693</v>
      </c>
      <c r="C698" s="10">
        <v>200.22137058084473</v>
      </c>
      <c r="D698" s="42"/>
    </row>
    <row r="699" spans="2:4" ht="16" thickBot="1" x14ac:dyDescent="0.25">
      <c r="B699" s="5">
        <v>694</v>
      </c>
      <c r="C699" s="11">
        <v>457.5408473219594</v>
      </c>
      <c r="D699" s="42"/>
    </row>
    <row r="700" spans="2:4" ht="16" thickBot="1" x14ac:dyDescent="0.25">
      <c r="B700" s="4">
        <v>695</v>
      </c>
      <c r="C700" s="10">
        <v>443.14660215300052</v>
      </c>
      <c r="D700" s="42"/>
    </row>
    <row r="701" spans="2:4" ht="16" thickBot="1" x14ac:dyDescent="0.25">
      <c r="B701" s="5">
        <v>696</v>
      </c>
      <c r="C701" s="11">
        <v>302.80665432208315</v>
      </c>
      <c r="D701" s="42"/>
    </row>
    <row r="702" spans="2:4" ht="16" thickBot="1" x14ac:dyDescent="0.25">
      <c r="B702" s="4">
        <v>697</v>
      </c>
      <c r="C702" s="10">
        <v>241.02217620443821</v>
      </c>
      <c r="D702" s="42"/>
    </row>
    <row r="703" spans="2:4" ht="16" thickBot="1" x14ac:dyDescent="0.25">
      <c r="B703" s="5">
        <v>698</v>
      </c>
      <c r="C703" s="11">
        <v>292.72727470950429</v>
      </c>
      <c r="D703" s="42"/>
    </row>
    <row r="704" spans="2:4" ht="16" thickBot="1" x14ac:dyDescent="0.25">
      <c r="B704" s="4">
        <v>699</v>
      </c>
      <c r="C704" s="10">
        <v>207.17598976290836</v>
      </c>
      <c r="D704" s="42"/>
    </row>
    <row r="705" spans="2:4" ht="16" thickBot="1" x14ac:dyDescent="0.25">
      <c r="B705" s="5">
        <v>700</v>
      </c>
      <c r="C705" s="11">
        <v>215.25767869476772</v>
      </c>
      <c r="D705" s="42"/>
    </row>
    <row r="706" spans="2:4" ht="16" thickBot="1" x14ac:dyDescent="0.25">
      <c r="B706" s="4">
        <v>701</v>
      </c>
      <c r="C706" s="10">
        <v>653.9222047657662</v>
      </c>
      <c r="D706" s="42"/>
    </row>
    <row r="707" spans="2:4" ht="16" thickBot="1" x14ac:dyDescent="0.25">
      <c r="B707" s="5">
        <v>702</v>
      </c>
      <c r="C707" s="11">
        <v>177.47134534930402</v>
      </c>
      <c r="D707" s="42"/>
    </row>
    <row r="708" spans="2:4" ht="16" thickBot="1" x14ac:dyDescent="0.25">
      <c r="B708" s="4">
        <v>703</v>
      </c>
      <c r="C708" s="10">
        <v>170.20436216761289</v>
      </c>
      <c r="D708" s="42"/>
    </row>
    <row r="709" spans="2:4" ht="16" thickBot="1" x14ac:dyDescent="0.25">
      <c r="B709" s="5">
        <v>704</v>
      </c>
      <c r="C709" s="11">
        <v>50.637299265461152</v>
      </c>
      <c r="D709" s="42"/>
    </row>
    <row r="710" spans="2:4" ht="16" thickBot="1" x14ac:dyDescent="0.25">
      <c r="B710" s="4">
        <v>705</v>
      </c>
      <c r="C710" s="10">
        <v>328.1536608514694</v>
      </c>
      <c r="D710" s="42"/>
    </row>
    <row r="711" spans="2:4" ht="16" thickBot="1" x14ac:dyDescent="0.25">
      <c r="B711" s="5">
        <v>706</v>
      </c>
      <c r="C711" s="11">
        <v>478.77482608970234</v>
      </c>
      <c r="D711" s="42"/>
    </row>
    <row r="712" spans="2:4" ht="16" thickBot="1" x14ac:dyDescent="0.25">
      <c r="B712" s="4">
        <v>707</v>
      </c>
      <c r="C712" s="10">
        <v>523.6337701841685</v>
      </c>
      <c r="D712" s="42"/>
    </row>
    <row r="713" spans="2:4" ht="16" thickBot="1" x14ac:dyDescent="0.25">
      <c r="B713" s="5">
        <v>708</v>
      </c>
      <c r="C713" s="11">
        <v>430.41305906585353</v>
      </c>
      <c r="D713" s="42"/>
    </row>
    <row r="714" spans="2:4" ht="16" thickBot="1" x14ac:dyDescent="0.25">
      <c r="B714" s="4">
        <v>709</v>
      </c>
      <c r="C714" s="10">
        <v>328.22900744288319</v>
      </c>
      <c r="D714" s="42"/>
    </row>
    <row r="715" spans="2:4" ht="16" thickBot="1" x14ac:dyDescent="0.25">
      <c r="B715" s="5">
        <v>710</v>
      </c>
      <c r="C715" s="11">
        <v>287.05691148652909</v>
      </c>
      <c r="D715" s="42"/>
    </row>
    <row r="716" spans="2:4" ht="16" thickBot="1" x14ac:dyDescent="0.25">
      <c r="B716" s="4">
        <v>711</v>
      </c>
      <c r="C716" s="10">
        <v>377.26651872573927</v>
      </c>
      <c r="D716" s="42"/>
    </row>
    <row r="717" spans="2:4" ht="16" thickBot="1" x14ac:dyDescent="0.25">
      <c r="B717" s="5">
        <v>712</v>
      </c>
      <c r="C717" s="11">
        <v>188.69178912803949</v>
      </c>
      <c r="D717" s="42"/>
    </row>
    <row r="718" spans="2:4" ht="16" thickBot="1" x14ac:dyDescent="0.25">
      <c r="B718" s="4">
        <v>713</v>
      </c>
      <c r="C718" s="10">
        <v>368.38969112100608</v>
      </c>
      <c r="D718" s="42"/>
    </row>
    <row r="719" spans="2:4" ht="16" thickBot="1" x14ac:dyDescent="0.25">
      <c r="B719" s="5">
        <v>714</v>
      </c>
      <c r="C719" s="11">
        <v>376.86444898090423</v>
      </c>
      <c r="D719" s="42"/>
    </row>
    <row r="720" spans="2:4" ht="16" thickBot="1" x14ac:dyDescent="0.25">
      <c r="B720" s="4">
        <v>715</v>
      </c>
      <c r="C720" s="10">
        <v>412.55838203194298</v>
      </c>
      <c r="D720" s="42"/>
    </row>
    <row r="721" spans="2:4" ht="16" thickBot="1" x14ac:dyDescent="0.25">
      <c r="B721" s="5">
        <v>716</v>
      </c>
      <c r="C721" s="11">
        <v>210.58716778918117</v>
      </c>
      <c r="D721" s="42"/>
    </row>
    <row r="722" spans="2:4" ht="16" thickBot="1" x14ac:dyDescent="0.25">
      <c r="B722" s="4">
        <v>717</v>
      </c>
      <c r="C722" s="10">
        <v>123.78561381789581</v>
      </c>
      <c r="D722" s="42"/>
    </row>
    <row r="723" spans="2:4" ht="16" thickBot="1" x14ac:dyDescent="0.25">
      <c r="B723" s="5">
        <v>718</v>
      </c>
      <c r="C723" s="11">
        <v>76.833336171943003</v>
      </c>
      <c r="D723" s="42"/>
    </row>
    <row r="724" spans="2:4" ht="16" thickBot="1" x14ac:dyDescent="0.25">
      <c r="B724" s="4">
        <v>719</v>
      </c>
      <c r="C724" s="10">
        <v>353.73820231678332</v>
      </c>
      <c r="D724" s="42"/>
    </row>
    <row r="725" spans="2:4" ht="16" thickBot="1" x14ac:dyDescent="0.25">
      <c r="B725" s="5">
        <v>720</v>
      </c>
      <c r="C725" s="11">
        <v>362.1407533947841</v>
      </c>
      <c r="D725" s="42"/>
    </row>
    <row r="726" spans="2:4" ht="16" thickBot="1" x14ac:dyDescent="0.25">
      <c r="B726" s="4">
        <v>721</v>
      </c>
      <c r="C726" s="10">
        <v>138.29069733080766</v>
      </c>
      <c r="D726" s="42"/>
    </row>
    <row r="727" spans="2:4" ht="16" thickBot="1" x14ac:dyDescent="0.25">
      <c r="B727" s="5">
        <v>722</v>
      </c>
      <c r="C727" s="11">
        <v>194.12099503723226</v>
      </c>
      <c r="D727" s="42"/>
    </row>
    <row r="728" spans="2:4" ht="16" thickBot="1" x14ac:dyDescent="0.25">
      <c r="B728" s="4">
        <v>723</v>
      </c>
      <c r="C728" s="10">
        <v>167.31429189805243</v>
      </c>
      <c r="D728" s="42"/>
    </row>
    <row r="729" spans="2:4" ht="16" thickBot="1" x14ac:dyDescent="0.25">
      <c r="B729" s="5">
        <v>724</v>
      </c>
      <c r="C729" s="11">
        <v>370.26487361064767</v>
      </c>
      <c r="D729" s="42"/>
    </row>
    <row r="730" spans="2:4" ht="16" thickBot="1" x14ac:dyDescent="0.25">
      <c r="B730" s="4">
        <v>725</v>
      </c>
      <c r="C730" s="10">
        <v>191.37334590330278</v>
      </c>
      <c r="D730" s="42"/>
    </row>
    <row r="731" spans="2:4" ht="16" thickBot="1" x14ac:dyDescent="0.25">
      <c r="B731" s="5">
        <v>726</v>
      </c>
      <c r="C731" s="11">
        <v>394.04414079804491</v>
      </c>
      <c r="D731" s="42"/>
    </row>
    <row r="732" spans="2:4" ht="16" thickBot="1" x14ac:dyDescent="0.25">
      <c r="B732" s="4">
        <v>727</v>
      </c>
      <c r="C732" s="10">
        <v>244.45113666508479</v>
      </c>
      <c r="D732" s="42"/>
    </row>
    <row r="733" spans="2:4" ht="16" thickBot="1" x14ac:dyDescent="0.25">
      <c r="B733" s="5">
        <v>728</v>
      </c>
      <c r="C733" s="11">
        <v>114.78090790125324</v>
      </c>
      <c r="D733" s="42"/>
    </row>
    <row r="734" spans="2:4" ht="16" thickBot="1" x14ac:dyDescent="0.25">
      <c r="B734" s="4">
        <v>729</v>
      </c>
      <c r="C734" s="10">
        <v>310.40167779800652</v>
      </c>
      <c r="D734" s="42"/>
    </row>
    <row r="735" spans="2:4" ht="16" thickBot="1" x14ac:dyDescent="0.25">
      <c r="B735" s="5">
        <v>730</v>
      </c>
      <c r="C735" s="11">
        <v>246.27377169363893</v>
      </c>
      <c r="D735" s="42"/>
    </row>
    <row r="736" spans="2:4" ht="16" thickBot="1" x14ac:dyDescent="0.25">
      <c r="B736" s="4">
        <v>731</v>
      </c>
      <c r="C736" s="10">
        <v>808.3345175674724</v>
      </c>
      <c r="D736" s="42"/>
    </row>
    <row r="737" spans="2:4" ht="16" thickBot="1" x14ac:dyDescent="0.25">
      <c r="B737" s="5">
        <v>732</v>
      </c>
      <c r="C737" s="11">
        <v>478.27218054590804</v>
      </c>
      <c r="D737" s="42"/>
    </row>
    <row r="738" spans="2:4" ht="16" thickBot="1" x14ac:dyDescent="0.25">
      <c r="B738" s="4">
        <v>733</v>
      </c>
      <c r="C738" s="10">
        <v>233.22963110144383</v>
      </c>
      <c r="D738" s="42"/>
    </row>
    <row r="739" spans="2:4" ht="16" thickBot="1" x14ac:dyDescent="0.25">
      <c r="B739" s="5">
        <v>734</v>
      </c>
      <c r="C739" s="11">
        <v>488.68230167069333</v>
      </c>
      <c r="D739" s="42"/>
    </row>
    <row r="740" spans="2:4" ht="16" thickBot="1" x14ac:dyDescent="0.25">
      <c r="B740" s="4">
        <v>735</v>
      </c>
      <c r="C740" s="10">
        <v>165.45413063488496</v>
      </c>
      <c r="D740" s="42"/>
    </row>
    <row r="741" spans="2:4" ht="16" thickBot="1" x14ac:dyDescent="0.25">
      <c r="B741" s="5">
        <v>736</v>
      </c>
      <c r="C741" s="11">
        <v>241.79751996630208</v>
      </c>
      <c r="D741" s="42"/>
    </row>
    <row r="742" spans="2:4" ht="16" thickBot="1" x14ac:dyDescent="0.25">
      <c r="B742" s="4">
        <v>737</v>
      </c>
      <c r="C742" s="10">
        <v>282.92058207203587</v>
      </c>
      <c r="D742" s="42"/>
    </row>
    <row r="743" spans="2:4" ht="16" thickBot="1" x14ac:dyDescent="0.25">
      <c r="B743" s="5">
        <v>738</v>
      </c>
      <c r="C743" s="11">
        <v>183.81112229379644</v>
      </c>
      <c r="D743" s="42"/>
    </row>
    <row r="744" spans="2:4" ht="16" thickBot="1" x14ac:dyDescent="0.25">
      <c r="B744" s="4">
        <v>739</v>
      </c>
      <c r="C744" s="10">
        <v>95.513660837701309</v>
      </c>
      <c r="D744" s="42"/>
    </row>
    <row r="745" spans="2:4" ht="16" thickBot="1" x14ac:dyDescent="0.25">
      <c r="B745" s="5">
        <v>740</v>
      </c>
      <c r="C745" s="11">
        <v>276.40968339939838</v>
      </c>
      <c r="D745" s="42"/>
    </row>
    <row r="746" spans="2:4" ht="16" thickBot="1" x14ac:dyDescent="0.25">
      <c r="B746" s="4">
        <v>741</v>
      </c>
      <c r="C746" s="10">
        <v>1012.5803276809705</v>
      </c>
      <c r="D746" s="42"/>
    </row>
    <row r="747" spans="2:4" ht="16" thickBot="1" x14ac:dyDescent="0.25">
      <c r="B747" s="5">
        <v>742</v>
      </c>
      <c r="C747" s="11">
        <v>303.70144433255763</v>
      </c>
      <c r="D747" s="42"/>
    </row>
    <row r="748" spans="2:4" ht="16" thickBot="1" x14ac:dyDescent="0.25">
      <c r="B748" s="4">
        <v>743</v>
      </c>
      <c r="C748" s="10">
        <v>214.84092346397472</v>
      </c>
      <c r="D748" s="42"/>
    </row>
    <row r="749" spans="2:4" ht="16" thickBot="1" x14ac:dyDescent="0.25">
      <c r="B749" s="5">
        <v>744</v>
      </c>
      <c r="C749" s="11">
        <v>108.37382121926197</v>
      </c>
      <c r="D749" s="42"/>
    </row>
    <row r="750" spans="2:4" ht="16" thickBot="1" x14ac:dyDescent="0.25">
      <c r="B750" s="4">
        <v>745</v>
      </c>
      <c r="C750" s="10">
        <v>636.21982276872632</v>
      </c>
      <c r="D750" s="42"/>
    </row>
    <row r="751" spans="2:4" ht="16" thickBot="1" x14ac:dyDescent="0.25">
      <c r="B751" s="5">
        <v>746</v>
      </c>
      <c r="C751" s="11">
        <v>438.14266651240933</v>
      </c>
      <c r="D751" s="42"/>
    </row>
    <row r="752" spans="2:4" ht="16" thickBot="1" x14ac:dyDescent="0.25">
      <c r="B752" s="4">
        <v>747</v>
      </c>
      <c r="C752" s="10">
        <v>246.21004409779539</v>
      </c>
      <c r="D752" s="42"/>
    </row>
    <row r="753" spans="2:4" ht="16" thickBot="1" x14ac:dyDescent="0.25">
      <c r="B753" s="5">
        <v>748</v>
      </c>
      <c r="C753" s="11">
        <v>436.13116401462645</v>
      </c>
      <c r="D753" s="42"/>
    </row>
    <row r="754" spans="2:4" ht="16" thickBot="1" x14ac:dyDescent="0.25">
      <c r="B754" s="4">
        <v>749</v>
      </c>
      <c r="C754" s="10">
        <v>140.12364209768828</v>
      </c>
      <c r="D754" s="42"/>
    </row>
    <row r="755" spans="2:4" ht="16" thickBot="1" x14ac:dyDescent="0.25">
      <c r="B755" s="5">
        <v>750</v>
      </c>
      <c r="C755" s="11">
        <v>360.11218306219087</v>
      </c>
      <c r="D755" s="42"/>
    </row>
    <row r="756" spans="2:4" ht="16" thickBot="1" x14ac:dyDescent="0.25">
      <c r="B756" s="4">
        <v>751</v>
      </c>
      <c r="C756" s="10">
        <v>189.23228425962608</v>
      </c>
      <c r="D756" s="42"/>
    </row>
    <row r="757" spans="2:4" ht="16" thickBot="1" x14ac:dyDescent="0.25">
      <c r="B757" s="5">
        <v>752</v>
      </c>
      <c r="C757" s="11">
        <v>202.85429295683917</v>
      </c>
      <c r="D757" s="42"/>
    </row>
    <row r="758" spans="2:4" ht="16" thickBot="1" x14ac:dyDescent="0.25">
      <c r="B758" s="4">
        <v>753</v>
      </c>
      <c r="C758" s="10">
        <v>295.01718671421656</v>
      </c>
      <c r="D758" s="42"/>
    </row>
    <row r="759" spans="2:4" ht="16" thickBot="1" x14ac:dyDescent="0.25">
      <c r="B759" s="5">
        <v>754</v>
      </c>
      <c r="C759" s="11">
        <v>305.81456699023408</v>
      </c>
      <c r="D759" s="42"/>
    </row>
    <row r="760" spans="2:4" ht="16" thickBot="1" x14ac:dyDescent="0.25">
      <c r="B760" s="4">
        <v>755</v>
      </c>
      <c r="C760" s="10">
        <v>123.54766257318147</v>
      </c>
      <c r="D760" s="42"/>
    </row>
    <row r="761" spans="2:4" ht="16" thickBot="1" x14ac:dyDescent="0.25">
      <c r="B761" s="5">
        <v>756</v>
      </c>
      <c r="C761" s="11">
        <v>300.54855290477923</v>
      </c>
      <c r="D761" s="42"/>
    </row>
    <row r="762" spans="2:4" ht="16" thickBot="1" x14ac:dyDescent="0.25">
      <c r="B762" s="4">
        <v>757</v>
      </c>
      <c r="C762" s="10">
        <v>93.409345385887917</v>
      </c>
      <c r="D762" s="42"/>
    </row>
    <row r="763" spans="2:4" ht="16" thickBot="1" x14ac:dyDescent="0.25">
      <c r="B763" s="5">
        <v>758</v>
      </c>
      <c r="C763" s="11">
        <v>134.26011387233044</v>
      </c>
      <c r="D763" s="42"/>
    </row>
    <row r="764" spans="2:4" ht="16" thickBot="1" x14ac:dyDescent="0.25">
      <c r="B764" s="4">
        <v>759</v>
      </c>
      <c r="C764" s="10">
        <v>528.23325846333432</v>
      </c>
      <c r="D764" s="42"/>
    </row>
    <row r="765" spans="2:4" ht="16" thickBot="1" x14ac:dyDescent="0.25">
      <c r="B765" s="5">
        <v>760</v>
      </c>
      <c r="C765" s="11">
        <v>219.93813648287764</v>
      </c>
      <c r="D765" s="42"/>
    </row>
    <row r="766" spans="2:4" ht="16" thickBot="1" x14ac:dyDescent="0.25">
      <c r="B766" s="4">
        <v>761</v>
      </c>
      <c r="C766" s="10">
        <v>140.96441375100551</v>
      </c>
      <c r="D766" s="42"/>
    </row>
    <row r="767" spans="2:4" ht="16" thickBot="1" x14ac:dyDescent="0.25">
      <c r="B767" s="5">
        <v>762</v>
      </c>
      <c r="C767" s="11">
        <v>174.84819933457732</v>
      </c>
      <c r="D767" s="42"/>
    </row>
    <row r="768" spans="2:4" ht="16" thickBot="1" x14ac:dyDescent="0.25">
      <c r="B768" s="4">
        <v>763</v>
      </c>
      <c r="C768" s="10">
        <v>99.656415968956622</v>
      </c>
      <c r="D768" s="42"/>
    </row>
    <row r="769" spans="2:4" ht="16" thickBot="1" x14ac:dyDescent="0.25">
      <c r="B769" s="5">
        <v>764</v>
      </c>
      <c r="C769" s="11">
        <v>271.01834692303925</v>
      </c>
      <c r="D769" s="42"/>
    </row>
    <row r="770" spans="2:4" ht="16" thickBot="1" x14ac:dyDescent="0.25">
      <c r="B770" s="4">
        <v>765</v>
      </c>
      <c r="C770" s="10">
        <v>124.37847260232805</v>
      </c>
      <c r="D770" s="42"/>
    </row>
    <row r="771" spans="2:4" ht="16" thickBot="1" x14ac:dyDescent="0.25">
      <c r="B771" s="5">
        <v>766</v>
      </c>
      <c r="C771" s="11">
        <v>201.96491384051023</v>
      </c>
      <c r="D771" s="42"/>
    </row>
    <row r="772" spans="2:4" ht="16" thickBot="1" x14ac:dyDescent="0.25">
      <c r="B772" s="4">
        <v>767</v>
      </c>
      <c r="C772" s="10">
        <v>332.55169270060543</v>
      </c>
      <c r="D772" s="42"/>
    </row>
    <row r="773" spans="2:4" ht="16" thickBot="1" x14ac:dyDescent="0.25">
      <c r="B773" s="5">
        <v>768</v>
      </c>
      <c r="C773" s="11">
        <v>605.43590695923717</v>
      </c>
      <c r="D773" s="42"/>
    </row>
    <row r="774" spans="2:4" ht="16" thickBot="1" x14ac:dyDescent="0.25">
      <c r="B774" s="4">
        <v>769</v>
      </c>
      <c r="C774" s="10">
        <v>413.066479970454</v>
      </c>
      <c r="D774" s="42"/>
    </row>
    <row r="775" spans="2:4" ht="16" thickBot="1" x14ac:dyDescent="0.25">
      <c r="B775" s="5">
        <v>770</v>
      </c>
      <c r="C775" s="11">
        <v>512.75565775761834</v>
      </c>
      <c r="D775" s="42"/>
    </row>
    <row r="776" spans="2:4" ht="16" thickBot="1" x14ac:dyDescent="0.25">
      <c r="B776" s="4">
        <v>771</v>
      </c>
      <c r="C776" s="10">
        <v>114.74192601855859</v>
      </c>
      <c r="D776" s="42"/>
    </row>
    <row r="777" spans="2:4" ht="16" thickBot="1" x14ac:dyDescent="0.25">
      <c r="B777" s="5">
        <v>772</v>
      </c>
      <c r="C777" s="11">
        <v>165.07638789609999</v>
      </c>
      <c r="D777" s="42"/>
    </row>
    <row r="778" spans="2:4" ht="16" thickBot="1" x14ac:dyDescent="0.25">
      <c r="B778" s="4">
        <v>773</v>
      </c>
      <c r="C778" s="10">
        <v>490.04951749030533</v>
      </c>
      <c r="D778" s="42"/>
    </row>
    <row r="779" spans="2:4" ht="16" thickBot="1" x14ac:dyDescent="0.25">
      <c r="B779" s="5">
        <v>774</v>
      </c>
      <c r="C779" s="11">
        <v>392.48219227266611</v>
      </c>
      <c r="D779" s="42"/>
    </row>
    <row r="780" spans="2:4" ht="16" thickBot="1" x14ac:dyDescent="0.25">
      <c r="B780" s="4">
        <v>775</v>
      </c>
      <c r="C780" s="10">
        <v>96.330013721270547</v>
      </c>
      <c r="D780" s="42"/>
    </row>
    <row r="781" spans="2:4" ht="16" thickBot="1" x14ac:dyDescent="0.25">
      <c r="B781" s="5">
        <v>776</v>
      </c>
      <c r="C781" s="11">
        <v>312.86739796884041</v>
      </c>
      <c r="D781" s="42"/>
    </row>
    <row r="782" spans="2:4" ht="16" thickBot="1" x14ac:dyDescent="0.25">
      <c r="B782" s="4">
        <v>777</v>
      </c>
      <c r="C782" s="10">
        <v>178.27434444838937</v>
      </c>
      <c r="D782" s="42"/>
    </row>
    <row r="783" spans="2:4" ht="16" thickBot="1" x14ac:dyDescent="0.25">
      <c r="B783" s="5">
        <v>778</v>
      </c>
      <c r="C783" s="11">
        <v>464.98274234831911</v>
      </c>
      <c r="D783" s="42"/>
    </row>
    <row r="784" spans="2:4" ht="16" thickBot="1" x14ac:dyDescent="0.25">
      <c r="B784" s="4">
        <v>779</v>
      </c>
      <c r="C784" s="10">
        <v>259.22988286101514</v>
      </c>
      <c r="D784" s="42"/>
    </row>
    <row r="785" spans="2:4" ht="16" thickBot="1" x14ac:dyDescent="0.25">
      <c r="B785" s="5">
        <v>780</v>
      </c>
      <c r="C785" s="11">
        <v>297.46756618527996</v>
      </c>
      <c r="D785" s="42"/>
    </row>
    <row r="786" spans="2:4" ht="16" thickBot="1" x14ac:dyDescent="0.25">
      <c r="B786" s="4">
        <v>781</v>
      </c>
      <c r="C786" s="10">
        <v>245.894686579271</v>
      </c>
      <c r="D786" s="42"/>
    </row>
    <row r="787" spans="2:4" ht="16" thickBot="1" x14ac:dyDescent="0.25">
      <c r="B787" s="5">
        <v>782</v>
      </c>
      <c r="C787" s="11">
        <v>554.10602349682915</v>
      </c>
      <c r="D787" s="42"/>
    </row>
    <row r="788" spans="2:4" ht="16" thickBot="1" x14ac:dyDescent="0.25">
      <c r="B788" s="4">
        <v>783</v>
      </c>
      <c r="C788" s="10">
        <v>176.91327823644309</v>
      </c>
      <c r="D788" s="42"/>
    </row>
    <row r="789" spans="2:4" ht="16" thickBot="1" x14ac:dyDescent="0.25">
      <c r="B789" s="5">
        <v>784</v>
      </c>
      <c r="C789" s="11">
        <v>77.176360266333461</v>
      </c>
      <c r="D789" s="42"/>
    </row>
    <row r="790" spans="2:4" ht="16" thickBot="1" x14ac:dyDescent="0.25">
      <c r="B790" s="4">
        <v>785</v>
      </c>
      <c r="C790" s="10">
        <v>322.43187507348699</v>
      </c>
      <c r="D790" s="42"/>
    </row>
    <row r="791" spans="2:4" ht="16" thickBot="1" x14ac:dyDescent="0.25">
      <c r="B791" s="5">
        <v>786</v>
      </c>
      <c r="C791" s="11">
        <v>102.46151378222345</v>
      </c>
      <c r="D791" s="42"/>
    </row>
    <row r="792" spans="2:4" ht="16" thickBot="1" x14ac:dyDescent="0.25">
      <c r="B792" s="4">
        <v>787</v>
      </c>
      <c r="C792" s="10">
        <v>216.86191189744827</v>
      </c>
      <c r="D792" s="42"/>
    </row>
    <row r="793" spans="2:4" ht="16" thickBot="1" x14ac:dyDescent="0.25">
      <c r="B793" s="5">
        <v>788</v>
      </c>
      <c r="C793" s="11">
        <v>202.02941608410555</v>
      </c>
      <c r="D793" s="42"/>
    </row>
    <row r="794" spans="2:4" ht="16" thickBot="1" x14ac:dyDescent="0.25">
      <c r="B794" s="4">
        <v>789</v>
      </c>
      <c r="C794" s="10">
        <v>161.8583704526641</v>
      </c>
      <c r="D794" s="42"/>
    </row>
    <row r="795" spans="2:4" ht="16" thickBot="1" x14ac:dyDescent="0.25">
      <c r="B795" s="5">
        <v>790</v>
      </c>
      <c r="C795" s="11">
        <v>177.02312393339361</v>
      </c>
      <c r="D795" s="42"/>
    </row>
    <row r="796" spans="2:4" ht="16" thickBot="1" x14ac:dyDescent="0.25">
      <c r="B796" s="4">
        <v>791</v>
      </c>
      <c r="C796" s="10">
        <v>380.0380963929876</v>
      </c>
      <c r="D796" s="42"/>
    </row>
    <row r="797" spans="2:4" ht="16" thickBot="1" x14ac:dyDescent="0.25">
      <c r="B797" s="5">
        <v>792</v>
      </c>
      <c r="C797" s="11">
        <v>475.85647546393272</v>
      </c>
      <c r="D797" s="42"/>
    </row>
    <row r="798" spans="2:4" ht="16" thickBot="1" x14ac:dyDescent="0.25">
      <c r="B798" s="4">
        <v>793</v>
      </c>
      <c r="C798" s="10">
        <v>114.08036406324629</v>
      </c>
      <c r="D798" s="42"/>
    </row>
    <row r="799" spans="2:4" ht="16" thickBot="1" x14ac:dyDescent="0.25">
      <c r="B799" s="5">
        <v>794</v>
      </c>
      <c r="C799" s="11">
        <v>198.90904652306602</v>
      </c>
      <c r="D799" s="42"/>
    </row>
    <row r="800" spans="2:4" ht="16" thickBot="1" x14ac:dyDescent="0.25">
      <c r="B800" s="4">
        <v>795</v>
      </c>
      <c r="C800" s="10">
        <v>187.45942671409236</v>
      </c>
      <c r="D800" s="42"/>
    </row>
    <row r="801" spans="2:4" ht="16" thickBot="1" x14ac:dyDescent="0.25">
      <c r="B801" s="5">
        <v>796</v>
      </c>
      <c r="C801" s="11">
        <v>288.41314323410694</v>
      </c>
      <c r="D801" s="42"/>
    </row>
    <row r="802" spans="2:4" ht="16" thickBot="1" x14ac:dyDescent="0.25">
      <c r="B802" s="4">
        <v>797</v>
      </c>
      <c r="C802" s="10">
        <v>86.883935226279178</v>
      </c>
      <c r="D802" s="42"/>
    </row>
    <row r="803" spans="2:4" ht="16" thickBot="1" x14ac:dyDescent="0.25">
      <c r="B803" s="5">
        <v>798</v>
      </c>
      <c r="C803" s="11">
        <v>271.0558656676381</v>
      </c>
      <c r="D803" s="42"/>
    </row>
    <row r="804" spans="2:4" ht="16" thickBot="1" x14ac:dyDescent="0.25">
      <c r="B804" s="4">
        <v>799</v>
      </c>
      <c r="C804" s="10">
        <v>745.65650629150105</v>
      </c>
      <c r="D804" s="42"/>
    </row>
    <row r="805" spans="2:4" ht="16" thickBot="1" x14ac:dyDescent="0.25">
      <c r="B805" s="5">
        <v>800</v>
      </c>
      <c r="C805" s="11">
        <v>432.35247867978688</v>
      </c>
      <c r="D805" s="42"/>
    </row>
    <row r="806" spans="2:4" ht="16" thickBot="1" x14ac:dyDescent="0.25">
      <c r="B806" s="4">
        <v>801</v>
      </c>
      <c r="C806" s="10">
        <v>239.89061910336176</v>
      </c>
      <c r="D806" s="42"/>
    </row>
    <row r="807" spans="2:4" ht="16" thickBot="1" x14ac:dyDescent="0.25">
      <c r="B807" s="5">
        <v>802</v>
      </c>
      <c r="C807" s="11">
        <v>144.71731762273575</v>
      </c>
      <c r="D807" s="42"/>
    </row>
    <row r="808" spans="2:4" ht="16" thickBot="1" x14ac:dyDescent="0.25">
      <c r="B808" s="4">
        <v>803</v>
      </c>
      <c r="C808" s="10">
        <v>262.17529786530082</v>
      </c>
      <c r="D808" s="42"/>
    </row>
    <row r="809" spans="2:4" ht="16" thickBot="1" x14ac:dyDescent="0.25">
      <c r="B809" s="5">
        <v>804</v>
      </c>
      <c r="C809" s="11">
        <v>125.20707351166203</v>
      </c>
      <c r="D809" s="42"/>
    </row>
    <row r="810" spans="2:4" ht="16" thickBot="1" x14ac:dyDescent="0.25">
      <c r="B810" s="4">
        <v>805</v>
      </c>
      <c r="C810" s="10">
        <v>710.08129122451726</v>
      </c>
      <c r="D810" s="42"/>
    </row>
    <row r="811" spans="2:4" ht="16" thickBot="1" x14ac:dyDescent="0.25">
      <c r="B811" s="5">
        <v>806</v>
      </c>
      <c r="C811" s="11">
        <v>387.80469838262633</v>
      </c>
      <c r="D811" s="42"/>
    </row>
    <row r="812" spans="2:4" ht="16" thickBot="1" x14ac:dyDescent="0.25">
      <c r="B812" s="4">
        <v>807</v>
      </c>
      <c r="C812" s="10">
        <v>329.09822727049294</v>
      </c>
      <c r="D812" s="42"/>
    </row>
    <row r="813" spans="2:4" ht="16" thickBot="1" x14ac:dyDescent="0.25">
      <c r="B813" s="5">
        <v>808</v>
      </c>
      <c r="C813" s="11">
        <v>316.35021246188597</v>
      </c>
      <c r="D813" s="42"/>
    </row>
    <row r="814" spans="2:4" ht="16" thickBot="1" x14ac:dyDescent="0.25">
      <c r="B814" s="4">
        <v>809</v>
      </c>
      <c r="C814" s="10">
        <v>115.68215337624247</v>
      </c>
      <c r="D814" s="42"/>
    </row>
    <row r="815" spans="2:4" ht="16" thickBot="1" x14ac:dyDescent="0.25">
      <c r="B815" s="5">
        <v>810</v>
      </c>
      <c r="C815" s="11">
        <v>51.368908312161608</v>
      </c>
      <c r="D815" s="42"/>
    </row>
    <row r="816" spans="2:4" ht="16" thickBot="1" x14ac:dyDescent="0.25">
      <c r="B816" s="4">
        <v>811</v>
      </c>
      <c r="C816" s="10">
        <v>310.94996325714646</v>
      </c>
      <c r="D816" s="42"/>
    </row>
    <row r="817" spans="2:4" ht="16" thickBot="1" x14ac:dyDescent="0.25">
      <c r="B817" s="5">
        <v>812</v>
      </c>
      <c r="C817" s="11">
        <v>223.4986026467146</v>
      </c>
      <c r="D817" s="42"/>
    </row>
    <row r="818" spans="2:4" ht="16" thickBot="1" x14ac:dyDescent="0.25">
      <c r="B818" s="4">
        <v>813</v>
      </c>
      <c r="C818" s="10">
        <v>246.12586311195258</v>
      </c>
      <c r="D818" s="42"/>
    </row>
    <row r="819" spans="2:4" ht="16" thickBot="1" x14ac:dyDescent="0.25">
      <c r="B819" s="5">
        <v>814</v>
      </c>
      <c r="C819" s="11">
        <v>669.21911798007454</v>
      </c>
      <c r="D819" s="42"/>
    </row>
    <row r="820" spans="2:4" ht="16" thickBot="1" x14ac:dyDescent="0.25">
      <c r="B820" s="4">
        <v>815</v>
      </c>
      <c r="C820" s="10">
        <v>88.478549801324945</v>
      </c>
      <c r="D820" s="42"/>
    </row>
    <row r="821" spans="2:4" ht="16" thickBot="1" x14ac:dyDescent="0.25">
      <c r="B821" s="5">
        <v>816</v>
      </c>
      <c r="C821" s="11">
        <v>416.34883828970118</v>
      </c>
      <c r="D821" s="42"/>
    </row>
    <row r="822" spans="2:4" ht="16" thickBot="1" x14ac:dyDescent="0.25">
      <c r="B822" s="4">
        <v>817</v>
      </c>
      <c r="C822" s="10">
        <v>125.81478619869216</v>
      </c>
      <c r="D822" s="42"/>
    </row>
    <row r="823" spans="2:4" ht="16" thickBot="1" x14ac:dyDescent="0.25">
      <c r="B823" s="5">
        <v>818</v>
      </c>
      <c r="C823" s="11">
        <v>209.71615254165943</v>
      </c>
      <c r="D823" s="42"/>
    </row>
    <row r="824" spans="2:4" ht="16" thickBot="1" x14ac:dyDescent="0.25">
      <c r="B824" s="4">
        <v>819</v>
      </c>
      <c r="C824" s="10">
        <v>315.84633295085797</v>
      </c>
      <c r="D824" s="42"/>
    </row>
    <row r="825" spans="2:4" ht="16" thickBot="1" x14ac:dyDescent="0.25">
      <c r="B825" s="5">
        <v>820</v>
      </c>
      <c r="C825" s="11">
        <v>371.34104380432836</v>
      </c>
      <c r="D825" s="42"/>
    </row>
    <row r="826" spans="2:4" ht="16" thickBot="1" x14ac:dyDescent="0.25">
      <c r="B826" s="4">
        <v>821</v>
      </c>
      <c r="C826" s="10">
        <v>167.41848371762052</v>
      </c>
      <c r="D826" s="42"/>
    </row>
    <row r="827" spans="2:4" ht="16" thickBot="1" x14ac:dyDescent="0.25">
      <c r="B827" s="5">
        <v>822</v>
      </c>
      <c r="C827" s="11">
        <v>152.51709823052144</v>
      </c>
      <c r="D827" s="42"/>
    </row>
    <row r="828" spans="2:4" ht="16" thickBot="1" x14ac:dyDescent="0.25">
      <c r="B828" s="4">
        <v>823</v>
      </c>
      <c r="C828" s="10">
        <v>148.0559103750746</v>
      </c>
      <c r="D828" s="42"/>
    </row>
    <row r="829" spans="2:4" ht="16" thickBot="1" x14ac:dyDescent="0.25">
      <c r="B829" s="5">
        <v>824</v>
      </c>
      <c r="C829" s="11">
        <v>560.94558026542154</v>
      </c>
      <c r="D829" s="42"/>
    </row>
    <row r="830" spans="2:4" ht="16" thickBot="1" x14ac:dyDescent="0.25">
      <c r="B830" s="4">
        <v>825</v>
      </c>
      <c r="C830" s="10">
        <v>234.82391241034097</v>
      </c>
      <c r="D830" s="42"/>
    </row>
    <row r="831" spans="2:4" ht="16" thickBot="1" x14ac:dyDescent="0.25">
      <c r="B831" s="5">
        <v>826</v>
      </c>
      <c r="C831" s="11">
        <v>378.68855390539397</v>
      </c>
      <c r="D831" s="42"/>
    </row>
    <row r="832" spans="2:4" ht="16" thickBot="1" x14ac:dyDescent="0.25">
      <c r="B832" s="4">
        <v>827</v>
      </c>
      <c r="C832" s="10">
        <v>308.77228347822552</v>
      </c>
      <c r="D832" s="42"/>
    </row>
    <row r="833" spans="2:4" ht="16" thickBot="1" x14ac:dyDescent="0.25">
      <c r="B833" s="5">
        <v>828</v>
      </c>
      <c r="C833" s="11">
        <v>403.42367413939667</v>
      </c>
      <c r="D833" s="42"/>
    </row>
    <row r="834" spans="2:4" ht="16" thickBot="1" x14ac:dyDescent="0.25">
      <c r="B834" s="4">
        <v>829</v>
      </c>
      <c r="C834" s="10">
        <v>74.101519424543255</v>
      </c>
      <c r="D834" s="42"/>
    </row>
    <row r="835" spans="2:4" ht="16" thickBot="1" x14ac:dyDescent="0.25">
      <c r="B835" s="5">
        <v>830</v>
      </c>
      <c r="C835" s="11">
        <v>341.71077402816672</v>
      </c>
      <c r="D835" s="42"/>
    </row>
    <row r="836" spans="2:4" ht="16" thickBot="1" x14ac:dyDescent="0.25">
      <c r="B836" s="4">
        <v>831</v>
      </c>
      <c r="C836" s="10">
        <v>553.80625648841794</v>
      </c>
      <c r="D836" s="42"/>
    </row>
    <row r="837" spans="2:4" ht="16" thickBot="1" x14ac:dyDescent="0.25">
      <c r="B837" s="5">
        <v>832</v>
      </c>
      <c r="C837" s="11">
        <v>390.46312209018987</v>
      </c>
      <c r="D837" s="42"/>
    </row>
    <row r="838" spans="2:4" ht="16" thickBot="1" x14ac:dyDescent="0.25">
      <c r="B838" s="4">
        <v>833</v>
      </c>
      <c r="C838" s="10">
        <v>294.41635451652201</v>
      </c>
      <c r="D838" s="42"/>
    </row>
    <row r="839" spans="2:4" ht="16" thickBot="1" x14ac:dyDescent="0.25">
      <c r="B839" s="5">
        <v>834</v>
      </c>
      <c r="C839" s="11">
        <v>207.60173519627449</v>
      </c>
      <c r="D839" s="42"/>
    </row>
    <row r="840" spans="2:4" ht="16" thickBot="1" x14ac:dyDescent="0.25">
      <c r="B840" s="4">
        <v>835</v>
      </c>
      <c r="C840" s="10">
        <v>293.11197220967273</v>
      </c>
      <c r="D840" s="42"/>
    </row>
    <row r="841" spans="2:4" ht="16" thickBot="1" x14ac:dyDescent="0.25">
      <c r="B841" s="5">
        <v>836</v>
      </c>
      <c r="C841" s="11">
        <v>166.13868188303843</v>
      </c>
      <c r="D841" s="42"/>
    </row>
    <row r="842" spans="2:4" ht="16" thickBot="1" x14ac:dyDescent="0.25">
      <c r="B842" s="4">
        <v>837</v>
      </c>
      <c r="C842" s="10">
        <v>161.88708194676536</v>
      </c>
      <c r="D842" s="42"/>
    </row>
    <row r="843" spans="2:4" ht="16" thickBot="1" x14ac:dyDescent="0.25">
      <c r="B843" s="5">
        <v>838</v>
      </c>
      <c r="C843" s="11">
        <v>313.07149540546675</v>
      </c>
      <c r="D843" s="42"/>
    </row>
    <row r="844" spans="2:4" ht="16" thickBot="1" x14ac:dyDescent="0.25">
      <c r="B844" s="4">
        <v>839</v>
      </c>
      <c r="C844" s="10">
        <v>364.36394473126768</v>
      </c>
      <c r="D844" s="42"/>
    </row>
    <row r="845" spans="2:4" ht="16" thickBot="1" x14ac:dyDescent="0.25">
      <c r="B845" s="5">
        <v>840</v>
      </c>
      <c r="C845" s="11">
        <v>370.068747194031</v>
      </c>
      <c r="D845" s="42"/>
    </row>
    <row r="846" spans="2:4" ht="16" thickBot="1" x14ac:dyDescent="0.25">
      <c r="B846" s="4">
        <v>841</v>
      </c>
      <c r="C846" s="10">
        <v>170.26991184022279</v>
      </c>
      <c r="D846" s="42"/>
    </row>
    <row r="847" spans="2:4" ht="16" thickBot="1" x14ac:dyDescent="0.25">
      <c r="B847" s="5">
        <v>842</v>
      </c>
      <c r="C847" s="11">
        <v>213.15670635342599</v>
      </c>
      <c r="D847" s="42"/>
    </row>
    <row r="848" spans="2:4" ht="16" thickBot="1" x14ac:dyDescent="0.25">
      <c r="B848" s="4">
        <v>843</v>
      </c>
      <c r="C848" s="10">
        <v>54.333629053824701</v>
      </c>
      <c r="D848" s="42"/>
    </row>
    <row r="849" spans="2:4" ht="16" thickBot="1" x14ac:dyDescent="0.25">
      <c r="B849" s="5">
        <v>844</v>
      </c>
      <c r="C849" s="11">
        <v>240.85847525443185</v>
      </c>
      <c r="D849" s="42"/>
    </row>
    <row r="850" spans="2:4" ht="16" thickBot="1" x14ac:dyDescent="0.25">
      <c r="B850" s="4">
        <v>845</v>
      </c>
      <c r="C850" s="10">
        <v>216.06230005717015</v>
      </c>
      <c r="D850" s="42"/>
    </row>
    <row r="851" spans="2:4" ht="16" thickBot="1" x14ac:dyDescent="0.25">
      <c r="B851" s="5">
        <v>846</v>
      </c>
      <c r="C851" s="11">
        <v>240.32314593932369</v>
      </c>
      <c r="D851" s="42"/>
    </row>
    <row r="852" spans="2:4" ht="16" thickBot="1" x14ac:dyDescent="0.25">
      <c r="B852" s="4">
        <v>847</v>
      </c>
      <c r="C852" s="10">
        <v>385.58669238303747</v>
      </c>
      <c r="D852" s="42"/>
    </row>
    <row r="853" spans="2:4" ht="16" thickBot="1" x14ac:dyDescent="0.25">
      <c r="B853" s="5">
        <v>848</v>
      </c>
      <c r="C853" s="11">
        <v>165.60961868345848</v>
      </c>
      <c r="D853" s="42"/>
    </row>
    <row r="854" spans="2:4" ht="16" thickBot="1" x14ac:dyDescent="0.25">
      <c r="B854" s="4">
        <v>849</v>
      </c>
      <c r="C854" s="10">
        <v>138.82042114766722</v>
      </c>
      <c r="D854" s="42"/>
    </row>
    <row r="855" spans="2:4" ht="16" thickBot="1" x14ac:dyDescent="0.25">
      <c r="B855" s="5">
        <v>850</v>
      </c>
      <c r="C855" s="11">
        <v>362.16111633582506</v>
      </c>
      <c r="D855" s="42"/>
    </row>
    <row r="856" spans="2:4" ht="16" thickBot="1" x14ac:dyDescent="0.25">
      <c r="B856" s="4">
        <v>851</v>
      </c>
      <c r="C856" s="10">
        <v>129.15269209270548</v>
      </c>
      <c r="D856" s="42"/>
    </row>
    <row r="857" spans="2:4" ht="16" thickBot="1" x14ac:dyDescent="0.25">
      <c r="B857" s="5">
        <v>852</v>
      </c>
      <c r="C857" s="11">
        <v>196.43409964224381</v>
      </c>
      <c r="D857" s="42"/>
    </row>
    <row r="858" spans="2:4" ht="16" thickBot="1" x14ac:dyDescent="0.25">
      <c r="B858" s="4">
        <v>853</v>
      </c>
      <c r="C858" s="10">
        <v>411.4873372772351</v>
      </c>
      <c r="D858" s="42"/>
    </row>
    <row r="859" spans="2:4" ht="16" thickBot="1" x14ac:dyDescent="0.25">
      <c r="B859" s="5">
        <v>854</v>
      </c>
      <c r="C859" s="11">
        <v>91.078530504168398</v>
      </c>
      <c r="D859" s="42"/>
    </row>
    <row r="860" spans="2:4" ht="16" thickBot="1" x14ac:dyDescent="0.25">
      <c r="B860" s="4">
        <v>855</v>
      </c>
      <c r="C860" s="10">
        <v>111.63604669668196</v>
      </c>
      <c r="D860" s="42"/>
    </row>
    <row r="861" spans="2:4" ht="16" thickBot="1" x14ac:dyDescent="0.25">
      <c r="B861" s="5">
        <v>856</v>
      </c>
      <c r="C861" s="11">
        <v>347.02997102160901</v>
      </c>
      <c r="D861" s="42"/>
    </row>
    <row r="862" spans="2:4" ht="16" thickBot="1" x14ac:dyDescent="0.25">
      <c r="B862" s="4">
        <v>857</v>
      </c>
      <c r="C862" s="10">
        <v>140.35188108614784</v>
      </c>
      <c r="D862" s="42"/>
    </row>
    <row r="863" spans="2:4" ht="16" thickBot="1" x14ac:dyDescent="0.25">
      <c r="B863" s="5">
        <v>858</v>
      </c>
      <c r="C863" s="11">
        <v>505.32830454664435</v>
      </c>
      <c r="D863" s="42"/>
    </row>
    <row r="864" spans="2:4" ht="16" thickBot="1" x14ac:dyDescent="0.25">
      <c r="B864" s="4">
        <v>859</v>
      </c>
      <c r="C864" s="10">
        <v>833.64797825249832</v>
      </c>
      <c r="D864" s="42"/>
    </row>
    <row r="865" spans="2:4" ht="16" thickBot="1" x14ac:dyDescent="0.25">
      <c r="B865" s="5">
        <v>860</v>
      </c>
      <c r="C865" s="11">
        <v>373.36218674765456</v>
      </c>
      <c r="D865" s="42"/>
    </row>
    <row r="866" spans="2:4" ht="16" thickBot="1" x14ac:dyDescent="0.25">
      <c r="B866" s="4">
        <v>861</v>
      </c>
      <c r="C866" s="10">
        <v>191.96333231094476</v>
      </c>
      <c r="D866" s="42"/>
    </row>
    <row r="867" spans="2:4" ht="16" thickBot="1" x14ac:dyDescent="0.25">
      <c r="B867" s="5">
        <v>862</v>
      </c>
      <c r="C867" s="11">
        <v>321.61358560657931</v>
      </c>
      <c r="D867" s="42"/>
    </row>
    <row r="868" spans="2:4" ht="16" thickBot="1" x14ac:dyDescent="0.25">
      <c r="B868" s="4">
        <v>863</v>
      </c>
      <c r="C868" s="10">
        <v>240.40969297463994</v>
      </c>
      <c r="D868" s="42"/>
    </row>
    <row r="869" spans="2:4" ht="16" thickBot="1" x14ac:dyDescent="0.25">
      <c r="B869" s="5">
        <v>864</v>
      </c>
      <c r="C869" s="11">
        <v>269.43639573032431</v>
      </c>
      <c r="D869" s="42"/>
    </row>
    <row r="870" spans="2:4" ht="16" thickBot="1" x14ac:dyDescent="0.25">
      <c r="B870" s="4">
        <v>865</v>
      </c>
      <c r="C870" s="10">
        <v>403.06681513217956</v>
      </c>
      <c r="D870" s="42"/>
    </row>
    <row r="871" spans="2:4" ht="16" thickBot="1" x14ac:dyDescent="0.25">
      <c r="B871" s="5">
        <v>866</v>
      </c>
      <c r="C871" s="11">
        <v>313.65022124978088</v>
      </c>
      <c r="D871" s="42"/>
    </row>
    <row r="872" spans="2:4" ht="16" thickBot="1" x14ac:dyDescent="0.25">
      <c r="B872" s="4">
        <v>867</v>
      </c>
      <c r="C872" s="10">
        <v>123.88712479362282</v>
      </c>
      <c r="D872" s="42"/>
    </row>
    <row r="873" spans="2:4" ht="16" thickBot="1" x14ac:dyDescent="0.25">
      <c r="B873" s="5">
        <v>868</v>
      </c>
      <c r="C873" s="11">
        <v>468.32871096019886</v>
      </c>
      <c r="D873" s="42"/>
    </row>
    <row r="874" spans="2:4" ht="16" thickBot="1" x14ac:dyDescent="0.25">
      <c r="B874" s="4">
        <v>869</v>
      </c>
      <c r="C874" s="10">
        <v>331.19179176380078</v>
      </c>
      <c r="D874" s="42"/>
    </row>
    <row r="875" spans="2:4" ht="16" thickBot="1" x14ac:dyDescent="0.25">
      <c r="B875" s="5">
        <v>870</v>
      </c>
      <c r="C875" s="11">
        <v>406.23634661831102</v>
      </c>
      <c r="D875" s="42"/>
    </row>
    <row r="876" spans="2:4" ht="16" thickBot="1" x14ac:dyDescent="0.25">
      <c r="B876" s="4">
        <v>871</v>
      </c>
      <c r="C876" s="10">
        <v>125.92223680163183</v>
      </c>
      <c r="D876" s="42"/>
    </row>
    <row r="877" spans="2:4" ht="16" thickBot="1" x14ac:dyDescent="0.25">
      <c r="B877" s="5">
        <v>872</v>
      </c>
      <c r="C877" s="11">
        <v>474.03569768845108</v>
      </c>
      <c r="D877" s="42"/>
    </row>
    <row r="878" spans="2:4" ht="16" thickBot="1" x14ac:dyDescent="0.25">
      <c r="B878" s="4">
        <v>873</v>
      </c>
      <c r="C878" s="10">
        <v>278.81628626175052</v>
      </c>
      <c r="D878" s="42"/>
    </row>
    <row r="879" spans="2:4" ht="16" thickBot="1" x14ac:dyDescent="0.25">
      <c r="B879" s="5">
        <v>874</v>
      </c>
      <c r="C879" s="11">
        <v>161.6647745083057</v>
      </c>
      <c r="D879" s="42"/>
    </row>
    <row r="880" spans="2:4" ht="16" thickBot="1" x14ac:dyDescent="0.25">
      <c r="B880" s="4">
        <v>875</v>
      </c>
      <c r="C880" s="10">
        <v>93.254906566279161</v>
      </c>
      <c r="D880" s="42"/>
    </row>
    <row r="881" spans="2:4" ht="16" thickBot="1" x14ac:dyDescent="0.25">
      <c r="B881" s="5">
        <v>876</v>
      </c>
      <c r="C881" s="11">
        <v>91.161941433136093</v>
      </c>
      <c r="D881" s="42"/>
    </row>
    <row r="882" spans="2:4" ht="16" thickBot="1" x14ac:dyDescent="0.25">
      <c r="B882" s="4">
        <v>877</v>
      </c>
      <c r="C882" s="10">
        <v>366.60681979154566</v>
      </c>
      <c r="D882" s="42"/>
    </row>
    <row r="883" spans="2:4" ht="16" thickBot="1" x14ac:dyDescent="0.25">
      <c r="B883" s="5">
        <v>878</v>
      </c>
      <c r="C883" s="11">
        <v>187.2696801804864</v>
      </c>
      <c r="D883" s="42"/>
    </row>
    <row r="884" spans="2:4" ht="16" thickBot="1" x14ac:dyDescent="0.25">
      <c r="B884" s="4">
        <v>879</v>
      </c>
      <c r="C884" s="10">
        <v>425.13649209106097</v>
      </c>
      <c r="D884" s="42"/>
    </row>
    <row r="885" spans="2:4" ht="16" thickBot="1" x14ac:dyDescent="0.25">
      <c r="B885" s="5">
        <v>880</v>
      </c>
      <c r="C885" s="11">
        <v>334.77528233455001</v>
      </c>
      <c r="D885" s="42"/>
    </row>
    <row r="886" spans="2:4" ht="16" thickBot="1" x14ac:dyDescent="0.25">
      <c r="B886" s="4">
        <v>881</v>
      </c>
      <c r="C886" s="10">
        <v>250.64096419660476</v>
      </c>
      <c r="D886" s="42"/>
    </row>
    <row r="887" spans="2:4" ht="16" thickBot="1" x14ac:dyDescent="0.25">
      <c r="B887" s="5">
        <v>882</v>
      </c>
      <c r="C887" s="11">
        <v>148.82429660030559</v>
      </c>
      <c r="D887" s="42"/>
    </row>
    <row r="888" spans="2:4" ht="16" thickBot="1" x14ac:dyDescent="0.25">
      <c r="B888" s="4">
        <v>883</v>
      </c>
      <c r="C888" s="10">
        <v>317.32589394246395</v>
      </c>
      <c r="D888" s="42"/>
    </row>
    <row r="889" spans="2:4" ht="16" thickBot="1" x14ac:dyDescent="0.25">
      <c r="B889" s="5">
        <v>884</v>
      </c>
      <c r="C889" s="11">
        <v>429.65258373106099</v>
      </c>
      <c r="D889" s="42"/>
    </row>
    <row r="890" spans="2:4" ht="16" thickBot="1" x14ac:dyDescent="0.25">
      <c r="B890" s="4">
        <v>885</v>
      </c>
      <c r="C890" s="10">
        <v>138.23255659083819</v>
      </c>
      <c r="D890" s="42"/>
    </row>
    <row r="891" spans="2:4" ht="16" thickBot="1" x14ac:dyDescent="0.25">
      <c r="B891" s="5">
        <v>886</v>
      </c>
      <c r="C891" s="11">
        <v>131.60968309331227</v>
      </c>
      <c r="D891" s="42"/>
    </row>
    <row r="892" spans="2:4" ht="16" thickBot="1" x14ac:dyDescent="0.25">
      <c r="B892" s="4">
        <v>887</v>
      </c>
      <c r="C892" s="10">
        <v>442.24204958318592</v>
      </c>
      <c r="D892" s="42"/>
    </row>
    <row r="893" spans="2:4" ht="16" thickBot="1" x14ac:dyDescent="0.25">
      <c r="B893" s="5">
        <v>888</v>
      </c>
      <c r="C893" s="11">
        <v>337.29275620373136</v>
      </c>
      <c r="D893" s="42"/>
    </row>
    <row r="894" spans="2:4" ht="16" thickBot="1" x14ac:dyDescent="0.25">
      <c r="B894" s="4">
        <v>889</v>
      </c>
      <c r="C894" s="10">
        <v>275.69660583409308</v>
      </c>
      <c r="D894" s="42"/>
    </row>
    <row r="895" spans="2:4" ht="16" thickBot="1" x14ac:dyDescent="0.25">
      <c r="B895" s="5">
        <v>890</v>
      </c>
      <c r="C895" s="11">
        <v>78.187385283790249</v>
      </c>
      <c r="D895" s="42"/>
    </row>
    <row r="896" spans="2:4" ht="16" thickBot="1" x14ac:dyDescent="0.25">
      <c r="B896" s="4">
        <v>891</v>
      </c>
      <c r="C896" s="10">
        <v>395.56839236044965</v>
      </c>
      <c r="D896" s="42"/>
    </row>
    <row r="897" spans="2:4" ht="16" thickBot="1" x14ac:dyDescent="0.25">
      <c r="B897" s="5">
        <v>892</v>
      </c>
      <c r="C897" s="11">
        <v>124.15757548229783</v>
      </c>
      <c r="D897" s="42"/>
    </row>
    <row r="898" spans="2:4" ht="16" thickBot="1" x14ac:dyDescent="0.25">
      <c r="B898" s="4">
        <v>893</v>
      </c>
      <c r="C898" s="10">
        <v>378.55050754530566</v>
      </c>
      <c r="D898" s="42"/>
    </row>
    <row r="899" spans="2:4" ht="16" thickBot="1" x14ac:dyDescent="0.25">
      <c r="B899" s="5">
        <v>894</v>
      </c>
      <c r="C899" s="11">
        <v>100.88454666076068</v>
      </c>
      <c r="D899" s="42"/>
    </row>
    <row r="900" spans="2:4" ht="16" thickBot="1" x14ac:dyDescent="0.25">
      <c r="B900" s="4">
        <v>895</v>
      </c>
      <c r="C900" s="10">
        <v>227.06335396893149</v>
      </c>
      <c r="D900" s="42"/>
    </row>
    <row r="901" spans="2:4" ht="16" thickBot="1" x14ac:dyDescent="0.25">
      <c r="B901" s="5">
        <v>896</v>
      </c>
      <c r="C901" s="11">
        <v>356.50655786767288</v>
      </c>
      <c r="D901" s="42"/>
    </row>
    <row r="902" spans="2:4" ht="16" thickBot="1" x14ac:dyDescent="0.25">
      <c r="B902" s="4">
        <v>897</v>
      </c>
      <c r="C902" s="10">
        <v>122.50055087566177</v>
      </c>
      <c r="D902" s="42"/>
    </row>
    <row r="903" spans="2:4" ht="16" thickBot="1" x14ac:dyDescent="0.25">
      <c r="B903" s="5">
        <v>898</v>
      </c>
      <c r="C903" s="11">
        <v>178.3217282231052</v>
      </c>
      <c r="D903" s="42"/>
    </row>
    <row r="904" spans="2:4" ht="16" thickBot="1" x14ac:dyDescent="0.25">
      <c r="B904" s="4">
        <v>899</v>
      </c>
      <c r="C904" s="10">
        <v>203.8137013745129</v>
      </c>
      <c r="D904" s="42"/>
    </row>
    <row r="905" spans="2:4" ht="16" thickBot="1" x14ac:dyDescent="0.25">
      <c r="B905" s="5">
        <v>900</v>
      </c>
      <c r="C905" s="11">
        <v>115.24506714829486</v>
      </c>
      <c r="D905" s="42"/>
    </row>
    <row r="906" spans="2:4" ht="16" thickBot="1" x14ac:dyDescent="0.25">
      <c r="B906" s="4">
        <v>901</v>
      </c>
      <c r="C906" s="10">
        <v>264.34969273542498</v>
      </c>
      <c r="D906" s="42"/>
    </row>
    <row r="907" spans="2:4" ht="16" thickBot="1" x14ac:dyDescent="0.25">
      <c r="B907" s="5">
        <v>902</v>
      </c>
      <c r="C907" s="11">
        <v>43.733238231375687</v>
      </c>
      <c r="D907" s="42"/>
    </row>
    <row r="908" spans="2:4" ht="16" thickBot="1" x14ac:dyDescent="0.25">
      <c r="B908" s="4">
        <v>903</v>
      </c>
      <c r="C908" s="10">
        <v>118.50540001094458</v>
      </c>
      <c r="D908" s="42"/>
    </row>
    <row r="909" spans="2:4" ht="16" thickBot="1" x14ac:dyDescent="0.25">
      <c r="B909" s="5">
        <v>904</v>
      </c>
      <c r="C909" s="11">
        <v>24.327128592319962</v>
      </c>
      <c r="D909" s="42"/>
    </row>
    <row r="910" spans="2:4" ht="16" thickBot="1" x14ac:dyDescent="0.25">
      <c r="B910" s="4">
        <v>905</v>
      </c>
      <c r="C910" s="10">
        <v>145.20091708947976</v>
      </c>
      <c r="D910" s="42"/>
    </row>
    <row r="911" spans="2:4" ht="16" thickBot="1" x14ac:dyDescent="0.25">
      <c r="B911" s="5">
        <v>906</v>
      </c>
      <c r="C911" s="11">
        <v>193.58763107681182</v>
      </c>
      <c r="D911" s="42"/>
    </row>
    <row r="912" spans="2:4" ht="16" thickBot="1" x14ac:dyDescent="0.25">
      <c r="B912" s="4">
        <v>907</v>
      </c>
      <c r="C912" s="10">
        <v>320.75384735305846</v>
      </c>
      <c r="D912" s="42"/>
    </row>
    <row r="913" spans="2:4" ht="16" thickBot="1" x14ac:dyDescent="0.25">
      <c r="B913" s="5">
        <v>908</v>
      </c>
      <c r="C913" s="11">
        <v>108.38723558920265</v>
      </c>
      <c r="D913" s="42"/>
    </row>
    <row r="914" spans="2:4" ht="16" thickBot="1" x14ac:dyDescent="0.25">
      <c r="B914" s="4">
        <v>909</v>
      </c>
      <c r="C914" s="10">
        <v>264.65856949899091</v>
      </c>
      <c r="D914" s="42"/>
    </row>
    <row r="915" spans="2:4" ht="16" thickBot="1" x14ac:dyDescent="0.25">
      <c r="B915" s="5">
        <v>910</v>
      </c>
      <c r="C915" s="11">
        <v>280.37909418136337</v>
      </c>
      <c r="D915" s="42"/>
    </row>
    <row r="916" spans="2:4" ht="16" thickBot="1" x14ac:dyDescent="0.25">
      <c r="B916" s="4">
        <v>911</v>
      </c>
      <c r="C916" s="10">
        <v>278.80617075775638</v>
      </c>
      <c r="D916" s="42"/>
    </row>
    <row r="917" spans="2:4" ht="16" thickBot="1" x14ac:dyDescent="0.25">
      <c r="B917" s="5">
        <v>912</v>
      </c>
      <c r="C917" s="11">
        <v>304.34402331712221</v>
      </c>
      <c r="D917" s="42"/>
    </row>
    <row r="918" spans="2:4" ht="16" thickBot="1" x14ac:dyDescent="0.25">
      <c r="B918" s="4">
        <v>913</v>
      </c>
      <c r="C918" s="10">
        <v>219.01125259843184</v>
      </c>
      <c r="D918" s="42"/>
    </row>
    <row r="919" spans="2:4" ht="16" thickBot="1" x14ac:dyDescent="0.25">
      <c r="B919" s="5">
        <v>914</v>
      </c>
      <c r="C919" s="11">
        <v>123.73289907884002</v>
      </c>
      <c r="D919" s="42"/>
    </row>
    <row r="920" spans="2:4" ht="16" thickBot="1" x14ac:dyDescent="0.25">
      <c r="B920" s="4">
        <v>915</v>
      </c>
      <c r="C920" s="10">
        <v>189.44999999593762</v>
      </c>
      <c r="D920" s="42"/>
    </row>
    <row r="921" spans="2:4" ht="16" thickBot="1" x14ac:dyDescent="0.25">
      <c r="B921" s="5">
        <v>916</v>
      </c>
      <c r="C921" s="11">
        <v>220.97418120356488</v>
      </c>
      <c r="D921" s="42"/>
    </row>
    <row r="922" spans="2:4" ht="16" thickBot="1" x14ac:dyDescent="0.25">
      <c r="B922" s="4">
        <v>917</v>
      </c>
      <c r="C922" s="10">
        <v>143.71179521377726</v>
      </c>
      <c r="D922" s="42"/>
    </row>
    <row r="923" spans="2:4" ht="16" thickBot="1" x14ac:dyDescent="0.25">
      <c r="B923" s="5">
        <v>918</v>
      </c>
      <c r="C923" s="11">
        <v>304.74502547007808</v>
      </c>
      <c r="D923" s="42"/>
    </row>
    <row r="924" spans="2:4" ht="16" thickBot="1" x14ac:dyDescent="0.25">
      <c r="B924" s="4">
        <v>919</v>
      </c>
      <c r="C924" s="10">
        <v>355.98295902927674</v>
      </c>
      <c r="D924" s="42"/>
    </row>
    <row r="925" spans="2:4" ht="16" thickBot="1" x14ac:dyDescent="0.25">
      <c r="B925" s="5">
        <v>920</v>
      </c>
      <c r="C925" s="11">
        <v>645.810949837929</v>
      </c>
      <c r="D925" s="42"/>
    </row>
    <row r="926" spans="2:4" ht="16" thickBot="1" x14ac:dyDescent="0.25">
      <c r="B926" s="4">
        <v>921</v>
      </c>
      <c r="C926" s="10">
        <v>101.60461963099991</v>
      </c>
      <c r="D926" s="42"/>
    </row>
    <row r="927" spans="2:4" ht="16" thickBot="1" x14ac:dyDescent="0.25">
      <c r="B927" s="5">
        <v>922</v>
      </c>
      <c r="C927" s="11">
        <v>138.73877108413839</v>
      </c>
      <c r="D927" s="42"/>
    </row>
    <row r="928" spans="2:4" ht="16" thickBot="1" x14ac:dyDescent="0.25">
      <c r="B928" s="4">
        <v>923</v>
      </c>
      <c r="C928" s="10">
        <v>270.5787133596582</v>
      </c>
      <c r="D928" s="42"/>
    </row>
    <row r="929" spans="2:4" ht="16" thickBot="1" x14ac:dyDescent="0.25">
      <c r="B929" s="5">
        <v>924</v>
      </c>
      <c r="C929" s="11">
        <v>329.31531534219278</v>
      </c>
      <c r="D929" s="42"/>
    </row>
    <row r="930" spans="2:4" ht="16" thickBot="1" x14ac:dyDescent="0.25">
      <c r="B930" s="4">
        <v>925</v>
      </c>
      <c r="C930" s="10">
        <v>294.55793739289402</v>
      </c>
      <c r="D930" s="42"/>
    </row>
    <row r="931" spans="2:4" ht="16" thickBot="1" x14ac:dyDescent="0.25">
      <c r="B931" s="5">
        <v>926</v>
      </c>
      <c r="C931" s="11">
        <v>59.818840188573617</v>
      </c>
      <c r="D931" s="42"/>
    </row>
    <row r="932" spans="2:4" ht="16" thickBot="1" x14ac:dyDescent="0.25">
      <c r="B932" s="4">
        <v>927</v>
      </c>
      <c r="C932" s="10">
        <v>80.265574014490269</v>
      </c>
      <c r="D932" s="42"/>
    </row>
    <row r="933" spans="2:4" ht="16" thickBot="1" x14ac:dyDescent="0.25">
      <c r="B933" s="5">
        <v>928</v>
      </c>
      <c r="C933" s="11">
        <v>226.94893039912958</v>
      </c>
      <c r="D933" s="42"/>
    </row>
    <row r="934" spans="2:4" ht="16" thickBot="1" x14ac:dyDescent="0.25">
      <c r="B934" s="4">
        <v>929</v>
      </c>
      <c r="C934" s="10">
        <v>236.46608647315341</v>
      </c>
      <c r="D934" s="42"/>
    </row>
    <row r="935" spans="2:4" ht="16" thickBot="1" x14ac:dyDescent="0.25">
      <c r="B935" s="5">
        <v>930</v>
      </c>
      <c r="C935" s="11">
        <v>245.35078704449768</v>
      </c>
      <c r="D935" s="42"/>
    </row>
    <row r="936" spans="2:4" ht="16" thickBot="1" x14ac:dyDescent="0.25">
      <c r="B936" s="4">
        <v>931</v>
      </c>
      <c r="C936" s="10">
        <v>163.35358783647888</v>
      </c>
      <c r="D936" s="42"/>
    </row>
    <row r="937" spans="2:4" ht="16" thickBot="1" x14ac:dyDescent="0.25">
      <c r="B937" s="5">
        <v>932</v>
      </c>
      <c r="C937" s="11">
        <v>296.64596951055984</v>
      </c>
      <c r="D937" s="42"/>
    </row>
    <row r="938" spans="2:4" ht="16" thickBot="1" x14ac:dyDescent="0.25">
      <c r="B938" s="4">
        <v>933</v>
      </c>
      <c r="C938" s="10">
        <v>83.427438059128008</v>
      </c>
      <c r="D938" s="42"/>
    </row>
    <row r="939" spans="2:4" ht="16" thickBot="1" x14ac:dyDescent="0.25">
      <c r="B939" s="5">
        <v>934</v>
      </c>
      <c r="C939" s="11">
        <v>150.47715171330563</v>
      </c>
      <c r="D939" s="42"/>
    </row>
    <row r="940" spans="2:4" ht="16" thickBot="1" x14ac:dyDescent="0.25">
      <c r="B940" s="4">
        <v>935</v>
      </c>
      <c r="C940" s="10">
        <v>502.94423255116328</v>
      </c>
      <c r="D940" s="42"/>
    </row>
    <row r="941" spans="2:4" ht="16" thickBot="1" x14ac:dyDescent="0.25">
      <c r="B941" s="5">
        <v>936</v>
      </c>
      <c r="C941" s="11">
        <v>136.62607560170591</v>
      </c>
      <c r="D941" s="42"/>
    </row>
    <row r="942" spans="2:4" ht="16" thickBot="1" x14ac:dyDescent="0.25">
      <c r="B942" s="4">
        <v>937</v>
      </c>
      <c r="C942" s="10">
        <v>193.65880067755705</v>
      </c>
      <c r="D942" s="42"/>
    </row>
    <row r="943" spans="2:4" ht="16" thickBot="1" x14ac:dyDescent="0.25">
      <c r="B943" s="5">
        <v>938</v>
      </c>
      <c r="C943" s="11">
        <v>218.62281125016256</v>
      </c>
      <c r="D943" s="42"/>
    </row>
    <row r="944" spans="2:4" ht="16" thickBot="1" x14ac:dyDescent="0.25">
      <c r="B944" s="4">
        <v>939</v>
      </c>
      <c r="C944" s="10">
        <v>203.17765014951942</v>
      </c>
      <c r="D944" s="42"/>
    </row>
    <row r="945" spans="2:4" ht="16" thickBot="1" x14ac:dyDescent="0.25">
      <c r="B945" s="5">
        <v>940</v>
      </c>
      <c r="C945" s="11">
        <v>454.34757612248671</v>
      </c>
      <c r="D945" s="42"/>
    </row>
    <row r="946" spans="2:4" ht="16" thickBot="1" x14ac:dyDescent="0.25">
      <c r="B946" s="4">
        <v>941</v>
      </c>
      <c r="C946" s="10">
        <v>103.57564542970101</v>
      </c>
      <c r="D946" s="42"/>
    </row>
    <row r="947" spans="2:4" ht="16" thickBot="1" x14ac:dyDescent="0.25">
      <c r="B947" s="5">
        <v>942</v>
      </c>
      <c r="C947" s="11">
        <v>541.81365943012804</v>
      </c>
      <c r="D947" s="42"/>
    </row>
    <row r="948" spans="2:4" ht="16" thickBot="1" x14ac:dyDescent="0.25">
      <c r="B948" s="4">
        <v>943</v>
      </c>
      <c r="C948" s="10">
        <v>269.37813617021737</v>
      </c>
      <c r="D948" s="42"/>
    </row>
    <row r="949" spans="2:4" ht="16" thickBot="1" x14ac:dyDescent="0.25">
      <c r="B949" s="5">
        <v>944</v>
      </c>
      <c r="C949" s="11">
        <v>198.11555739947539</v>
      </c>
      <c r="D949" s="42"/>
    </row>
    <row r="950" spans="2:4" ht="16" thickBot="1" x14ac:dyDescent="0.25">
      <c r="B950" s="4">
        <v>945</v>
      </c>
      <c r="C950" s="10">
        <v>363.83294098089345</v>
      </c>
      <c r="D950" s="42"/>
    </row>
    <row r="951" spans="2:4" ht="16" thickBot="1" x14ac:dyDescent="0.25">
      <c r="B951" s="5">
        <v>946</v>
      </c>
      <c r="C951" s="11">
        <v>421.37897468088596</v>
      </c>
      <c r="D951" s="42"/>
    </row>
    <row r="952" spans="2:4" ht="16" thickBot="1" x14ac:dyDescent="0.25">
      <c r="B952" s="4">
        <v>947</v>
      </c>
      <c r="C952" s="10">
        <v>147.88977193903546</v>
      </c>
      <c r="D952" s="42"/>
    </row>
    <row r="953" spans="2:4" ht="16" thickBot="1" x14ac:dyDescent="0.25">
      <c r="B953" s="5">
        <v>948</v>
      </c>
      <c r="C953" s="11">
        <v>529.70567026344929</v>
      </c>
      <c r="D953" s="42"/>
    </row>
    <row r="954" spans="2:4" ht="16" thickBot="1" x14ac:dyDescent="0.25">
      <c r="B954" s="4">
        <v>949</v>
      </c>
      <c r="C954" s="10">
        <v>144.60026163143991</v>
      </c>
      <c r="D954" s="42"/>
    </row>
    <row r="955" spans="2:4" ht="16" thickBot="1" x14ac:dyDescent="0.25">
      <c r="B955" s="5">
        <v>950</v>
      </c>
      <c r="C955" s="11">
        <v>181.96471593945884</v>
      </c>
      <c r="D955" s="42"/>
    </row>
    <row r="956" spans="2:4" ht="16" thickBot="1" x14ac:dyDescent="0.25">
      <c r="B956" s="4">
        <v>951</v>
      </c>
      <c r="C956" s="10">
        <v>288.9168527855287</v>
      </c>
      <c r="D956" s="42"/>
    </row>
    <row r="957" spans="2:4" ht="16" thickBot="1" x14ac:dyDescent="0.25">
      <c r="B957" s="5">
        <v>952</v>
      </c>
      <c r="C957" s="11">
        <v>186.04103810792685</v>
      </c>
      <c r="D957" s="42"/>
    </row>
    <row r="958" spans="2:4" ht="16" thickBot="1" x14ac:dyDescent="0.25">
      <c r="B958" s="4">
        <v>953</v>
      </c>
      <c r="C958" s="10">
        <v>103.86872667594656</v>
      </c>
      <c r="D958" s="42"/>
    </row>
    <row r="959" spans="2:4" ht="16" thickBot="1" x14ac:dyDescent="0.25">
      <c r="B959" s="5">
        <v>954</v>
      </c>
      <c r="C959" s="11">
        <v>442.28082977341558</v>
      </c>
      <c r="D959" s="42"/>
    </row>
    <row r="960" spans="2:4" ht="16" thickBot="1" x14ac:dyDescent="0.25">
      <c r="B960" s="4">
        <v>955</v>
      </c>
      <c r="C960" s="10">
        <v>214.18376366439128</v>
      </c>
      <c r="D960" s="42"/>
    </row>
    <row r="961" spans="2:4" ht="16" thickBot="1" x14ac:dyDescent="0.25">
      <c r="B961" s="5">
        <v>956</v>
      </c>
      <c r="C961" s="11">
        <v>342.60168033104389</v>
      </c>
      <c r="D961" s="42"/>
    </row>
    <row r="962" spans="2:4" ht="16" thickBot="1" x14ac:dyDescent="0.25">
      <c r="B962" s="4">
        <v>957</v>
      </c>
      <c r="C962" s="10">
        <v>252.82246463605716</v>
      </c>
      <c r="D962" s="42"/>
    </row>
    <row r="963" spans="2:4" ht="16" thickBot="1" x14ac:dyDescent="0.25">
      <c r="B963" s="5">
        <v>958</v>
      </c>
      <c r="C963" s="11">
        <v>544.70317305370543</v>
      </c>
      <c r="D963" s="42"/>
    </row>
    <row r="964" spans="2:4" ht="16" thickBot="1" x14ac:dyDescent="0.25">
      <c r="B964" s="4">
        <v>959</v>
      </c>
      <c r="C964" s="10">
        <v>114.78258933400434</v>
      </c>
      <c r="D964" s="42"/>
    </row>
    <row r="965" spans="2:4" ht="16" thickBot="1" x14ac:dyDescent="0.25">
      <c r="B965" s="5">
        <v>960</v>
      </c>
      <c r="C965" s="11">
        <v>294.82752550741895</v>
      </c>
      <c r="D965" s="42"/>
    </row>
    <row r="966" spans="2:4" ht="16" thickBot="1" x14ac:dyDescent="0.25">
      <c r="B966" s="4">
        <v>961</v>
      </c>
      <c r="C966" s="10">
        <v>604.87521064901387</v>
      </c>
      <c r="D966" s="42"/>
    </row>
    <row r="967" spans="2:4" ht="16" thickBot="1" x14ac:dyDescent="0.25">
      <c r="B967" s="5">
        <v>962</v>
      </c>
      <c r="C967" s="11">
        <v>91.802873497737579</v>
      </c>
      <c r="D967" s="42"/>
    </row>
    <row r="968" spans="2:4" ht="16" thickBot="1" x14ac:dyDescent="0.25">
      <c r="B968" s="4">
        <v>963</v>
      </c>
      <c r="C968" s="10">
        <v>402.05682814926917</v>
      </c>
      <c r="D968" s="42"/>
    </row>
    <row r="969" spans="2:4" ht="16" thickBot="1" x14ac:dyDescent="0.25">
      <c r="B969" s="5">
        <v>964</v>
      </c>
      <c r="C969" s="11">
        <v>206.53480565666331</v>
      </c>
      <c r="D969" s="42"/>
    </row>
    <row r="970" spans="2:4" ht="16" thickBot="1" x14ac:dyDescent="0.25">
      <c r="B970" s="4">
        <v>965</v>
      </c>
      <c r="C970" s="10">
        <v>161.76538394846025</v>
      </c>
      <c r="D970" s="42"/>
    </row>
    <row r="971" spans="2:4" ht="16" thickBot="1" x14ac:dyDescent="0.25">
      <c r="B971" s="5">
        <v>966</v>
      </c>
      <c r="C971" s="11">
        <v>150.11084662983674</v>
      </c>
      <c r="D971" s="42"/>
    </row>
    <row r="972" spans="2:4" ht="16" thickBot="1" x14ac:dyDescent="0.25">
      <c r="B972" s="4">
        <v>967</v>
      </c>
      <c r="C972" s="10">
        <v>182.700404420583</v>
      </c>
      <c r="D972" s="42"/>
    </row>
    <row r="973" spans="2:4" ht="16" thickBot="1" x14ac:dyDescent="0.25">
      <c r="B973" s="5">
        <v>968</v>
      </c>
      <c r="C973" s="11">
        <v>41.554024876094751</v>
      </c>
      <c r="D973" s="42"/>
    </row>
    <row r="974" spans="2:4" ht="16" thickBot="1" x14ac:dyDescent="0.25">
      <c r="B974" s="4">
        <v>969</v>
      </c>
      <c r="C974" s="10">
        <v>352.36937362234437</v>
      </c>
      <c r="D974" s="42"/>
    </row>
    <row r="975" spans="2:4" ht="16" thickBot="1" x14ac:dyDescent="0.25">
      <c r="B975" s="5">
        <v>970</v>
      </c>
      <c r="C975" s="11">
        <v>142.69652895569436</v>
      </c>
      <c r="D975" s="42"/>
    </row>
    <row r="976" spans="2:4" ht="16" thickBot="1" x14ac:dyDescent="0.25">
      <c r="B976" s="4">
        <v>971</v>
      </c>
      <c r="C976" s="10">
        <v>227.75943712793961</v>
      </c>
      <c r="D976" s="42"/>
    </row>
    <row r="977" spans="2:4" ht="16" thickBot="1" x14ac:dyDescent="0.25">
      <c r="B977" s="5">
        <v>972</v>
      </c>
      <c r="C977" s="11">
        <v>149.52087750844314</v>
      </c>
      <c r="D977" s="42"/>
    </row>
    <row r="978" spans="2:4" ht="16" thickBot="1" x14ac:dyDescent="0.25">
      <c r="B978" s="4">
        <v>973</v>
      </c>
      <c r="C978" s="10">
        <v>711.94777817804311</v>
      </c>
      <c r="D978" s="42"/>
    </row>
    <row r="979" spans="2:4" ht="16" thickBot="1" x14ac:dyDescent="0.25">
      <c r="B979" s="5">
        <v>974</v>
      </c>
      <c r="C979" s="11">
        <v>184.09949085086248</v>
      </c>
      <c r="D979" s="42"/>
    </row>
    <row r="980" spans="2:4" ht="16" thickBot="1" x14ac:dyDescent="0.25">
      <c r="B980" s="4">
        <v>975</v>
      </c>
      <c r="C980" s="10">
        <v>80.831749754426539</v>
      </c>
      <c r="D980" s="42"/>
    </row>
    <row r="981" spans="2:4" ht="16" thickBot="1" x14ac:dyDescent="0.25">
      <c r="B981" s="5">
        <v>976</v>
      </c>
      <c r="C981" s="11">
        <v>88.153570018904475</v>
      </c>
      <c r="D981" s="42"/>
    </row>
    <row r="982" spans="2:4" ht="16" thickBot="1" x14ac:dyDescent="0.25">
      <c r="B982" s="4">
        <v>977</v>
      </c>
      <c r="C982" s="10">
        <v>225.60711076524211</v>
      </c>
      <c r="D982" s="42"/>
    </row>
    <row r="983" spans="2:4" ht="16" thickBot="1" x14ac:dyDescent="0.25">
      <c r="B983" s="5">
        <v>978</v>
      </c>
      <c r="C983" s="11">
        <v>148.41891635046949</v>
      </c>
      <c r="D983" s="42"/>
    </row>
    <row r="984" spans="2:4" ht="16" thickBot="1" x14ac:dyDescent="0.25">
      <c r="B984" s="4">
        <v>979</v>
      </c>
      <c r="C984" s="10">
        <v>191.96591769912865</v>
      </c>
      <c r="D984" s="42"/>
    </row>
    <row r="985" spans="2:4" ht="16" thickBot="1" x14ac:dyDescent="0.25">
      <c r="B985" s="5">
        <v>980</v>
      </c>
      <c r="C985" s="11">
        <v>126.7467457674833</v>
      </c>
      <c r="D985" s="42"/>
    </row>
    <row r="986" spans="2:4" ht="16" thickBot="1" x14ac:dyDescent="0.25">
      <c r="B986" s="4">
        <v>981</v>
      </c>
      <c r="C986" s="10">
        <v>456.87512266620178</v>
      </c>
      <c r="D986" s="42"/>
    </row>
    <row r="987" spans="2:4" ht="16" thickBot="1" x14ac:dyDescent="0.25">
      <c r="B987" s="5">
        <v>982</v>
      </c>
      <c r="C987" s="11">
        <v>505.80709746883559</v>
      </c>
      <c r="D987" s="42"/>
    </row>
    <row r="988" spans="2:4" ht="16" thickBot="1" x14ac:dyDescent="0.25">
      <c r="B988" s="4">
        <v>983</v>
      </c>
      <c r="C988" s="10">
        <v>142.37504115047355</v>
      </c>
      <c r="D988" s="42"/>
    </row>
    <row r="989" spans="2:4" ht="16" thickBot="1" x14ac:dyDescent="0.25">
      <c r="B989" s="5">
        <v>984</v>
      </c>
      <c r="C989" s="11">
        <v>154.59857271264266</v>
      </c>
      <c r="D989" s="42"/>
    </row>
    <row r="990" spans="2:4" ht="16" thickBot="1" x14ac:dyDescent="0.25">
      <c r="B990" s="4">
        <v>985</v>
      </c>
      <c r="C990" s="10">
        <v>131.87136036280347</v>
      </c>
      <c r="D990" s="42"/>
    </row>
    <row r="991" spans="2:4" ht="16" thickBot="1" x14ac:dyDescent="0.25">
      <c r="B991" s="5">
        <v>986</v>
      </c>
      <c r="C991" s="11">
        <v>32.915478024862509</v>
      </c>
      <c r="D991" s="42"/>
    </row>
    <row r="992" spans="2:4" ht="16" thickBot="1" x14ac:dyDescent="0.25">
      <c r="B992" s="4">
        <v>987</v>
      </c>
      <c r="C992" s="10">
        <v>183.30712456528818</v>
      </c>
      <c r="D992" s="42"/>
    </row>
    <row r="993" spans="2:4" ht="16" thickBot="1" x14ac:dyDescent="0.25">
      <c r="B993" s="5">
        <v>988</v>
      </c>
      <c r="C993" s="11">
        <v>271.67068075377091</v>
      </c>
      <c r="D993" s="42"/>
    </row>
    <row r="994" spans="2:4" ht="16" thickBot="1" x14ac:dyDescent="0.25">
      <c r="B994" s="4">
        <v>989</v>
      </c>
      <c r="C994" s="10">
        <v>107.38146585869366</v>
      </c>
      <c r="D994" s="42"/>
    </row>
    <row r="995" spans="2:4" ht="16" thickBot="1" x14ac:dyDescent="0.25">
      <c r="B995" s="5">
        <v>990</v>
      </c>
      <c r="C995" s="11">
        <v>109.91952235536662</v>
      </c>
      <c r="D995" s="42"/>
    </row>
    <row r="996" spans="2:4" ht="16" thickBot="1" x14ac:dyDescent="0.25">
      <c r="B996" s="4">
        <v>991</v>
      </c>
      <c r="C996" s="10">
        <v>542.49336348368956</v>
      </c>
      <c r="D996" s="42"/>
    </row>
    <row r="997" spans="2:4" ht="16" thickBot="1" x14ac:dyDescent="0.25">
      <c r="B997" s="5">
        <v>992</v>
      </c>
      <c r="C997" s="11">
        <v>169.33883052530931</v>
      </c>
      <c r="D997" s="42"/>
    </row>
    <row r="998" spans="2:4" ht="16" thickBot="1" x14ac:dyDescent="0.25">
      <c r="B998" s="4">
        <v>993</v>
      </c>
      <c r="C998" s="10">
        <v>289.52416187177965</v>
      </c>
      <c r="D998" s="42"/>
    </row>
    <row r="999" spans="2:4" ht="16" thickBot="1" x14ac:dyDescent="0.25">
      <c r="B999" s="5">
        <v>994</v>
      </c>
      <c r="C999" s="11">
        <v>34.418783393533296</v>
      </c>
      <c r="D999" s="42"/>
    </row>
    <row r="1000" spans="2:4" ht="16" thickBot="1" x14ac:dyDescent="0.25">
      <c r="B1000" s="4">
        <v>995</v>
      </c>
      <c r="C1000" s="10">
        <v>464.95105387436797</v>
      </c>
      <c r="D1000" s="42"/>
    </row>
    <row r="1001" spans="2:4" ht="16" thickBot="1" x14ac:dyDescent="0.25">
      <c r="B1001" s="5">
        <v>996</v>
      </c>
      <c r="C1001" s="11">
        <v>281.63718522016188</v>
      </c>
      <c r="D1001" s="42"/>
    </row>
    <row r="1002" spans="2:4" ht="16" thickBot="1" x14ac:dyDescent="0.25">
      <c r="B1002" s="4">
        <v>997</v>
      </c>
      <c r="C1002" s="10">
        <v>263.41619174499556</v>
      </c>
      <c r="D1002" s="42"/>
    </row>
    <row r="1003" spans="2:4" ht="16" thickBot="1" x14ac:dyDescent="0.25">
      <c r="B1003" s="5">
        <v>998</v>
      </c>
      <c r="C1003" s="11">
        <v>165.80101636150249</v>
      </c>
      <c r="D1003" s="42"/>
    </row>
    <row r="1004" spans="2:4" ht="16" thickBot="1" x14ac:dyDescent="0.25">
      <c r="B1004" s="4">
        <v>999</v>
      </c>
      <c r="C1004" s="10">
        <v>304.125398070323</v>
      </c>
      <c r="D1004" s="42"/>
    </row>
    <row r="1005" spans="2:4" ht="16" thickBot="1" x14ac:dyDescent="0.25">
      <c r="B1005" s="5">
        <v>1000</v>
      </c>
      <c r="C1005" s="11">
        <v>143.93229780307416</v>
      </c>
      <c r="D1005" s="42"/>
    </row>
    <row r="1006" spans="2:4" ht="16" thickBot="1" x14ac:dyDescent="0.25">
      <c r="B1006" s="4">
        <v>1001</v>
      </c>
      <c r="C1006" s="10">
        <v>216.39707457399876</v>
      </c>
      <c r="D1006" s="42"/>
    </row>
    <row r="1007" spans="2:4" ht="16" thickBot="1" x14ac:dyDescent="0.25">
      <c r="B1007" s="5">
        <v>1002</v>
      </c>
      <c r="C1007" s="11">
        <v>500.56481140314003</v>
      </c>
      <c r="D1007" s="42"/>
    </row>
    <row r="1008" spans="2:4" ht="16" thickBot="1" x14ac:dyDescent="0.25">
      <c r="B1008" s="4">
        <v>1003</v>
      </c>
      <c r="C1008" s="10">
        <v>156.97242603609277</v>
      </c>
      <c r="D1008" s="42"/>
    </row>
    <row r="1009" spans="2:4" ht="16" thickBot="1" x14ac:dyDescent="0.25">
      <c r="B1009" s="5">
        <v>1004</v>
      </c>
      <c r="C1009" s="11">
        <v>157.0250589184746</v>
      </c>
      <c r="D1009" s="42"/>
    </row>
    <row r="1010" spans="2:4" ht="16" thickBot="1" x14ac:dyDescent="0.25">
      <c r="B1010" s="4">
        <v>1005</v>
      </c>
      <c r="C1010" s="10">
        <v>231.63856999455888</v>
      </c>
      <c r="D1010" s="42"/>
    </row>
    <row r="1011" spans="2:4" ht="16" thickBot="1" x14ac:dyDescent="0.25">
      <c r="B1011" s="5">
        <v>1006</v>
      </c>
      <c r="C1011" s="11">
        <v>77.755300865673334</v>
      </c>
      <c r="D1011" s="42"/>
    </row>
    <row r="1012" spans="2:4" ht="16" thickBot="1" x14ac:dyDescent="0.25">
      <c r="B1012" s="4">
        <v>1007</v>
      </c>
      <c r="C1012" s="10">
        <v>191.07970918958998</v>
      </c>
      <c r="D1012" s="42"/>
    </row>
    <row r="1013" spans="2:4" ht="16" thickBot="1" x14ac:dyDescent="0.25">
      <c r="B1013" s="5">
        <v>1008</v>
      </c>
      <c r="C1013" s="11">
        <v>527.67734446758482</v>
      </c>
      <c r="D1013" s="42"/>
    </row>
    <row r="1014" spans="2:4" ht="16" thickBot="1" x14ac:dyDescent="0.25">
      <c r="B1014" s="4">
        <v>1009</v>
      </c>
      <c r="C1014" s="10">
        <v>121.24926505675629</v>
      </c>
      <c r="D1014" s="42"/>
    </row>
    <row r="1015" spans="2:4" ht="16" thickBot="1" x14ac:dyDescent="0.25">
      <c r="B1015" s="5">
        <v>1010</v>
      </c>
      <c r="C1015" s="11">
        <v>158.2813352604382</v>
      </c>
      <c r="D1015" s="42"/>
    </row>
    <row r="1016" spans="2:4" ht="16" thickBot="1" x14ac:dyDescent="0.25">
      <c r="B1016" s="4">
        <v>1011</v>
      </c>
      <c r="C1016" s="10">
        <v>77.583857248108615</v>
      </c>
      <c r="D1016" s="42"/>
    </row>
    <row r="1017" spans="2:4" ht="16" thickBot="1" x14ac:dyDescent="0.25">
      <c r="B1017" s="5">
        <v>1012</v>
      </c>
      <c r="C1017" s="11">
        <v>144.55967044402942</v>
      </c>
      <c r="D1017" s="42"/>
    </row>
    <row r="1018" spans="2:4" ht="16" thickBot="1" x14ac:dyDescent="0.25">
      <c r="B1018" s="4">
        <v>1013</v>
      </c>
      <c r="C1018" s="10">
        <v>144.16121761692881</v>
      </c>
      <c r="D1018" s="42"/>
    </row>
    <row r="1019" spans="2:4" ht="16" thickBot="1" x14ac:dyDescent="0.25">
      <c r="B1019" s="5">
        <v>1014</v>
      </c>
      <c r="C1019" s="11">
        <v>96.285265061978649</v>
      </c>
      <c r="D1019" s="42"/>
    </row>
    <row r="1020" spans="2:4" ht="16" thickBot="1" x14ac:dyDescent="0.25">
      <c r="B1020" s="4">
        <v>1015</v>
      </c>
      <c r="C1020" s="10">
        <v>134.88140211643824</v>
      </c>
      <c r="D1020" s="42"/>
    </row>
    <row r="1021" spans="2:4" ht="16" thickBot="1" x14ac:dyDescent="0.25">
      <c r="B1021" s="5">
        <v>1016</v>
      </c>
      <c r="C1021" s="11">
        <v>283.71994857439944</v>
      </c>
      <c r="D1021" s="42"/>
    </row>
    <row r="1022" spans="2:4" ht="16" thickBot="1" x14ac:dyDescent="0.25">
      <c r="B1022" s="4">
        <v>1017</v>
      </c>
      <c r="C1022" s="10">
        <v>33.695233350235043</v>
      </c>
      <c r="D1022" s="42"/>
    </row>
    <row r="1023" spans="2:4" ht="16" thickBot="1" x14ac:dyDescent="0.25">
      <c r="B1023" s="5">
        <v>1018</v>
      </c>
      <c r="C1023" s="11">
        <v>376.73121862885552</v>
      </c>
      <c r="D1023" s="42"/>
    </row>
    <row r="1024" spans="2:4" ht="16" thickBot="1" x14ac:dyDescent="0.25">
      <c r="B1024" s="4">
        <v>1019</v>
      </c>
      <c r="C1024" s="10">
        <v>85.8859910238792</v>
      </c>
      <c r="D1024" s="42"/>
    </row>
    <row r="1025" spans="2:4" ht="16" thickBot="1" x14ac:dyDescent="0.25">
      <c r="B1025" s="5">
        <v>1020</v>
      </c>
      <c r="C1025" s="11">
        <v>586.18431906210787</v>
      </c>
      <c r="D1025" s="42"/>
    </row>
    <row r="1026" spans="2:4" ht="16" thickBot="1" x14ac:dyDescent="0.25">
      <c r="B1026" s="4">
        <v>1021</v>
      </c>
      <c r="C1026" s="10">
        <v>259.60142584268004</v>
      </c>
      <c r="D1026" s="42"/>
    </row>
    <row r="1027" spans="2:4" ht="16" thickBot="1" x14ac:dyDescent="0.25">
      <c r="B1027" s="5">
        <v>1022</v>
      </c>
      <c r="C1027" s="11">
        <v>296.48419602399531</v>
      </c>
      <c r="D1027" s="42"/>
    </row>
    <row r="1028" spans="2:4" ht="16" thickBot="1" x14ac:dyDescent="0.25">
      <c r="B1028" s="4">
        <v>1023</v>
      </c>
      <c r="C1028" s="10">
        <v>665.25181331209774</v>
      </c>
      <c r="D1028" s="42"/>
    </row>
    <row r="1029" spans="2:4" ht="16" thickBot="1" x14ac:dyDescent="0.25">
      <c r="B1029" s="5">
        <v>1024</v>
      </c>
      <c r="C1029" s="11">
        <v>252.70819002831215</v>
      </c>
      <c r="D1029" s="42"/>
    </row>
    <row r="1030" spans="2:4" ht="16" thickBot="1" x14ac:dyDescent="0.25">
      <c r="B1030" s="4">
        <v>1025</v>
      </c>
      <c r="C1030" s="10">
        <v>617.3982035741866</v>
      </c>
      <c r="D1030" s="42"/>
    </row>
    <row r="1031" spans="2:4" ht="16" thickBot="1" x14ac:dyDescent="0.25">
      <c r="B1031" s="5">
        <v>1026</v>
      </c>
      <c r="C1031" s="11">
        <v>329.02903760899585</v>
      </c>
      <c r="D1031" s="42"/>
    </row>
    <row r="1032" spans="2:4" ht="16" thickBot="1" x14ac:dyDescent="0.25">
      <c r="B1032" s="4">
        <v>1027</v>
      </c>
      <c r="C1032" s="10">
        <v>124.38786094090509</v>
      </c>
      <c r="D1032" s="42"/>
    </row>
    <row r="1033" spans="2:4" ht="16" thickBot="1" x14ac:dyDescent="0.25">
      <c r="B1033" s="5">
        <v>1028</v>
      </c>
      <c r="C1033" s="11">
        <v>336.22547783577329</v>
      </c>
      <c r="D1033" s="42"/>
    </row>
    <row r="1034" spans="2:4" ht="16" thickBot="1" x14ac:dyDescent="0.25">
      <c r="B1034" s="4">
        <v>1029</v>
      </c>
      <c r="C1034" s="10">
        <v>62.673523133340929</v>
      </c>
      <c r="D1034" s="42"/>
    </row>
    <row r="1035" spans="2:4" ht="16" thickBot="1" x14ac:dyDescent="0.25">
      <c r="B1035" s="5">
        <v>1030</v>
      </c>
      <c r="C1035" s="11">
        <v>209.33246831648296</v>
      </c>
      <c r="D1035" s="42"/>
    </row>
    <row r="1036" spans="2:4" ht="16" thickBot="1" x14ac:dyDescent="0.25">
      <c r="B1036" s="4">
        <v>1031</v>
      </c>
      <c r="C1036" s="10">
        <v>361.01227799510991</v>
      </c>
      <c r="D1036" s="42"/>
    </row>
    <row r="1037" spans="2:4" ht="16" thickBot="1" x14ac:dyDescent="0.25">
      <c r="B1037" s="5">
        <v>1032</v>
      </c>
      <c r="C1037" s="11">
        <v>389.0809618560512</v>
      </c>
      <c r="D1037" s="42"/>
    </row>
    <row r="1038" spans="2:4" ht="16" thickBot="1" x14ac:dyDescent="0.25">
      <c r="B1038" s="4">
        <v>1033</v>
      </c>
      <c r="C1038" s="10">
        <v>304.11251720863447</v>
      </c>
      <c r="D1038" s="42"/>
    </row>
    <row r="1039" spans="2:4" ht="16" thickBot="1" x14ac:dyDescent="0.25">
      <c r="B1039" s="5">
        <v>1034</v>
      </c>
      <c r="C1039" s="11">
        <v>275.84138603801057</v>
      </c>
      <c r="D1039" s="42"/>
    </row>
    <row r="1040" spans="2:4" ht="16" thickBot="1" x14ac:dyDescent="0.25">
      <c r="B1040" s="4">
        <v>1035</v>
      </c>
      <c r="C1040" s="10">
        <v>485.09389450571564</v>
      </c>
      <c r="D1040" s="42"/>
    </row>
    <row r="1041" spans="2:4" ht="16" thickBot="1" x14ac:dyDescent="0.25">
      <c r="B1041" s="5">
        <v>1036</v>
      </c>
      <c r="C1041" s="11">
        <v>162.69329287029763</v>
      </c>
      <c r="D1041" s="42"/>
    </row>
    <row r="1042" spans="2:4" ht="16" thickBot="1" x14ac:dyDescent="0.25">
      <c r="B1042" s="4">
        <v>1037</v>
      </c>
      <c r="C1042" s="10">
        <v>284.16438449310016</v>
      </c>
      <c r="D1042" s="42"/>
    </row>
    <row r="1043" spans="2:4" ht="16" thickBot="1" x14ac:dyDescent="0.25">
      <c r="B1043" s="5">
        <v>1038</v>
      </c>
      <c r="C1043" s="11">
        <v>198.38220661945846</v>
      </c>
      <c r="D1043" s="42"/>
    </row>
    <row r="1044" spans="2:4" ht="16" thickBot="1" x14ac:dyDescent="0.25">
      <c r="B1044" s="4">
        <v>1039</v>
      </c>
      <c r="C1044" s="10">
        <v>345.25127417826644</v>
      </c>
      <c r="D1044" s="42"/>
    </row>
    <row r="1045" spans="2:4" ht="16" thickBot="1" x14ac:dyDescent="0.25">
      <c r="B1045" s="5">
        <v>1040</v>
      </c>
      <c r="C1045" s="11">
        <v>136.24489201513589</v>
      </c>
      <c r="D1045" s="42"/>
    </row>
    <row r="1046" spans="2:4" ht="16" thickBot="1" x14ac:dyDescent="0.25">
      <c r="B1046" s="4">
        <v>1041</v>
      </c>
      <c r="C1046" s="10">
        <v>189.9946893344264</v>
      </c>
      <c r="D1046" s="42"/>
    </row>
    <row r="1047" spans="2:4" ht="16" thickBot="1" x14ac:dyDescent="0.25">
      <c r="B1047" s="5">
        <v>1042</v>
      </c>
      <c r="C1047" s="11">
        <v>199.74415885638081</v>
      </c>
      <c r="D1047" s="42"/>
    </row>
    <row r="1048" spans="2:4" ht="16" thickBot="1" x14ac:dyDescent="0.25">
      <c r="B1048" s="4">
        <v>1043</v>
      </c>
      <c r="C1048" s="10">
        <v>85.424678624148086</v>
      </c>
      <c r="D1048" s="42"/>
    </row>
    <row r="1049" spans="2:4" ht="16" thickBot="1" x14ac:dyDescent="0.25">
      <c r="B1049" s="5">
        <v>1044</v>
      </c>
      <c r="C1049" s="11">
        <v>150.96660409364554</v>
      </c>
      <c r="D1049" s="42"/>
    </row>
    <row r="1050" spans="2:4" ht="16" thickBot="1" x14ac:dyDescent="0.25">
      <c r="B1050" s="4">
        <v>1045</v>
      </c>
      <c r="C1050" s="10">
        <v>311.58187282559726</v>
      </c>
      <c r="D1050" s="42"/>
    </row>
    <row r="1051" spans="2:4" ht="16" thickBot="1" x14ac:dyDescent="0.25">
      <c r="B1051" s="5">
        <v>1046</v>
      </c>
      <c r="C1051" s="11">
        <v>108.31929339160224</v>
      </c>
      <c r="D1051" s="42"/>
    </row>
    <row r="1052" spans="2:4" ht="16" thickBot="1" x14ac:dyDescent="0.25">
      <c r="B1052" s="4">
        <v>1047</v>
      </c>
      <c r="C1052" s="10">
        <v>198.87786585817389</v>
      </c>
      <c r="D1052" s="42"/>
    </row>
    <row r="1053" spans="2:4" ht="16" thickBot="1" x14ac:dyDescent="0.25">
      <c r="B1053" s="5">
        <v>1048</v>
      </c>
      <c r="C1053" s="11">
        <v>315.03403246064852</v>
      </c>
      <c r="D1053" s="42"/>
    </row>
    <row r="1054" spans="2:4" ht="16" thickBot="1" x14ac:dyDescent="0.25">
      <c r="B1054" s="4">
        <v>1049</v>
      </c>
      <c r="C1054" s="10">
        <v>172.010117096394</v>
      </c>
      <c r="D1054" s="42"/>
    </row>
    <row r="1055" spans="2:4" ht="16" thickBot="1" x14ac:dyDescent="0.25">
      <c r="B1055" s="5">
        <v>1050</v>
      </c>
      <c r="C1055" s="11">
        <v>532.79816399382025</v>
      </c>
      <c r="D1055" s="42"/>
    </row>
    <row r="1056" spans="2:4" ht="16" thickBot="1" x14ac:dyDescent="0.25">
      <c r="B1056" s="4">
        <v>1051</v>
      </c>
      <c r="C1056" s="10">
        <v>425.24534859890343</v>
      </c>
      <c r="D1056" s="42"/>
    </row>
    <row r="1057" spans="2:4" ht="16" thickBot="1" x14ac:dyDescent="0.25">
      <c r="B1057" s="5">
        <v>1052</v>
      </c>
      <c r="C1057" s="11">
        <v>398.27642758350731</v>
      </c>
      <c r="D1057" s="42"/>
    </row>
    <row r="1058" spans="2:4" ht="16" thickBot="1" x14ac:dyDescent="0.25">
      <c r="B1058" s="4">
        <v>1053</v>
      </c>
      <c r="C1058" s="10">
        <v>195.00802309225455</v>
      </c>
      <c r="D1058" s="42"/>
    </row>
    <row r="1059" spans="2:4" ht="16" thickBot="1" x14ac:dyDescent="0.25">
      <c r="B1059" s="5">
        <v>1054</v>
      </c>
      <c r="C1059" s="11">
        <v>388.42295896193525</v>
      </c>
      <c r="D1059" s="42"/>
    </row>
    <row r="1060" spans="2:4" ht="16" thickBot="1" x14ac:dyDescent="0.25">
      <c r="B1060" s="4">
        <v>1055</v>
      </c>
      <c r="C1060" s="10">
        <v>186.54472199645772</v>
      </c>
      <c r="D1060" s="42"/>
    </row>
    <row r="1061" spans="2:4" ht="16" thickBot="1" x14ac:dyDescent="0.25">
      <c r="B1061" s="5">
        <v>1056</v>
      </c>
      <c r="C1061" s="11">
        <v>377.7843698103116</v>
      </c>
      <c r="D1061" s="42"/>
    </row>
    <row r="1062" spans="2:4" ht="16" thickBot="1" x14ac:dyDescent="0.25">
      <c r="B1062" s="4">
        <v>1057</v>
      </c>
      <c r="C1062" s="10">
        <v>161.62631410881761</v>
      </c>
      <c r="D1062" s="42"/>
    </row>
    <row r="1063" spans="2:4" ht="16" thickBot="1" x14ac:dyDescent="0.25">
      <c r="B1063" s="5">
        <v>1058</v>
      </c>
      <c r="C1063" s="11">
        <v>116.46978514965809</v>
      </c>
      <c r="D1063" s="42"/>
    </row>
    <row r="1064" spans="2:4" ht="16" thickBot="1" x14ac:dyDescent="0.25">
      <c r="B1064" s="4">
        <v>1059</v>
      </c>
      <c r="C1064" s="10">
        <v>160.93015111141293</v>
      </c>
      <c r="D1064" s="42"/>
    </row>
    <row r="1065" spans="2:4" ht="16" thickBot="1" x14ac:dyDescent="0.25">
      <c r="B1065" s="5">
        <v>1060</v>
      </c>
      <c r="C1065" s="11">
        <v>513.10429238896711</v>
      </c>
      <c r="D1065" s="42"/>
    </row>
    <row r="1066" spans="2:4" ht="16" thickBot="1" x14ac:dyDescent="0.25">
      <c r="B1066" s="4">
        <v>1061</v>
      </c>
      <c r="C1066" s="10">
        <v>330.91525220276594</v>
      </c>
      <c r="D1066" s="42"/>
    </row>
    <row r="1067" spans="2:4" ht="16" thickBot="1" x14ac:dyDescent="0.25">
      <c r="B1067" s="5">
        <v>1062</v>
      </c>
      <c r="C1067" s="11">
        <v>737.43447686268667</v>
      </c>
      <c r="D1067" s="42"/>
    </row>
    <row r="1068" spans="2:4" ht="16" thickBot="1" x14ac:dyDescent="0.25">
      <c r="B1068" s="4">
        <v>1063</v>
      </c>
      <c r="C1068" s="10">
        <v>261.7026311600743</v>
      </c>
      <c r="D1068" s="42"/>
    </row>
    <row r="1069" spans="2:4" ht="16" thickBot="1" x14ac:dyDescent="0.25">
      <c r="B1069" s="5">
        <v>1064</v>
      </c>
      <c r="C1069" s="11">
        <v>856.38705777557254</v>
      </c>
      <c r="D1069" s="42"/>
    </row>
    <row r="1070" spans="2:4" ht="16" thickBot="1" x14ac:dyDescent="0.25">
      <c r="B1070" s="4">
        <v>1065</v>
      </c>
      <c r="C1070" s="10">
        <v>176.39260480748567</v>
      </c>
      <c r="D1070" s="42"/>
    </row>
    <row r="1071" spans="2:4" ht="16" thickBot="1" x14ac:dyDescent="0.25">
      <c r="B1071" s="5">
        <v>1066</v>
      </c>
      <c r="C1071" s="11">
        <v>185.53580547952788</v>
      </c>
      <c r="D1071" s="42"/>
    </row>
    <row r="1072" spans="2:4" ht="16" thickBot="1" x14ac:dyDescent="0.25">
      <c r="B1072" s="4">
        <v>1067</v>
      </c>
      <c r="C1072" s="10">
        <v>255.92551903170846</v>
      </c>
      <c r="D1072" s="42"/>
    </row>
    <row r="1073" spans="2:4" ht="16" thickBot="1" x14ac:dyDescent="0.25">
      <c r="B1073" s="5">
        <v>1068</v>
      </c>
      <c r="C1073" s="11">
        <v>878.02545723661001</v>
      </c>
      <c r="D1073" s="42"/>
    </row>
    <row r="1074" spans="2:4" ht="16" thickBot="1" x14ac:dyDescent="0.25">
      <c r="B1074" s="4">
        <v>1069</v>
      </c>
      <c r="C1074" s="10">
        <v>335.08164803427155</v>
      </c>
      <c r="D1074" s="42"/>
    </row>
    <row r="1075" spans="2:4" ht="16" thickBot="1" x14ac:dyDescent="0.25">
      <c r="B1075" s="5">
        <v>1070</v>
      </c>
      <c r="C1075" s="11">
        <v>282.6069985047551</v>
      </c>
      <c r="D1075" s="42"/>
    </row>
    <row r="1076" spans="2:4" ht="16" thickBot="1" x14ac:dyDescent="0.25">
      <c r="B1076" s="4">
        <v>1071</v>
      </c>
      <c r="C1076" s="10">
        <v>538.38200337532714</v>
      </c>
      <c r="D1076" s="42"/>
    </row>
    <row r="1077" spans="2:4" ht="16" thickBot="1" x14ac:dyDescent="0.25">
      <c r="B1077" s="5">
        <v>1072</v>
      </c>
      <c r="C1077" s="11">
        <v>98.986361749788415</v>
      </c>
      <c r="D1077" s="42"/>
    </row>
    <row r="1078" spans="2:4" ht="16" thickBot="1" x14ac:dyDescent="0.25">
      <c r="B1078" s="4">
        <v>1073</v>
      </c>
      <c r="C1078" s="10">
        <v>261.89228636062444</v>
      </c>
      <c r="D1078" s="42"/>
    </row>
    <row r="1079" spans="2:4" ht="16" thickBot="1" x14ac:dyDescent="0.25">
      <c r="B1079" s="5">
        <v>1074</v>
      </c>
      <c r="C1079" s="11">
        <v>143.05990486000016</v>
      </c>
      <c r="D1079" s="42"/>
    </row>
    <row r="1080" spans="2:4" ht="16" thickBot="1" x14ac:dyDescent="0.25">
      <c r="B1080" s="4">
        <v>1075</v>
      </c>
      <c r="C1080" s="10">
        <v>707.25984479129602</v>
      </c>
      <c r="D1080" s="42"/>
    </row>
    <row r="1081" spans="2:4" ht="16" thickBot="1" x14ac:dyDescent="0.25">
      <c r="B1081" s="5">
        <v>1076</v>
      </c>
      <c r="C1081" s="11">
        <v>414.33395783528266</v>
      </c>
      <c r="D1081" s="42"/>
    </row>
    <row r="1082" spans="2:4" ht="16" thickBot="1" x14ac:dyDescent="0.25">
      <c r="B1082" s="4">
        <v>1077</v>
      </c>
      <c r="C1082" s="10">
        <v>268.39935864675977</v>
      </c>
      <c r="D1082" s="42"/>
    </row>
    <row r="1083" spans="2:4" ht="16" thickBot="1" x14ac:dyDescent="0.25">
      <c r="B1083" s="5">
        <v>1078</v>
      </c>
      <c r="C1083" s="11">
        <v>136.43269126805407</v>
      </c>
      <c r="D1083" s="42"/>
    </row>
    <row r="1084" spans="2:4" ht="16" thickBot="1" x14ac:dyDescent="0.25">
      <c r="B1084" s="4">
        <v>1079</v>
      </c>
      <c r="C1084" s="10">
        <v>150.2488771342943</v>
      </c>
      <c r="D1084" s="42"/>
    </row>
    <row r="1085" spans="2:4" ht="16" thickBot="1" x14ac:dyDescent="0.25">
      <c r="B1085" s="5">
        <v>1080</v>
      </c>
      <c r="C1085" s="11">
        <v>92.843900709196106</v>
      </c>
      <c r="D1085" s="42"/>
    </row>
    <row r="1086" spans="2:4" ht="16" thickBot="1" x14ac:dyDescent="0.25">
      <c r="B1086" s="4">
        <v>1081</v>
      </c>
      <c r="C1086" s="10">
        <v>396.00776944616013</v>
      </c>
      <c r="D1086" s="42"/>
    </row>
    <row r="1087" spans="2:4" ht="16" thickBot="1" x14ac:dyDescent="0.25">
      <c r="B1087" s="5">
        <v>1082</v>
      </c>
      <c r="C1087" s="11">
        <v>191.94596036622249</v>
      </c>
      <c r="D1087" s="42"/>
    </row>
    <row r="1088" spans="2:4" ht="16" thickBot="1" x14ac:dyDescent="0.25">
      <c r="B1088" s="4">
        <v>1083</v>
      </c>
      <c r="C1088" s="10">
        <v>156.99005333088533</v>
      </c>
      <c r="D1088" s="42"/>
    </row>
    <row r="1089" spans="2:4" ht="16" thickBot="1" x14ac:dyDescent="0.25">
      <c r="B1089" s="5">
        <v>1084</v>
      </c>
      <c r="C1089" s="11">
        <v>376.56137356699958</v>
      </c>
      <c r="D1089" s="42"/>
    </row>
    <row r="1090" spans="2:4" ht="16" thickBot="1" x14ac:dyDescent="0.25">
      <c r="B1090" s="4">
        <v>1085</v>
      </c>
      <c r="C1090" s="10">
        <v>484.05154971652684</v>
      </c>
      <c r="D1090" s="42"/>
    </row>
    <row r="1091" spans="2:4" ht="16" thickBot="1" x14ac:dyDescent="0.25">
      <c r="B1091" s="5">
        <v>1086</v>
      </c>
      <c r="C1091" s="11">
        <v>298.97352459832655</v>
      </c>
      <c r="D1091" s="42"/>
    </row>
    <row r="1092" spans="2:4" ht="16" thickBot="1" x14ac:dyDescent="0.25">
      <c r="B1092" s="4">
        <v>1087</v>
      </c>
      <c r="C1092" s="10">
        <v>199.52513228276152</v>
      </c>
      <c r="D1092" s="42"/>
    </row>
    <row r="1093" spans="2:4" ht="16" thickBot="1" x14ac:dyDescent="0.25">
      <c r="B1093" s="5">
        <v>1088</v>
      </c>
      <c r="C1093" s="11">
        <v>592.48955406362643</v>
      </c>
      <c r="D1093" s="42"/>
    </row>
    <row r="1094" spans="2:4" ht="16" thickBot="1" x14ac:dyDescent="0.25">
      <c r="B1094" s="4">
        <v>1089</v>
      </c>
      <c r="C1094" s="10">
        <v>621.89686576522161</v>
      </c>
      <c r="D1094" s="42"/>
    </row>
    <row r="1095" spans="2:4" ht="16" thickBot="1" x14ac:dyDescent="0.25">
      <c r="B1095" s="5">
        <v>1090</v>
      </c>
      <c r="C1095" s="11">
        <v>248.5739510680605</v>
      </c>
      <c r="D1095" s="42"/>
    </row>
    <row r="1096" spans="2:4" ht="16" thickBot="1" x14ac:dyDescent="0.25">
      <c r="B1096" s="4">
        <v>1091</v>
      </c>
      <c r="C1096" s="10">
        <v>503.77534198761873</v>
      </c>
      <c r="D1096" s="42"/>
    </row>
    <row r="1097" spans="2:4" ht="16" thickBot="1" x14ac:dyDescent="0.25">
      <c r="B1097" s="5">
        <v>1092</v>
      </c>
      <c r="C1097" s="11">
        <v>179.87954549898623</v>
      </c>
      <c r="D1097" s="42"/>
    </row>
    <row r="1098" spans="2:4" ht="16" thickBot="1" x14ac:dyDescent="0.25">
      <c r="B1098" s="4">
        <v>1093</v>
      </c>
      <c r="C1098" s="10">
        <v>216.07428434749306</v>
      </c>
      <c r="D1098" s="42"/>
    </row>
    <row r="1099" spans="2:4" ht="16" thickBot="1" x14ac:dyDescent="0.25">
      <c r="B1099" s="5">
        <v>1094</v>
      </c>
      <c r="C1099" s="11">
        <v>78.189630411310588</v>
      </c>
      <c r="D1099" s="42"/>
    </row>
    <row r="1100" spans="2:4" ht="16" thickBot="1" x14ac:dyDescent="0.25">
      <c r="B1100" s="4">
        <v>1095</v>
      </c>
      <c r="C1100" s="10">
        <v>369.74701428152184</v>
      </c>
      <c r="D1100" s="42"/>
    </row>
    <row r="1101" spans="2:4" ht="16" thickBot="1" x14ac:dyDescent="0.25">
      <c r="B1101" s="5">
        <v>1096</v>
      </c>
      <c r="C1101" s="11">
        <v>126.523696608422</v>
      </c>
      <c r="D1101" s="42"/>
    </row>
    <row r="1102" spans="2:4" ht="16" thickBot="1" x14ac:dyDescent="0.25">
      <c r="B1102" s="4">
        <v>1097</v>
      </c>
      <c r="C1102" s="10">
        <v>221.84277442103161</v>
      </c>
      <c r="D1102" s="42"/>
    </row>
    <row r="1103" spans="2:4" ht="16" thickBot="1" x14ac:dyDescent="0.25">
      <c r="B1103" s="5">
        <v>1098</v>
      </c>
      <c r="C1103" s="11">
        <v>452.96844572162632</v>
      </c>
      <c r="D1103" s="42"/>
    </row>
    <row r="1104" spans="2:4" ht="16" thickBot="1" x14ac:dyDescent="0.25">
      <c r="B1104" s="4">
        <v>1099</v>
      </c>
      <c r="C1104" s="10">
        <v>207.52039501110397</v>
      </c>
      <c r="D1104" s="42"/>
    </row>
    <row r="1105" spans="2:4" ht="16" thickBot="1" x14ac:dyDescent="0.25">
      <c r="B1105" s="5">
        <v>1100</v>
      </c>
      <c r="C1105" s="11">
        <v>350.35262640949298</v>
      </c>
      <c r="D1105" s="42"/>
    </row>
    <row r="1106" spans="2:4" ht="16" thickBot="1" x14ac:dyDescent="0.25">
      <c r="B1106" s="4">
        <v>1101</v>
      </c>
      <c r="C1106" s="10">
        <v>318.68760794368791</v>
      </c>
      <c r="D1106" s="42"/>
    </row>
    <row r="1107" spans="2:4" ht="16" thickBot="1" x14ac:dyDescent="0.25">
      <c r="B1107" s="5">
        <v>1102</v>
      </c>
      <c r="C1107" s="11">
        <v>559.70104192272777</v>
      </c>
      <c r="D1107" s="42"/>
    </row>
    <row r="1108" spans="2:4" ht="16" thickBot="1" x14ac:dyDescent="0.25">
      <c r="B1108" s="4">
        <v>1103</v>
      </c>
      <c r="C1108" s="10">
        <v>206.69462983152283</v>
      </c>
      <c r="D1108" s="42"/>
    </row>
    <row r="1109" spans="2:4" ht="16" thickBot="1" x14ac:dyDescent="0.25">
      <c r="B1109" s="5">
        <v>1104</v>
      </c>
      <c r="C1109" s="11">
        <v>218.37128419736086</v>
      </c>
      <c r="D1109" s="42"/>
    </row>
    <row r="1110" spans="2:4" ht="16" thickBot="1" x14ac:dyDescent="0.25">
      <c r="B1110" s="4">
        <v>1105</v>
      </c>
      <c r="C1110" s="10">
        <v>290.62751066433867</v>
      </c>
      <c r="D1110" s="42"/>
    </row>
    <row r="1111" spans="2:4" ht="16" thickBot="1" x14ac:dyDescent="0.25">
      <c r="B1111" s="5">
        <v>1106</v>
      </c>
      <c r="C1111" s="11">
        <v>37.574336364538283</v>
      </c>
      <c r="D1111" s="42"/>
    </row>
    <row r="1112" spans="2:4" ht="16" thickBot="1" x14ac:dyDescent="0.25">
      <c r="B1112" s="4">
        <v>1107</v>
      </c>
      <c r="C1112" s="10">
        <v>357.34709959367757</v>
      </c>
      <c r="D1112" s="42"/>
    </row>
    <row r="1113" spans="2:4" ht="16" thickBot="1" x14ac:dyDescent="0.25">
      <c r="B1113" s="5">
        <v>1108</v>
      </c>
      <c r="C1113" s="11">
        <v>452.99289658181664</v>
      </c>
      <c r="D1113" s="42"/>
    </row>
    <row r="1114" spans="2:4" ht="16" thickBot="1" x14ac:dyDescent="0.25">
      <c r="B1114" s="4">
        <v>1109</v>
      </c>
      <c r="C1114" s="10">
        <v>208.79295426924514</v>
      </c>
      <c r="D1114" s="42"/>
    </row>
    <row r="1115" spans="2:4" ht="16" thickBot="1" x14ac:dyDescent="0.25">
      <c r="B1115" s="5">
        <v>1110</v>
      </c>
      <c r="C1115" s="11">
        <v>130.16807716656956</v>
      </c>
      <c r="D1115" s="42"/>
    </row>
    <row r="1116" spans="2:4" ht="16" thickBot="1" x14ac:dyDescent="0.25">
      <c r="B1116" s="4">
        <v>1111</v>
      </c>
      <c r="C1116" s="10">
        <v>499.66175961338433</v>
      </c>
      <c r="D1116" s="42"/>
    </row>
    <row r="1117" spans="2:4" ht="16" thickBot="1" x14ac:dyDescent="0.25">
      <c r="B1117" s="5">
        <v>1112</v>
      </c>
      <c r="C1117" s="11">
        <v>203.24158012832052</v>
      </c>
      <c r="D1117" s="42"/>
    </row>
    <row r="1118" spans="2:4" ht="16" thickBot="1" x14ac:dyDescent="0.25">
      <c r="B1118" s="4">
        <v>1113</v>
      </c>
      <c r="C1118" s="10">
        <v>133.13411320804764</v>
      </c>
      <c r="D1118" s="42"/>
    </row>
    <row r="1119" spans="2:4" ht="16" thickBot="1" x14ac:dyDescent="0.25">
      <c r="B1119" s="5">
        <v>1114</v>
      </c>
      <c r="C1119" s="11">
        <v>388.92606747267416</v>
      </c>
      <c r="D1119" s="42"/>
    </row>
    <row r="1120" spans="2:4" ht="16" thickBot="1" x14ac:dyDescent="0.25">
      <c r="B1120" s="4">
        <v>1115</v>
      </c>
      <c r="C1120" s="10">
        <v>569.3825944981528</v>
      </c>
      <c r="D1120" s="42"/>
    </row>
    <row r="1121" spans="2:4" ht="16" thickBot="1" x14ac:dyDescent="0.25">
      <c r="B1121" s="5">
        <v>1116</v>
      </c>
      <c r="C1121" s="11">
        <v>295.75926993892949</v>
      </c>
      <c r="D1121" s="42"/>
    </row>
    <row r="1122" spans="2:4" ht="16" thickBot="1" x14ac:dyDescent="0.25">
      <c r="B1122" s="4">
        <v>1117</v>
      </c>
      <c r="C1122" s="10">
        <v>285.1394918872125</v>
      </c>
      <c r="D1122" s="42"/>
    </row>
    <row r="1123" spans="2:4" ht="16" thickBot="1" x14ac:dyDescent="0.25">
      <c r="B1123" s="5">
        <v>1118</v>
      </c>
      <c r="C1123" s="11">
        <v>318.19664187092576</v>
      </c>
      <c r="D1123" s="42"/>
    </row>
    <row r="1124" spans="2:4" ht="16" thickBot="1" x14ac:dyDescent="0.25">
      <c r="B1124" s="4">
        <v>1119</v>
      </c>
      <c r="C1124" s="10">
        <v>164.41232179598683</v>
      </c>
      <c r="D1124" s="42"/>
    </row>
    <row r="1125" spans="2:4" ht="16" thickBot="1" x14ac:dyDescent="0.25">
      <c r="B1125" s="5">
        <v>1120</v>
      </c>
      <c r="C1125" s="11">
        <v>306.61682750532412</v>
      </c>
      <c r="D1125" s="42"/>
    </row>
    <row r="1126" spans="2:4" ht="16" thickBot="1" x14ac:dyDescent="0.25">
      <c r="B1126" s="4">
        <v>1121</v>
      </c>
      <c r="C1126" s="10">
        <v>562.7449847813607</v>
      </c>
      <c r="D1126" s="42"/>
    </row>
    <row r="1127" spans="2:4" ht="16" thickBot="1" x14ac:dyDescent="0.25">
      <c r="B1127" s="5">
        <v>1122</v>
      </c>
      <c r="C1127" s="11">
        <v>109.01947477048186</v>
      </c>
      <c r="D1127" s="42"/>
    </row>
    <row r="1128" spans="2:4" ht="16" thickBot="1" x14ac:dyDescent="0.25">
      <c r="B1128" s="4">
        <v>1123</v>
      </c>
      <c r="C1128" s="10">
        <v>85.354618946271444</v>
      </c>
      <c r="D1128" s="42"/>
    </row>
    <row r="1129" spans="2:4" ht="16" thickBot="1" x14ac:dyDescent="0.25">
      <c r="B1129" s="5">
        <v>1124</v>
      </c>
      <c r="C1129" s="11">
        <v>325.04524007066146</v>
      </c>
      <c r="D1129" s="42"/>
    </row>
    <row r="1130" spans="2:4" ht="16" thickBot="1" x14ac:dyDescent="0.25">
      <c r="B1130" s="4">
        <v>1125</v>
      </c>
      <c r="C1130" s="10">
        <v>493.8802504475575</v>
      </c>
      <c r="D1130" s="42"/>
    </row>
    <row r="1131" spans="2:4" ht="16" thickBot="1" x14ac:dyDescent="0.25">
      <c r="B1131" s="5">
        <v>1126</v>
      </c>
      <c r="C1131" s="11">
        <v>43.336012002998949</v>
      </c>
      <c r="D1131" s="42"/>
    </row>
    <row r="1132" spans="2:4" ht="16" thickBot="1" x14ac:dyDescent="0.25">
      <c r="B1132" s="4">
        <v>1127</v>
      </c>
      <c r="C1132" s="10">
        <v>125.87653628779042</v>
      </c>
      <c r="D1132" s="42"/>
    </row>
    <row r="1133" spans="2:4" ht="16" thickBot="1" x14ac:dyDescent="0.25">
      <c r="B1133" s="5">
        <v>1128</v>
      </c>
      <c r="C1133" s="11">
        <v>298.75076975534114</v>
      </c>
      <c r="D1133" s="42"/>
    </row>
    <row r="1134" spans="2:4" ht="16" thickBot="1" x14ac:dyDescent="0.25">
      <c r="B1134" s="4">
        <v>1129</v>
      </c>
      <c r="C1134" s="10">
        <v>399.84234556748623</v>
      </c>
      <c r="D1134" s="42"/>
    </row>
    <row r="1135" spans="2:4" ht="16" thickBot="1" x14ac:dyDescent="0.25">
      <c r="B1135" s="5">
        <v>1130</v>
      </c>
      <c r="C1135" s="11">
        <v>214.13402104051715</v>
      </c>
      <c r="D1135" s="42"/>
    </row>
    <row r="1136" spans="2:4" ht="16" thickBot="1" x14ac:dyDescent="0.25">
      <c r="B1136" s="4">
        <v>1131</v>
      </c>
      <c r="C1136" s="10">
        <v>176.02617043492944</v>
      </c>
      <c r="D1136" s="42"/>
    </row>
    <row r="1137" spans="2:4" ht="16" thickBot="1" x14ac:dyDescent="0.25">
      <c r="B1137" s="5">
        <v>1132</v>
      </c>
      <c r="C1137" s="11">
        <v>348.061863604812</v>
      </c>
      <c r="D1137" s="42"/>
    </row>
    <row r="1138" spans="2:4" ht="16" thickBot="1" x14ac:dyDescent="0.25">
      <c r="B1138" s="4">
        <v>1133</v>
      </c>
      <c r="C1138" s="10">
        <v>66.063297016490026</v>
      </c>
      <c r="D1138" s="42"/>
    </row>
    <row r="1139" spans="2:4" ht="16" thickBot="1" x14ac:dyDescent="0.25">
      <c r="B1139" s="5">
        <v>1134</v>
      </c>
      <c r="C1139" s="11">
        <v>216.22568476470249</v>
      </c>
      <c r="D1139" s="42"/>
    </row>
    <row r="1140" spans="2:4" ht="16" thickBot="1" x14ac:dyDescent="0.25">
      <c r="B1140" s="4">
        <v>1135</v>
      </c>
      <c r="C1140" s="10">
        <v>393.43666830307228</v>
      </c>
      <c r="D1140" s="42"/>
    </row>
    <row r="1141" spans="2:4" ht="16" thickBot="1" x14ac:dyDescent="0.25">
      <c r="B1141" s="5">
        <v>1136</v>
      </c>
      <c r="C1141" s="11">
        <v>365.7389105653873</v>
      </c>
      <c r="D1141" s="42"/>
    </row>
    <row r="1142" spans="2:4" ht="16" thickBot="1" x14ac:dyDescent="0.25">
      <c r="B1142" s="4">
        <v>1137</v>
      </c>
      <c r="C1142" s="10">
        <v>207.57401391034838</v>
      </c>
      <c r="D1142" s="42"/>
    </row>
    <row r="1143" spans="2:4" ht="16" thickBot="1" x14ac:dyDescent="0.25">
      <c r="B1143" s="5">
        <v>1138</v>
      </c>
      <c r="C1143" s="11">
        <v>83.104899378827525</v>
      </c>
      <c r="D1143" s="42"/>
    </row>
    <row r="1144" spans="2:4" ht="16" thickBot="1" x14ac:dyDescent="0.25">
      <c r="B1144" s="4">
        <v>1139</v>
      </c>
      <c r="C1144" s="10">
        <v>29.966736941842125</v>
      </c>
      <c r="D1144" s="42"/>
    </row>
    <row r="1145" spans="2:4" ht="16" thickBot="1" x14ac:dyDescent="0.25">
      <c r="B1145" s="5">
        <v>1140</v>
      </c>
      <c r="C1145" s="11">
        <v>318.70506245855512</v>
      </c>
      <c r="D1145" s="42"/>
    </row>
    <row r="1146" spans="2:4" ht="16" thickBot="1" x14ac:dyDescent="0.25">
      <c r="B1146" s="4">
        <v>1141</v>
      </c>
      <c r="C1146" s="10">
        <v>192.20469898628465</v>
      </c>
      <c r="D1146" s="42"/>
    </row>
    <row r="1147" spans="2:4" ht="16" thickBot="1" x14ac:dyDescent="0.25">
      <c r="B1147" s="5">
        <v>1142</v>
      </c>
      <c r="C1147" s="11">
        <v>203.72340701002858</v>
      </c>
      <c r="D1147" s="42"/>
    </row>
    <row r="1148" spans="2:4" ht="16" thickBot="1" x14ac:dyDescent="0.25">
      <c r="B1148" s="4">
        <v>1143</v>
      </c>
      <c r="C1148" s="10">
        <v>235.54868964387686</v>
      </c>
      <c r="D1148" s="42"/>
    </row>
    <row r="1149" spans="2:4" ht="16" thickBot="1" x14ac:dyDescent="0.25">
      <c r="B1149" s="5">
        <v>1144</v>
      </c>
      <c r="C1149" s="11">
        <v>546.18758602416278</v>
      </c>
      <c r="D1149" s="42"/>
    </row>
    <row r="1150" spans="2:4" ht="16" thickBot="1" x14ac:dyDescent="0.25">
      <c r="B1150" s="4">
        <v>1145</v>
      </c>
      <c r="C1150" s="10">
        <v>151.69107593030137</v>
      </c>
      <c r="D1150" s="42"/>
    </row>
    <row r="1151" spans="2:4" ht="16" thickBot="1" x14ac:dyDescent="0.25">
      <c r="B1151" s="5">
        <v>1146</v>
      </c>
      <c r="C1151" s="11">
        <v>118.85786657143815</v>
      </c>
      <c r="D1151" s="42"/>
    </row>
    <row r="1152" spans="2:4" ht="16" thickBot="1" x14ac:dyDescent="0.25">
      <c r="B1152" s="4">
        <v>1147</v>
      </c>
      <c r="C1152" s="10">
        <v>48.684603026412681</v>
      </c>
      <c r="D1152" s="42"/>
    </row>
    <row r="1153" spans="2:4" ht="16" thickBot="1" x14ac:dyDescent="0.25">
      <c r="B1153" s="5">
        <v>1148</v>
      </c>
      <c r="C1153" s="11">
        <v>21.834384853958554</v>
      </c>
      <c r="D1153" s="42"/>
    </row>
    <row r="1154" spans="2:4" ht="16" thickBot="1" x14ac:dyDescent="0.25">
      <c r="B1154" s="4">
        <v>1149</v>
      </c>
      <c r="C1154" s="10">
        <v>156.93363055214937</v>
      </c>
      <c r="D1154" s="42"/>
    </row>
    <row r="1155" spans="2:4" ht="16" thickBot="1" x14ac:dyDescent="0.25">
      <c r="B1155" s="5">
        <v>1150</v>
      </c>
      <c r="C1155" s="11">
        <v>173.3145552214948</v>
      </c>
      <c r="D1155" s="42"/>
    </row>
    <row r="1156" spans="2:4" ht="16" thickBot="1" x14ac:dyDescent="0.25">
      <c r="B1156" s="4">
        <v>1151</v>
      </c>
      <c r="C1156" s="10">
        <v>83.675177048392939</v>
      </c>
      <c r="D1156" s="42"/>
    </row>
    <row r="1157" spans="2:4" ht="16" thickBot="1" x14ac:dyDescent="0.25">
      <c r="B1157" s="5">
        <v>1152</v>
      </c>
      <c r="C1157" s="11">
        <v>486.66133161071735</v>
      </c>
      <c r="D1157" s="42"/>
    </row>
    <row r="1158" spans="2:4" ht="16" thickBot="1" x14ac:dyDescent="0.25">
      <c r="B1158" s="4">
        <v>1153</v>
      </c>
      <c r="C1158" s="10">
        <v>261.36378709937713</v>
      </c>
      <c r="D1158" s="42"/>
    </row>
    <row r="1159" spans="2:4" ht="16" thickBot="1" x14ac:dyDescent="0.25">
      <c r="B1159" s="5">
        <v>1154</v>
      </c>
      <c r="C1159" s="11">
        <v>424.1562058559287</v>
      </c>
      <c r="D1159" s="42"/>
    </row>
    <row r="1160" spans="2:4" ht="16" thickBot="1" x14ac:dyDescent="0.25">
      <c r="B1160" s="4">
        <v>1155</v>
      </c>
      <c r="C1160" s="10">
        <v>490.39528244547643</v>
      </c>
      <c r="D1160" s="42"/>
    </row>
    <row r="1161" spans="2:4" ht="16" thickBot="1" x14ac:dyDescent="0.25">
      <c r="B1161" s="5">
        <v>1156</v>
      </c>
      <c r="C1161" s="11">
        <v>131.23971680899027</v>
      </c>
      <c r="D1161" s="42"/>
    </row>
    <row r="1162" spans="2:4" ht="16" thickBot="1" x14ac:dyDescent="0.25">
      <c r="B1162" s="4">
        <v>1157</v>
      </c>
      <c r="C1162" s="10">
        <v>377.81586991987996</v>
      </c>
      <c r="D1162" s="42"/>
    </row>
    <row r="1163" spans="2:4" ht="16" thickBot="1" x14ac:dyDescent="0.25">
      <c r="B1163" s="5">
        <v>1158</v>
      </c>
      <c r="C1163" s="11">
        <v>359.38794852185998</v>
      </c>
      <c r="D1163" s="42"/>
    </row>
    <row r="1164" spans="2:4" ht="16" thickBot="1" x14ac:dyDescent="0.25">
      <c r="B1164" s="4">
        <v>1159</v>
      </c>
      <c r="C1164" s="10">
        <v>33.205191798838833</v>
      </c>
      <c r="D1164" s="42"/>
    </row>
    <row r="1165" spans="2:4" ht="16" thickBot="1" x14ac:dyDescent="0.25">
      <c r="B1165" s="5">
        <v>1160</v>
      </c>
      <c r="C1165" s="11">
        <v>228.67801421995969</v>
      </c>
      <c r="D1165" s="42"/>
    </row>
    <row r="1166" spans="2:4" ht="16" thickBot="1" x14ac:dyDescent="0.25">
      <c r="B1166" s="4">
        <v>1161</v>
      </c>
      <c r="C1166" s="10">
        <v>567.296497710621</v>
      </c>
      <c r="D1166" s="42"/>
    </row>
    <row r="1167" spans="2:4" ht="16" thickBot="1" x14ac:dyDescent="0.25">
      <c r="B1167" s="5">
        <v>1162</v>
      </c>
      <c r="C1167" s="11">
        <v>274.68470706797154</v>
      </c>
      <c r="D1167" s="42"/>
    </row>
    <row r="1168" spans="2:4" ht="16" thickBot="1" x14ac:dyDescent="0.25">
      <c r="B1168" s="4">
        <v>1163</v>
      </c>
      <c r="C1168" s="10">
        <v>129.83999374699127</v>
      </c>
      <c r="D1168" s="42"/>
    </row>
    <row r="1169" spans="2:4" ht="16" thickBot="1" x14ac:dyDescent="0.25">
      <c r="B1169" s="5">
        <v>1164</v>
      </c>
      <c r="C1169" s="11">
        <v>135.4655367558569</v>
      </c>
      <c r="D1169" s="42"/>
    </row>
    <row r="1170" spans="2:4" ht="16" thickBot="1" x14ac:dyDescent="0.25">
      <c r="B1170" s="4">
        <v>1165</v>
      </c>
      <c r="C1170" s="10">
        <v>234.49131210430926</v>
      </c>
      <c r="D1170" s="42"/>
    </row>
    <row r="1171" spans="2:4" ht="16" thickBot="1" x14ac:dyDescent="0.25">
      <c r="B1171" s="5">
        <v>1166</v>
      </c>
      <c r="C1171" s="11">
        <v>242.15010800412932</v>
      </c>
      <c r="D1171" s="42"/>
    </row>
    <row r="1172" spans="2:4" ht="16" thickBot="1" x14ac:dyDescent="0.25">
      <c r="B1172" s="4">
        <v>1167</v>
      </c>
      <c r="C1172" s="10">
        <v>333.02705571140729</v>
      </c>
      <c r="D1172" s="42"/>
    </row>
    <row r="1173" spans="2:4" ht="16" thickBot="1" x14ac:dyDescent="0.25">
      <c r="B1173" s="5">
        <v>1168</v>
      </c>
      <c r="C1173" s="11">
        <v>221.6950810899929</v>
      </c>
      <c r="D1173" s="42"/>
    </row>
    <row r="1174" spans="2:4" ht="16" thickBot="1" x14ac:dyDescent="0.25">
      <c r="B1174" s="4">
        <v>1169</v>
      </c>
      <c r="C1174" s="10">
        <v>522.61971225016896</v>
      </c>
      <c r="D1174" s="42"/>
    </row>
    <row r="1175" spans="2:4" ht="16" thickBot="1" x14ac:dyDescent="0.25">
      <c r="B1175" s="5">
        <v>1170</v>
      </c>
      <c r="C1175" s="11">
        <v>92.154556914058816</v>
      </c>
      <c r="D1175" s="42"/>
    </row>
    <row r="1176" spans="2:4" ht="16" thickBot="1" x14ac:dyDescent="0.25">
      <c r="B1176" s="4">
        <v>1171</v>
      </c>
      <c r="C1176" s="10">
        <v>392.7826498621572</v>
      </c>
      <c r="D1176" s="42"/>
    </row>
    <row r="1177" spans="2:4" ht="16" thickBot="1" x14ac:dyDescent="0.25">
      <c r="B1177" s="5">
        <v>1172</v>
      </c>
      <c r="C1177" s="11">
        <v>437.81001127182276</v>
      </c>
      <c r="D1177" s="42"/>
    </row>
    <row r="1178" spans="2:4" ht="16" thickBot="1" x14ac:dyDescent="0.25">
      <c r="B1178" s="4">
        <v>1173</v>
      </c>
      <c r="C1178" s="10">
        <v>502.77319928596148</v>
      </c>
      <c r="D1178" s="42"/>
    </row>
    <row r="1179" spans="2:4" ht="16" thickBot="1" x14ac:dyDescent="0.25">
      <c r="B1179" s="5">
        <v>1174</v>
      </c>
      <c r="C1179" s="11">
        <v>139.16149139605605</v>
      </c>
      <c r="D1179" s="42"/>
    </row>
    <row r="1180" spans="2:4" ht="16" thickBot="1" x14ac:dyDescent="0.25">
      <c r="B1180" s="4">
        <v>1175</v>
      </c>
      <c r="C1180" s="10">
        <v>227.62288905271407</v>
      </c>
      <c r="D1180" s="42"/>
    </row>
    <row r="1181" spans="2:4" ht="16" thickBot="1" x14ac:dyDescent="0.25">
      <c r="B1181" s="5">
        <v>1176</v>
      </c>
      <c r="C1181" s="11">
        <v>665.85836811248532</v>
      </c>
      <c r="D1181" s="42"/>
    </row>
    <row r="1182" spans="2:4" ht="16" thickBot="1" x14ac:dyDescent="0.25">
      <c r="B1182" s="4">
        <v>1177</v>
      </c>
      <c r="C1182" s="10">
        <v>66.287709113085853</v>
      </c>
      <c r="D1182" s="42"/>
    </row>
    <row r="1183" spans="2:4" ht="16" thickBot="1" x14ac:dyDescent="0.25">
      <c r="B1183" s="5">
        <v>1178</v>
      </c>
      <c r="C1183" s="11">
        <v>194.58084686801311</v>
      </c>
      <c r="D1183" s="42"/>
    </row>
    <row r="1184" spans="2:4" ht="16" thickBot="1" x14ac:dyDescent="0.25">
      <c r="B1184" s="4">
        <v>1179</v>
      </c>
      <c r="C1184" s="10">
        <v>158.44074296734109</v>
      </c>
      <c r="D1184" s="42"/>
    </row>
    <row r="1185" spans="2:4" ht="16" thickBot="1" x14ac:dyDescent="0.25">
      <c r="B1185" s="5">
        <v>1180</v>
      </c>
      <c r="C1185" s="11">
        <v>856.09460514228238</v>
      </c>
      <c r="D1185" s="42"/>
    </row>
    <row r="1186" spans="2:4" ht="16" thickBot="1" x14ac:dyDescent="0.25">
      <c r="B1186" s="4">
        <v>1181</v>
      </c>
      <c r="C1186" s="10">
        <v>137.75361313200045</v>
      </c>
      <c r="D1186" s="42"/>
    </row>
    <row r="1187" spans="2:4" ht="16" thickBot="1" x14ac:dyDescent="0.25">
      <c r="B1187" s="5">
        <v>1182</v>
      </c>
      <c r="C1187" s="11">
        <v>201.96977275191017</v>
      </c>
      <c r="D1187" s="42"/>
    </row>
    <row r="1188" spans="2:4" ht="16" thickBot="1" x14ac:dyDescent="0.25">
      <c r="B1188" s="4">
        <v>1183</v>
      </c>
      <c r="C1188" s="10">
        <v>524.21700400195175</v>
      </c>
      <c r="D1188" s="42"/>
    </row>
    <row r="1189" spans="2:4" ht="16" thickBot="1" x14ac:dyDescent="0.25">
      <c r="B1189" s="5">
        <v>1184</v>
      </c>
      <c r="C1189" s="11">
        <v>201.33217290941428</v>
      </c>
      <c r="D1189" s="42"/>
    </row>
    <row r="1190" spans="2:4" ht="16" thickBot="1" x14ac:dyDescent="0.25">
      <c r="B1190" s="4">
        <v>1185</v>
      </c>
      <c r="C1190" s="10">
        <v>279.85842425745989</v>
      </c>
      <c r="D1190" s="42"/>
    </row>
    <row r="1191" spans="2:4" ht="16" thickBot="1" x14ac:dyDescent="0.25">
      <c r="B1191" s="5">
        <v>1186</v>
      </c>
      <c r="C1191" s="11">
        <v>85.48093516883722</v>
      </c>
      <c r="D1191" s="42"/>
    </row>
    <row r="1192" spans="2:4" ht="16" thickBot="1" x14ac:dyDescent="0.25">
      <c r="B1192" s="4">
        <v>1187</v>
      </c>
      <c r="C1192" s="10">
        <v>184.91781939368727</v>
      </c>
      <c r="D1192" s="42"/>
    </row>
    <row r="1193" spans="2:4" ht="16" thickBot="1" x14ac:dyDescent="0.25">
      <c r="B1193" s="5">
        <v>1188</v>
      </c>
      <c r="C1193" s="11">
        <v>368.23214780135697</v>
      </c>
      <c r="D1193" s="42"/>
    </row>
    <row r="1194" spans="2:4" ht="16" thickBot="1" x14ac:dyDescent="0.25">
      <c r="B1194" s="4">
        <v>1189</v>
      </c>
      <c r="C1194" s="10">
        <v>43.766120936462016</v>
      </c>
      <c r="D1194" s="42"/>
    </row>
    <row r="1195" spans="2:4" ht="16" thickBot="1" x14ac:dyDescent="0.25">
      <c r="B1195" s="5">
        <v>1190</v>
      </c>
      <c r="C1195" s="11">
        <v>439.67186883686622</v>
      </c>
      <c r="D1195" s="42"/>
    </row>
    <row r="1196" spans="2:4" ht="16" thickBot="1" x14ac:dyDescent="0.25">
      <c r="B1196" s="4">
        <v>1191</v>
      </c>
      <c r="C1196" s="10">
        <v>155.20506925610744</v>
      </c>
      <c r="D1196" s="42"/>
    </row>
    <row r="1197" spans="2:4" ht="16" thickBot="1" x14ac:dyDescent="0.25">
      <c r="B1197" s="5">
        <v>1192</v>
      </c>
      <c r="C1197" s="11">
        <v>442.64390962109007</v>
      </c>
      <c r="D1197" s="42"/>
    </row>
    <row r="1198" spans="2:4" ht="16" thickBot="1" x14ac:dyDescent="0.25">
      <c r="B1198" s="4">
        <v>1193</v>
      </c>
      <c r="C1198" s="10">
        <v>217.23663027164852</v>
      </c>
      <c r="D1198" s="42"/>
    </row>
    <row r="1199" spans="2:4" ht="16" thickBot="1" x14ac:dyDescent="0.25">
      <c r="B1199" s="5">
        <v>1194</v>
      </c>
      <c r="C1199" s="11">
        <v>398.44066515012918</v>
      </c>
      <c r="D1199" s="42"/>
    </row>
    <row r="1200" spans="2:4" ht="16" thickBot="1" x14ac:dyDescent="0.25">
      <c r="B1200" s="4">
        <v>1195</v>
      </c>
      <c r="C1200" s="10">
        <v>240.6010555796901</v>
      </c>
      <c r="D1200" s="42"/>
    </row>
    <row r="1201" spans="2:4" ht="16" thickBot="1" x14ac:dyDescent="0.25">
      <c r="B1201" s="5">
        <v>1196</v>
      </c>
      <c r="C1201" s="11">
        <v>598.5622900139482</v>
      </c>
      <c r="D1201" s="42"/>
    </row>
    <row r="1202" spans="2:4" ht="16" thickBot="1" x14ac:dyDescent="0.25">
      <c r="B1202" s="4">
        <v>1197</v>
      </c>
      <c r="C1202" s="10">
        <v>270.67898751842853</v>
      </c>
      <c r="D1202" s="42"/>
    </row>
    <row r="1203" spans="2:4" ht="16" thickBot="1" x14ac:dyDescent="0.25">
      <c r="B1203" s="5">
        <v>1198</v>
      </c>
      <c r="C1203" s="11">
        <v>496.56998707972855</v>
      </c>
      <c r="D1203" s="42"/>
    </row>
    <row r="1204" spans="2:4" ht="16" thickBot="1" x14ac:dyDescent="0.25">
      <c r="B1204" s="4">
        <v>1199</v>
      </c>
      <c r="C1204" s="10">
        <v>212.45040634833322</v>
      </c>
      <c r="D1204" s="42"/>
    </row>
    <row r="1205" spans="2:4" ht="16" thickBot="1" x14ac:dyDescent="0.25">
      <c r="B1205" s="5">
        <v>1200</v>
      </c>
      <c r="C1205" s="11">
        <v>228.57786565408239</v>
      </c>
      <c r="D1205" s="42"/>
    </row>
    <row r="1206" spans="2:4" ht="16" thickBot="1" x14ac:dyDescent="0.25">
      <c r="B1206" s="4">
        <v>1201</v>
      </c>
      <c r="C1206" s="10">
        <v>156.20717590638432</v>
      </c>
      <c r="D1206" s="42"/>
    </row>
    <row r="1207" spans="2:4" ht="16" thickBot="1" x14ac:dyDescent="0.25">
      <c r="B1207" s="5">
        <v>1202</v>
      </c>
      <c r="C1207" s="11">
        <v>132.73198396692231</v>
      </c>
      <c r="D1207" s="42"/>
    </row>
    <row r="1208" spans="2:4" ht="16" thickBot="1" x14ac:dyDescent="0.25">
      <c r="B1208" s="4">
        <v>1203</v>
      </c>
      <c r="C1208" s="10">
        <v>234.19636285051811</v>
      </c>
      <c r="D1208" s="42"/>
    </row>
    <row r="1209" spans="2:4" ht="16" thickBot="1" x14ac:dyDescent="0.25">
      <c r="B1209" s="5">
        <v>1204</v>
      </c>
      <c r="C1209" s="11">
        <v>580.40906129055941</v>
      </c>
      <c r="D1209" s="42"/>
    </row>
    <row r="1210" spans="2:4" ht="16" thickBot="1" x14ac:dyDescent="0.25">
      <c r="B1210" s="4">
        <v>1205</v>
      </c>
      <c r="C1210" s="10">
        <v>451.62716419931763</v>
      </c>
      <c r="D1210" s="42"/>
    </row>
    <row r="1211" spans="2:4" ht="16" thickBot="1" x14ac:dyDescent="0.25">
      <c r="B1211" s="5">
        <v>1206</v>
      </c>
      <c r="C1211" s="11">
        <v>414.51841283872619</v>
      </c>
      <c r="D1211" s="42"/>
    </row>
    <row r="1212" spans="2:4" ht="16" thickBot="1" x14ac:dyDescent="0.25">
      <c r="B1212" s="4">
        <v>1207</v>
      </c>
      <c r="C1212" s="10">
        <v>376.33202607026942</v>
      </c>
      <c r="D1212" s="42"/>
    </row>
    <row r="1213" spans="2:4" ht="16" thickBot="1" x14ac:dyDescent="0.25">
      <c r="B1213" s="5">
        <v>1208</v>
      </c>
      <c r="C1213" s="11">
        <v>163.696560119292</v>
      </c>
      <c r="D1213" s="42"/>
    </row>
    <row r="1214" spans="2:4" ht="16" thickBot="1" x14ac:dyDescent="0.25">
      <c r="B1214" s="4">
        <v>1209</v>
      </c>
      <c r="C1214" s="10">
        <v>494.91240707545717</v>
      </c>
      <c r="D1214" s="42"/>
    </row>
    <row r="1215" spans="2:4" ht="16" thickBot="1" x14ac:dyDescent="0.25">
      <c r="B1215" s="5">
        <v>1210</v>
      </c>
      <c r="C1215" s="11">
        <v>208.63437414165963</v>
      </c>
      <c r="D1215" s="42"/>
    </row>
    <row r="1216" spans="2:4" ht="16" thickBot="1" x14ac:dyDescent="0.25">
      <c r="B1216" s="4">
        <v>1211</v>
      </c>
      <c r="C1216" s="10">
        <v>150.65569302683693</v>
      </c>
      <c r="D1216" s="42"/>
    </row>
    <row r="1217" spans="2:4" ht="16" thickBot="1" x14ac:dyDescent="0.25">
      <c r="B1217" s="5">
        <v>1212</v>
      </c>
      <c r="C1217" s="11">
        <v>368.47947670638519</v>
      </c>
      <c r="D1217" s="42"/>
    </row>
    <row r="1218" spans="2:4" ht="16" thickBot="1" x14ac:dyDescent="0.25">
      <c r="B1218" s="4">
        <v>1213</v>
      </c>
      <c r="C1218" s="10">
        <v>328.87330961043881</v>
      </c>
      <c r="D1218" s="42"/>
    </row>
    <row r="1219" spans="2:4" ht="16" thickBot="1" x14ac:dyDescent="0.25">
      <c r="B1219" s="5">
        <v>1214</v>
      </c>
      <c r="C1219" s="11">
        <v>261.15698526580826</v>
      </c>
      <c r="D1219" s="42"/>
    </row>
    <row r="1220" spans="2:4" ht="16" thickBot="1" x14ac:dyDescent="0.25">
      <c r="B1220" s="4">
        <v>1215</v>
      </c>
      <c r="C1220" s="10">
        <v>657.98525826804496</v>
      </c>
      <c r="D1220" s="42"/>
    </row>
    <row r="1221" spans="2:4" ht="16" thickBot="1" x14ac:dyDescent="0.25">
      <c r="B1221" s="5">
        <v>1216</v>
      </c>
      <c r="C1221" s="11">
        <v>205.53723561937895</v>
      </c>
      <c r="D1221" s="42"/>
    </row>
    <row r="1222" spans="2:4" ht="16" thickBot="1" x14ac:dyDescent="0.25">
      <c r="B1222" s="4">
        <v>1217</v>
      </c>
      <c r="C1222" s="10">
        <v>322.75475656074207</v>
      </c>
      <c r="D1222" s="42"/>
    </row>
    <row r="1223" spans="2:4" ht="16" thickBot="1" x14ac:dyDescent="0.25">
      <c r="B1223" s="5">
        <v>1218</v>
      </c>
      <c r="C1223" s="11">
        <v>456.49533313475428</v>
      </c>
      <c r="D1223" s="42"/>
    </row>
    <row r="1224" spans="2:4" ht="16" thickBot="1" x14ac:dyDescent="0.25">
      <c r="B1224" s="4">
        <v>1219</v>
      </c>
      <c r="C1224" s="10">
        <v>281.36392868867813</v>
      </c>
      <c r="D1224" s="42"/>
    </row>
    <row r="1225" spans="2:4" ht="16" thickBot="1" x14ac:dyDescent="0.25">
      <c r="B1225" s="5">
        <v>1220</v>
      </c>
      <c r="C1225" s="11">
        <v>549.55722841296915</v>
      </c>
      <c r="D1225" s="42"/>
    </row>
    <row r="1226" spans="2:4" ht="16" thickBot="1" x14ac:dyDescent="0.25">
      <c r="B1226" s="4">
        <v>1221</v>
      </c>
      <c r="C1226" s="10">
        <v>304.63484695106592</v>
      </c>
      <c r="D1226" s="42"/>
    </row>
    <row r="1227" spans="2:4" ht="16" thickBot="1" x14ac:dyDescent="0.25">
      <c r="B1227" s="5">
        <v>1222</v>
      </c>
      <c r="C1227" s="11">
        <v>245.50634843148907</v>
      </c>
      <c r="D1227" s="42"/>
    </row>
    <row r="1228" spans="2:4" ht="16" thickBot="1" x14ac:dyDescent="0.25">
      <c r="B1228" s="4">
        <v>1223</v>
      </c>
      <c r="C1228" s="10">
        <v>117.19587823401264</v>
      </c>
      <c r="D1228" s="42"/>
    </row>
    <row r="1229" spans="2:4" ht="16" thickBot="1" x14ac:dyDescent="0.25">
      <c r="B1229" s="5">
        <v>1224</v>
      </c>
      <c r="C1229" s="11">
        <v>611.66135588716986</v>
      </c>
      <c r="D1229" s="42"/>
    </row>
    <row r="1230" spans="2:4" ht="16" thickBot="1" x14ac:dyDescent="0.25">
      <c r="B1230" s="4">
        <v>1225</v>
      </c>
      <c r="C1230" s="10">
        <v>257.27214681153322</v>
      </c>
      <c r="D1230" s="42"/>
    </row>
    <row r="1231" spans="2:4" ht="16" thickBot="1" x14ac:dyDescent="0.25">
      <c r="B1231" s="5">
        <v>1226</v>
      </c>
      <c r="C1231" s="11">
        <v>542.0858435349603</v>
      </c>
      <c r="D1231" s="42"/>
    </row>
    <row r="1232" spans="2:4" ht="16" thickBot="1" x14ac:dyDescent="0.25">
      <c r="B1232" s="4">
        <v>1227</v>
      </c>
      <c r="C1232" s="10">
        <v>304.17261676322772</v>
      </c>
      <c r="D1232" s="42"/>
    </row>
    <row r="1233" spans="2:4" ht="16" thickBot="1" x14ac:dyDescent="0.25">
      <c r="B1233" s="5">
        <v>1228</v>
      </c>
      <c r="C1233" s="11">
        <v>358.49752328060811</v>
      </c>
      <c r="D1233" s="42"/>
    </row>
    <row r="1234" spans="2:4" ht="16" thickBot="1" x14ac:dyDescent="0.25">
      <c r="B1234" s="4">
        <v>1229</v>
      </c>
      <c r="C1234" s="10">
        <v>151.15126648893232</v>
      </c>
      <c r="D1234" s="42"/>
    </row>
    <row r="1235" spans="2:4" ht="16" thickBot="1" x14ac:dyDescent="0.25">
      <c r="B1235" s="5">
        <v>1230</v>
      </c>
      <c r="C1235" s="11">
        <v>50.585562403616223</v>
      </c>
      <c r="D1235" s="42"/>
    </row>
    <row r="1236" spans="2:4" ht="16" thickBot="1" x14ac:dyDescent="0.25">
      <c r="B1236" s="4">
        <v>1231</v>
      </c>
      <c r="C1236" s="10">
        <v>404.26084435800237</v>
      </c>
      <c r="D1236" s="42"/>
    </row>
    <row r="1237" spans="2:4" ht="16" thickBot="1" x14ac:dyDescent="0.25">
      <c r="B1237" s="5">
        <v>1232</v>
      </c>
      <c r="C1237" s="11">
        <v>128.80345391183405</v>
      </c>
      <c r="D1237" s="42"/>
    </row>
    <row r="1238" spans="2:4" ht="16" thickBot="1" x14ac:dyDescent="0.25">
      <c r="B1238" s="4">
        <v>1233</v>
      </c>
      <c r="C1238" s="10">
        <v>443.86485199523645</v>
      </c>
      <c r="D1238" s="42"/>
    </row>
    <row r="1239" spans="2:4" ht="16" thickBot="1" x14ac:dyDescent="0.25">
      <c r="B1239" s="5">
        <v>1234</v>
      </c>
      <c r="C1239" s="11">
        <v>108.0856921570192</v>
      </c>
      <c r="D1239" s="42"/>
    </row>
    <row r="1240" spans="2:4" ht="16" thickBot="1" x14ac:dyDescent="0.25">
      <c r="B1240" s="4">
        <v>1235</v>
      </c>
      <c r="C1240" s="10">
        <v>143.95766886919725</v>
      </c>
      <c r="D1240" s="42"/>
    </row>
    <row r="1241" spans="2:4" ht="16" thickBot="1" x14ac:dyDescent="0.25">
      <c r="B1241" s="5">
        <v>1236</v>
      </c>
      <c r="C1241" s="11">
        <v>153.92290088593322</v>
      </c>
      <c r="D1241" s="42"/>
    </row>
    <row r="1242" spans="2:4" ht="16" thickBot="1" x14ac:dyDescent="0.25">
      <c r="B1242" s="4">
        <v>1237</v>
      </c>
      <c r="C1242" s="10">
        <v>362.13212326382694</v>
      </c>
      <c r="D1242" s="42"/>
    </row>
    <row r="1243" spans="2:4" ht="16" thickBot="1" x14ac:dyDescent="0.25">
      <c r="B1243" s="5">
        <v>1238</v>
      </c>
      <c r="C1243" s="11">
        <v>224.12242623225674</v>
      </c>
      <c r="D1243" s="42"/>
    </row>
    <row r="1244" spans="2:4" ht="16" thickBot="1" x14ac:dyDescent="0.25">
      <c r="B1244" s="4">
        <v>1239</v>
      </c>
      <c r="C1244" s="10">
        <v>191.29498764071167</v>
      </c>
      <c r="D1244" s="42"/>
    </row>
    <row r="1245" spans="2:4" ht="16" thickBot="1" x14ac:dyDescent="0.25">
      <c r="B1245" s="5">
        <v>1240</v>
      </c>
      <c r="C1245" s="11">
        <v>371.00578304291963</v>
      </c>
      <c r="D1245" s="42"/>
    </row>
    <row r="1246" spans="2:4" ht="16" thickBot="1" x14ac:dyDescent="0.25">
      <c r="B1246" s="4">
        <v>1241</v>
      </c>
      <c r="C1246" s="10">
        <v>197.68541301675251</v>
      </c>
      <c r="D1246" s="42"/>
    </row>
    <row r="1247" spans="2:4" ht="16" thickBot="1" x14ac:dyDescent="0.25">
      <c r="B1247" s="5">
        <v>1242</v>
      </c>
      <c r="C1247" s="11">
        <v>169.26961726989006</v>
      </c>
      <c r="D1247" s="42"/>
    </row>
    <row r="1248" spans="2:4" ht="16" thickBot="1" x14ac:dyDescent="0.25">
      <c r="B1248" s="4">
        <v>1243</v>
      </c>
      <c r="C1248" s="10">
        <v>132.3781747603031</v>
      </c>
      <c r="D1248" s="42"/>
    </row>
    <row r="1249" spans="2:4" ht="16" thickBot="1" x14ac:dyDescent="0.25">
      <c r="B1249" s="5">
        <v>1244</v>
      </c>
      <c r="C1249" s="11">
        <v>245.26516923831366</v>
      </c>
      <c r="D1249" s="42"/>
    </row>
    <row r="1250" spans="2:4" ht="16" thickBot="1" x14ac:dyDescent="0.25">
      <c r="B1250" s="4">
        <v>1245</v>
      </c>
      <c r="C1250" s="10">
        <v>268.55556706796449</v>
      </c>
      <c r="D1250" s="42"/>
    </row>
    <row r="1251" spans="2:4" ht="16" thickBot="1" x14ac:dyDescent="0.25">
      <c r="B1251" s="5">
        <v>1246</v>
      </c>
      <c r="C1251" s="11">
        <v>82.79229251451406</v>
      </c>
      <c r="D1251" s="42"/>
    </row>
    <row r="1252" spans="2:4" ht="16" thickBot="1" x14ac:dyDescent="0.25">
      <c r="B1252" s="4">
        <v>1247</v>
      </c>
      <c r="C1252" s="10">
        <v>313.30765637024723</v>
      </c>
      <c r="D1252" s="42"/>
    </row>
    <row r="1253" spans="2:4" ht="16" thickBot="1" x14ac:dyDescent="0.25">
      <c r="B1253" s="5">
        <v>1248</v>
      </c>
      <c r="C1253" s="11">
        <v>424.8522027366111</v>
      </c>
      <c r="D1253" s="42"/>
    </row>
    <row r="1254" spans="2:4" ht="16" thickBot="1" x14ac:dyDescent="0.25">
      <c r="B1254" s="4">
        <v>1249</v>
      </c>
      <c r="C1254" s="10">
        <v>287.26886853241007</v>
      </c>
      <c r="D1254" s="42"/>
    </row>
    <row r="1255" spans="2:4" ht="16" thickBot="1" x14ac:dyDescent="0.25">
      <c r="B1255" s="5">
        <v>1250</v>
      </c>
      <c r="C1255" s="11">
        <v>312.96090085089378</v>
      </c>
      <c r="D1255" s="42"/>
    </row>
    <row r="1256" spans="2:4" ht="16" thickBot="1" x14ac:dyDescent="0.25">
      <c r="B1256" s="4">
        <v>1251</v>
      </c>
      <c r="C1256" s="10">
        <v>311.88464551158683</v>
      </c>
      <c r="D1256" s="42"/>
    </row>
    <row r="1257" spans="2:4" ht="16" thickBot="1" x14ac:dyDescent="0.25">
      <c r="B1257" s="5">
        <v>1252</v>
      </c>
      <c r="C1257" s="11">
        <v>478.42766350536021</v>
      </c>
      <c r="D1257" s="42"/>
    </row>
    <row r="1258" spans="2:4" ht="16" thickBot="1" x14ac:dyDescent="0.25">
      <c r="B1258" s="4">
        <v>1253</v>
      </c>
      <c r="C1258" s="10">
        <v>272.37493324031635</v>
      </c>
      <c r="D1258" s="42"/>
    </row>
    <row r="1259" spans="2:4" ht="16" thickBot="1" x14ac:dyDescent="0.25">
      <c r="B1259" s="5">
        <v>1254</v>
      </c>
      <c r="C1259" s="11">
        <v>101.60724564636955</v>
      </c>
      <c r="D1259" s="42"/>
    </row>
    <row r="1260" spans="2:4" ht="16" thickBot="1" x14ac:dyDescent="0.25">
      <c r="B1260" s="4">
        <v>1255</v>
      </c>
      <c r="C1260" s="10">
        <v>338.86100403596799</v>
      </c>
      <c r="D1260" s="42"/>
    </row>
    <row r="1261" spans="2:4" ht="16" thickBot="1" x14ac:dyDescent="0.25">
      <c r="B1261" s="5">
        <v>1256</v>
      </c>
      <c r="C1261" s="11">
        <v>296.193252928959</v>
      </c>
      <c r="D1261" s="42"/>
    </row>
    <row r="1262" spans="2:4" ht="16" thickBot="1" x14ac:dyDescent="0.25">
      <c r="B1262" s="4">
        <v>1257</v>
      </c>
      <c r="C1262" s="10">
        <v>244.61748965543205</v>
      </c>
      <c r="D1262" s="42"/>
    </row>
    <row r="1263" spans="2:4" ht="16" thickBot="1" x14ac:dyDescent="0.25">
      <c r="B1263" s="5">
        <v>1258</v>
      </c>
      <c r="C1263" s="11">
        <v>219.85442533868132</v>
      </c>
      <c r="D1263" s="42"/>
    </row>
    <row r="1264" spans="2:4" ht="16" thickBot="1" x14ac:dyDescent="0.25">
      <c r="B1264" s="4">
        <v>1259</v>
      </c>
      <c r="C1264" s="10">
        <v>400.73166740017649</v>
      </c>
      <c r="D1264" s="42"/>
    </row>
    <row r="1265" spans="2:4" ht="16" thickBot="1" x14ac:dyDescent="0.25">
      <c r="B1265" s="5">
        <v>1260</v>
      </c>
      <c r="C1265" s="11">
        <v>292.78536669182199</v>
      </c>
      <c r="D1265" s="42"/>
    </row>
    <row r="1266" spans="2:4" ht="16" thickBot="1" x14ac:dyDescent="0.25">
      <c r="B1266" s="4">
        <v>1261</v>
      </c>
      <c r="C1266" s="10">
        <v>62.18859340843855</v>
      </c>
      <c r="D1266" s="42"/>
    </row>
    <row r="1267" spans="2:4" ht="16" thickBot="1" x14ac:dyDescent="0.25">
      <c r="B1267" s="5">
        <v>1262</v>
      </c>
      <c r="C1267" s="11">
        <v>110.17839722878028</v>
      </c>
      <c r="D1267" s="42"/>
    </row>
    <row r="1268" spans="2:4" ht="16" thickBot="1" x14ac:dyDescent="0.25">
      <c r="B1268" s="4">
        <v>1263</v>
      </c>
      <c r="C1268" s="10">
        <v>199.7059714942412</v>
      </c>
      <c r="D1268" s="42"/>
    </row>
    <row r="1269" spans="2:4" ht="16" thickBot="1" x14ac:dyDescent="0.25">
      <c r="B1269" s="5">
        <v>1264</v>
      </c>
      <c r="C1269" s="11">
        <v>92.357148507695101</v>
      </c>
      <c r="D1269" s="42"/>
    </row>
    <row r="1270" spans="2:4" ht="16" thickBot="1" x14ac:dyDescent="0.25">
      <c r="B1270" s="4">
        <v>1265</v>
      </c>
      <c r="C1270" s="10">
        <v>296.04796424906294</v>
      </c>
      <c r="D1270" s="42"/>
    </row>
    <row r="1271" spans="2:4" ht="16" thickBot="1" x14ac:dyDescent="0.25">
      <c r="B1271" s="5">
        <v>1266</v>
      </c>
      <c r="C1271" s="11">
        <v>212.22266955335985</v>
      </c>
      <c r="D1271" s="42"/>
    </row>
    <row r="1272" spans="2:4" ht="16" thickBot="1" x14ac:dyDescent="0.25">
      <c r="B1272" s="4">
        <v>1267</v>
      </c>
      <c r="C1272" s="10">
        <v>296.11888830616965</v>
      </c>
      <c r="D1272" s="42"/>
    </row>
    <row r="1273" spans="2:4" ht="16" thickBot="1" x14ac:dyDescent="0.25">
      <c r="B1273" s="5">
        <v>1268</v>
      </c>
      <c r="C1273" s="11">
        <v>276.90261815897355</v>
      </c>
      <c r="D1273" s="42"/>
    </row>
    <row r="1274" spans="2:4" ht="16" thickBot="1" x14ac:dyDescent="0.25">
      <c r="B1274" s="4">
        <v>1269</v>
      </c>
      <c r="C1274" s="10">
        <v>298.58544684442842</v>
      </c>
      <c r="D1274" s="42"/>
    </row>
    <row r="1275" spans="2:4" ht="16" thickBot="1" x14ac:dyDescent="0.25">
      <c r="B1275" s="5">
        <v>1270</v>
      </c>
      <c r="C1275" s="11">
        <v>166.71148438274358</v>
      </c>
      <c r="D1275" s="42"/>
    </row>
    <row r="1276" spans="2:4" ht="16" thickBot="1" x14ac:dyDescent="0.25">
      <c r="B1276" s="4">
        <v>1271</v>
      </c>
      <c r="C1276" s="10">
        <v>323.20806822197306</v>
      </c>
      <c r="D1276" s="42"/>
    </row>
    <row r="1277" spans="2:4" ht="16" thickBot="1" x14ac:dyDescent="0.25">
      <c r="B1277" s="5">
        <v>1272</v>
      </c>
      <c r="C1277" s="11">
        <v>306.76053034473932</v>
      </c>
      <c r="D1277" s="42"/>
    </row>
    <row r="1278" spans="2:4" ht="16" thickBot="1" x14ac:dyDescent="0.25">
      <c r="B1278" s="4">
        <v>1273</v>
      </c>
      <c r="C1278" s="10">
        <v>25.876219018180201</v>
      </c>
      <c r="D1278" s="42"/>
    </row>
    <row r="1279" spans="2:4" ht="16" thickBot="1" x14ac:dyDescent="0.25">
      <c r="B1279" s="5">
        <v>1274</v>
      </c>
      <c r="C1279" s="11">
        <v>313.61803040088159</v>
      </c>
      <c r="D1279" s="42"/>
    </row>
    <row r="1280" spans="2:4" ht="16" thickBot="1" x14ac:dyDescent="0.25">
      <c r="B1280" s="4">
        <v>1275</v>
      </c>
      <c r="C1280" s="10">
        <v>449.7845321848543</v>
      </c>
      <c r="D1280" s="42"/>
    </row>
    <row r="1281" spans="2:4" ht="16" thickBot="1" x14ac:dyDescent="0.25">
      <c r="B1281" s="5">
        <v>1276</v>
      </c>
      <c r="C1281" s="11">
        <v>254.19711564333576</v>
      </c>
      <c r="D1281" s="42"/>
    </row>
    <row r="1282" spans="2:4" ht="16" thickBot="1" x14ac:dyDescent="0.25">
      <c r="B1282" s="4">
        <v>1277</v>
      </c>
      <c r="C1282" s="10">
        <v>197.92279444900416</v>
      </c>
      <c r="D1282" s="42"/>
    </row>
    <row r="1283" spans="2:4" ht="16" thickBot="1" x14ac:dyDescent="0.25">
      <c r="B1283" s="5">
        <v>1278</v>
      </c>
      <c r="C1283" s="11">
        <v>755.44663427602416</v>
      </c>
      <c r="D1283" s="42"/>
    </row>
    <row r="1284" spans="2:4" ht="16" thickBot="1" x14ac:dyDescent="0.25">
      <c r="B1284" s="4">
        <v>1279</v>
      </c>
      <c r="C1284" s="10">
        <v>493.04785425502553</v>
      </c>
      <c r="D1284" s="42"/>
    </row>
    <row r="1285" spans="2:4" ht="16" thickBot="1" x14ac:dyDescent="0.25">
      <c r="B1285" s="5">
        <v>1280</v>
      </c>
      <c r="C1285" s="11">
        <v>181.90006316481652</v>
      </c>
      <c r="D1285" s="42"/>
    </row>
    <row r="1286" spans="2:4" ht="16" thickBot="1" x14ac:dyDescent="0.25">
      <c r="B1286" s="4">
        <v>1281</v>
      </c>
      <c r="C1286" s="10">
        <v>308.73944760059032</v>
      </c>
      <c r="D1286" s="42"/>
    </row>
    <row r="1287" spans="2:4" ht="16" thickBot="1" x14ac:dyDescent="0.25">
      <c r="B1287" s="5">
        <v>1282</v>
      </c>
      <c r="C1287" s="11">
        <v>616.06929936701033</v>
      </c>
      <c r="D1287" s="42"/>
    </row>
    <row r="1288" spans="2:4" ht="16" thickBot="1" x14ac:dyDescent="0.25">
      <c r="B1288" s="4">
        <v>1283</v>
      </c>
      <c r="C1288" s="10">
        <v>460.38482549799539</v>
      </c>
      <c r="D1288" s="42"/>
    </row>
    <row r="1289" spans="2:4" ht="16" thickBot="1" x14ac:dyDescent="0.25">
      <c r="B1289" s="5">
        <v>1284</v>
      </c>
      <c r="C1289" s="11">
        <v>153.29495527672748</v>
      </c>
      <c r="D1289" s="42"/>
    </row>
    <row r="1290" spans="2:4" ht="16" thickBot="1" x14ac:dyDescent="0.25">
      <c r="B1290" s="4">
        <v>1285</v>
      </c>
      <c r="C1290" s="10">
        <v>55.497737802451937</v>
      </c>
      <c r="D1290" s="42"/>
    </row>
    <row r="1291" spans="2:4" ht="16" thickBot="1" x14ac:dyDescent="0.25">
      <c r="B1291" s="5">
        <v>1286</v>
      </c>
      <c r="C1291" s="11">
        <v>159.39674431684708</v>
      </c>
      <c r="D1291" s="42"/>
    </row>
    <row r="1292" spans="2:4" ht="16" thickBot="1" x14ac:dyDescent="0.25">
      <c r="B1292" s="4">
        <v>1287</v>
      </c>
      <c r="C1292" s="10">
        <v>111.29376915657065</v>
      </c>
      <c r="D1292" s="42"/>
    </row>
    <row r="1293" spans="2:4" ht="16" thickBot="1" x14ac:dyDescent="0.25">
      <c r="B1293" s="5">
        <v>1288</v>
      </c>
      <c r="C1293" s="11">
        <v>202.45982270129161</v>
      </c>
      <c r="D1293" s="42"/>
    </row>
    <row r="1294" spans="2:4" ht="16" thickBot="1" x14ac:dyDescent="0.25">
      <c r="B1294" s="4">
        <v>1289</v>
      </c>
      <c r="C1294" s="10">
        <v>561.15082166618788</v>
      </c>
      <c r="D1294" s="42"/>
    </row>
    <row r="1295" spans="2:4" ht="16" thickBot="1" x14ac:dyDescent="0.25">
      <c r="B1295" s="5">
        <v>1290</v>
      </c>
      <c r="C1295" s="11">
        <v>421.76288431838674</v>
      </c>
      <c r="D1295" s="42"/>
    </row>
    <row r="1296" spans="2:4" ht="16" thickBot="1" x14ac:dyDescent="0.25">
      <c r="B1296" s="4">
        <v>1291</v>
      </c>
      <c r="C1296" s="10">
        <v>247.1501487422166</v>
      </c>
      <c r="D1296" s="42"/>
    </row>
    <row r="1297" spans="2:4" ht="16" thickBot="1" x14ac:dyDescent="0.25">
      <c r="B1297" s="5">
        <v>1292</v>
      </c>
      <c r="C1297" s="11">
        <v>315.8946712174955</v>
      </c>
      <c r="D1297" s="42"/>
    </row>
    <row r="1298" spans="2:4" ht="16" thickBot="1" x14ac:dyDescent="0.25">
      <c r="B1298" s="4">
        <v>1293</v>
      </c>
      <c r="C1298" s="10">
        <v>30.069352295642819</v>
      </c>
      <c r="D1298" s="42"/>
    </row>
    <row r="1299" spans="2:4" ht="16" thickBot="1" x14ac:dyDescent="0.25">
      <c r="B1299" s="5">
        <v>1294</v>
      </c>
      <c r="C1299" s="11">
        <v>172.37260792653569</v>
      </c>
      <c r="D1299" s="42"/>
    </row>
    <row r="1300" spans="2:4" ht="16" thickBot="1" x14ac:dyDescent="0.25">
      <c r="B1300" s="4">
        <v>1295</v>
      </c>
      <c r="C1300" s="10">
        <v>379.10765093141106</v>
      </c>
      <c r="D1300" s="42"/>
    </row>
    <row r="1301" spans="2:4" ht="16" thickBot="1" x14ac:dyDescent="0.25">
      <c r="B1301" s="5">
        <v>1296</v>
      </c>
      <c r="C1301" s="11">
        <v>237.29268403313529</v>
      </c>
      <c r="D1301" s="42"/>
    </row>
    <row r="1302" spans="2:4" ht="16" thickBot="1" x14ac:dyDescent="0.25">
      <c r="B1302" s="4">
        <v>1297</v>
      </c>
      <c r="C1302" s="10">
        <v>426.89003083054206</v>
      </c>
      <c r="D1302" s="42"/>
    </row>
    <row r="1303" spans="2:4" ht="16" thickBot="1" x14ac:dyDescent="0.25">
      <c r="B1303" s="5">
        <v>1298</v>
      </c>
      <c r="C1303" s="11">
        <v>100.91180507135907</v>
      </c>
      <c r="D1303" s="42"/>
    </row>
    <row r="1304" spans="2:4" ht="16" thickBot="1" x14ac:dyDescent="0.25">
      <c r="B1304" s="4">
        <v>1299</v>
      </c>
      <c r="C1304" s="10">
        <v>81.679144386829208</v>
      </c>
      <c r="D1304" s="42"/>
    </row>
    <row r="1305" spans="2:4" ht="16" thickBot="1" x14ac:dyDescent="0.25">
      <c r="B1305" s="5">
        <v>1300</v>
      </c>
      <c r="C1305" s="11">
        <v>107.82451923305325</v>
      </c>
      <c r="D1305" s="42"/>
    </row>
    <row r="1306" spans="2:4" ht="16" thickBot="1" x14ac:dyDescent="0.25">
      <c r="B1306" s="4">
        <v>1301</v>
      </c>
      <c r="C1306" s="10">
        <v>282.48270557546243</v>
      </c>
      <c r="D1306" s="42"/>
    </row>
    <row r="1307" spans="2:4" ht="16" thickBot="1" x14ac:dyDescent="0.25">
      <c r="B1307" s="5">
        <v>1302</v>
      </c>
      <c r="C1307" s="11">
        <v>75.696008820441335</v>
      </c>
      <c r="D1307" s="42"/>
    </row>
    <row r="1308" spans="2:4" ht="16" thickBot="1" x14ac:dyDescent="0.25">
      <c r="B1308" s="4">
        <v>1303</v>
      </c>
      <c r="C1308" s="10">
        <v>379.75231742685094</v>
      </c>
      <c r="D1308" s="42"/>
    </row>
    <row r="1309" spans="2:4" ht="16" thickBot="1" x14ac:dyDescent="0.25">
      <c r="B1309" s="5">
        <v>1304</v>
      </c>
      <c r="C1309" s="11">
        <v>199.5627144051625</v>
      </c>
      <c r="D1309" s="42"/>
    </row>
    <row r="1310" spans="2:4" ht="16" thickBot="1" x14ac:dyDescent="0.25">
      <c r="B1310" s="4">
        <v>1305</v>
      </c>
      <c r="C1310" s="10">
        <v>77.381143391049747</v>
      </c>
      <c r="D1310" s="42"/>
    </row>
    <row r="1311" spans="2:4" ht="16" thickBot="1" x14ac:dyDescent="0.25">
      <c r="B1311" s="5">
        <v>1306</v>
      </c>
      <c r="C1311" s="11">
        <v>306.25179298500495</v>
      </c>
      <c r="D1311" s="42"/>
    </row>
    <row r="1312" spans="2:4" ht="16" thickBot="1" x14ac:dyDescent="0.25">
      <c r="B1312" s="4">
        <v>1307</v>
      </c>
      <c r="C1312" s="10">
        <v>406.61779881103655</v>
      </c>
      <c r="D1312" s="42"/>
    </row>
    <row r="1313" spans="2:4" ht="16" thickBot="1" x14ac:dyDescent="0.25">
      <c r="B1313" s="5">
        <v>1308</v>
      </c>
      <c r="C1313" s="11">
        <v>262.68976728837714</v>
      </c>
      <c r="D1313" s="42"/>
    </row>
    <row r="1314" spans="2:4" ht="16" thickBot="1" x14ac:dyDescent="0.25">
      <c r="B1314" s="4">
        <v>1309</v>
      </c>
      <c r="C1314" s="10">
        <v>467.99838950657676</v>
      </c>
      <c r="D1314" s="42"/>
    </row>
    <row r="1315" spans="2:4" ht="16" thickBot="1" x14ac:dyDescent="0.25">
      <c r="B1315" s="5">
        <v>1310</v>
      </c>
      <c r="C1315" s="11">
        <v>113.85806115842317</v>
      </c>
      <c r="D1315" s="42"/>
    </row>
    <row r="1316" spans="2:4" ht="16" thickBot="1" x14ac:dyDescent="0.25">
      <c r="B1316" s="4">
        <v>1311</v>
      </c>
      <c r="C1316" s="10">
        <v>158.25255541255137</v>
      </c>
      <c r="D1316" s="42"/>
    </row>
    <row r="1317" spans="2:4" ht="16" thickBot="1" x14ac:dyDescent="0.25">
      <c r="B1317" s="5">
        <v>1312</v>
      </c>
      <c r="C1317" s="11">
        <v>337.32242158757128</v>
      </c>
      <c r="D1317" s="42"/>
    </row>
    <row r="1318" spans="2:4" ht="16" thickBot="1" x14ac:dyDescent="0.25">
      <c r="B1318" s="4">
        <v>1313</v>
      </c>
      <c r="C1318" s="10">
        <v>43.059179004020258</v>
      </c>
      <c r="D1318" s="42"/>
    </row>
    <row r="1319" spans="2:4" ht="16" thickBot="1" x14ac:dyDescent="0.25">
      <c r="B1319" s="5">
        <v>1314</v>
      </c>
      <c r="C1319" s="11">
        <v>219.79758481443537</v>
      </c>
      <c r="D1319" s="42"/>
    </row>
    <row r="1320" spans="2:4" ht="16" thickBot="1" x14ac:dyDescent="0.25">
      <c r="B1320" s="4">
        <v>1315</v>
      </c>
      <c r="C1320" s="10">
        <v>443.96304985474796</v>
      </c>
      <c r="D1320" s="42"/>
    </row>
    <row r="1321" spans="2:4" ht="16" thickBot="1" x14ac:dyDescent="0.25">
      <c r="B1321" s="5">
        <v>1316</v>
      </c>
      <c r="C1321" s="11">
        <v>192.64881839914253</v>
      </c>
      <c r="D1321" s="42"/>
    </row>
    <row r="1322" spans="2:4" ht="16" thickBot="1" x14ac:dyDescent="0.25">
      <c r="B1322" s="4">
        <v>1317</v>
      </c>
      <c r="C1322" s="10">
        <v>89.65155485658633</v>
      </c>
      <c r="D1322" s="42"/>
    </row>
    <row r="1323" spans="2:4" ht="16" thickBot="1" x14ac:dyDescent="0.25">
      <c r="B1323" s="5">
        <v>1318</v>
      </c>
      <c r="C1323" s="11">
        <v>231.54895660120863</v>
      </c>
      <c r="D1323" s="42"/>
    </row>
    <row r="1324" spans="2:4" ht="16" thickBot="1" x14ac:dyDescent="0.25">
      <c r="B1324" s="4">
        <v>1319</v>
      </c>
      <c r="C1324" s="10">
        <v>409.26790624067621</v>
      </c>
      <c r="D1324" s="42"/>
    </row>
    <row r="1325" spans="2:4" ht="16" thickBot="1" x14ac:dyDescent="0.25">
      <c r="B1325" s="5">
        <v>1320</v>
      </c>
      <c r="C1325" s="11">
        <v>221.97528745083426</v>
      </c>
      <c r="D1325" s="42"/>
    </row>
    <row r="1326" spans="2:4" ht="16" thickBot="1" x14ac:dyDescent="0.25">
      <c r="B1326" s="4">
        <v>1321</v>
      </c>
      <c r="C1326" s="10">
        <v>492.57375155952349</v>
      </c>
      <c r="D1326" s="42"/>
    </row>
    <row r="1327" spans="2:4" ht="16" thickBot="1" x14ac:dyDescent="0.25">
      <c r="B1327" s="5">
        <v>1322</v>
      </c>
      <c r="C1327" s="11">
        <v>124.13439136127158</v>
      </c>
      <c r="D1327" s="42"/>
    </row>
    <row r="1328" spans="2:4" ht="16" thickBot="1" x14ac:dyDescent="0.25">
      <c r="B1328" s="4">
        <v>1323</v>
      </c>
      <c r="C1328" s="10">
        <v>552.57431406656644</v>
      </c>
      <c r="D1328" s="42"/>
    </row>
    <row r="1329" spans="2:4" ht="16" thickBot="1" x14ac:dyDescent="0.25">
      <c r="B1329" s="5">
        <v>1324</v>
      </c>
      <c r="C1329" s="11">
        <v>528.26166638100847</v>
      </c>
      <c r="D1329" s="42"/>
    </row>
    <row r="1330" spans="2:4" ht="16" thickBot="1" x14ac:dyDescent="0.25">
      <c r="B1330" s="4">
        <v>1325</v>
      </c>
      <c r="C1330" s="10">
        <v>326.85962324806746</v>
      </c>
      <c r="D1330" s="42"/>
    </row>
    <row r="1331" spans="2:4" ht="16" thickBot="1" x14ac:dyDescent="0.25">
      <c r="B1331" s="5">
        <v>1326</v>
      </c>
      <c r="C1331" s="11">
        <v>674.23155753796368</v>
      </c>
      <c r="D1331" s="42"/>
    </row>
    <row r="1332" spans="2:4" ht="16" thickBot="1" x14ac:dyDescent="0.25">
      <c r="B1332" s="4">
        <v>1327</v>
      </c>
      <c r="C1332" s="10">
        <v>508.26167277721169</v>
      </c>
      <c r="D1332" s="42"/>
    </row>
    <row r="1333" spans="2:4" ht="16" thickBot="1" x14ac:dyDescent="0.25">
      <c r="B1333" s="5">
        <v>1328</v>
      </c>
      <c r="C1333" s="11">
        <v>375.06238999968951</v>
      </c>
      <c r="D1333" s="42"/>
    </row>
    <row r="1334" spans="2:4" ht="16" thickBot="1" x14ac:dyDescent="0.25">
      <c r="B1334" s="4">
        <v>1329</v>
      </c>
      <c r="C1334" s="10">
        <v>101.84837812333231</v>
      </c>
      <c r="D1334" s="42"/>
    </row>
    <row r="1335" spans="2:4" ht="16" thickBot="1" x14ac:dyDescent="0.25">
      <c r="B1335" s="5">
        <v>1330</v>
      </c>
      <c r="C1335" s="11">
        <v>288.44516056672614</v>
      </c>
      <c r="D1335" s="42"/>
    </row>
    <row r="1336" spans="2:4" ht="16" thickBot="1" x14ac:dyDescent="0.25">
      <c r="B1336" s="4">
        <v>1331</v>
      </c>
      <c r="C1336" s="10">
        <v>326.48662627360335</v>
      </c>
      <c r="D1336" s="42"/>
    </row>
    <row r="1337" spans="2:4" ht="16" thickBot="1" x14ac:dyDescent="0.25">
      <c r="B1337" s="5">
        <v>1332</v>
      </c>
      <c r="C1337" s="11">
        <v>568.31840521979177</v>
      </c>
      <c r="D1337" s="42"/>
    </row>
    <row r="1338" spans="2:4" ht="16" thickBot="1" x14ac:dyDescent="0.25">
      <c r="B1338" s="4">
        <v>1333</v>
      </c>
      <c r="C1338" s="10">
        <v>237.99593567247422</v>
      </c>
      <c r="D1338" s="42"/>
    </row>
    <row r="1339" spans="2:4" ht="16" thickBot="1" x14ac:dyDescent="0.25">
      <c r="B1339" s="5">
        <v>1334</v>
      </c>
      <c r="C1339" s="11">
        <v>339.801875053277</v>
      </c>
      <c r="D1339" s="42"/>
    </row>
    <row r="1340" spans="2:4" ht="16" thickBot="1" x14ac:dyDescent="0.25">
      <c r="B1340" s="4">
        <v>1335</v>
      </c>
      <c r="C1340" s="10">
        <v>143.28603765588261</v>
      </c>
      <c r="D1340" s="42"/>
    </row>
    <row r="1341" spans="2:4" ht="16" thickBot="1" x14ac:dyDescent="0.25">
      <c r="B1341" s="5">
        <v>1336</v>
      </c>
      <c r="C1341" s="11">
        <v>238.39123021856784</v>
      </c>
      <c r="D1341" s="42"/>
    </row>
    <row r="1342" spans="2:4" ht="16" thickBot="1" x14ac:dyDescent="0.25">
      <c r="B1342" s="4">
        <v>1337</v>
      </c>
      <c r="C1342" s="10">
        <v>120.93673330037221</v>
      </c>
      <c r="D1342" s="42"/>
    </row>
    <row r="1343" spans="2:4" ht="16" thickBot="1" x14ac:dyDescent="0.25">
      <c r="B1343" s="5">
        <v>1338</v>
      </c>
      <c r="C1343" s="11">
        <v>86.744253202287354</v>
      </c>
      <c r="D1343" s="42"/>
    </row>
    <row r="1344" spans="2:4" ht="16" thickBot="1" x14ac:dyDescent="0.25">
      <c r="B1344" s="4">
        <v>1339</v>
      </c>
      <c r="C1344" s="10">
        <v>143.15569572585284</v>
      </c>
      <c r="D1344" s="42"/>
    </row>
    <row r="1345" spans="2:4" ht="16" thickBot="1" x14ac:dyDescent="0.25">
      <c r="B1345" s="5">
        <v>1340</v>
      </c>
      <c r="C1345" s="11">
        <v>199.71819958259678</v>
      </c>
      <c r="D1345" s="42"/>
    </row>
    <row r="1346" spans="2:4" ht="16" thickBot="1" x14ac:dyDescent="0.25">
      <c r="B1346" s="4">
        <v>1341</v>
      </c>
      <c r="C1346" s="10">
        <v>559.68617521171177</v>
      </c>
      <c r="D1346" s="42"/>
    </row>
    <row r="1347" spans="2:4" ht="16" thickBot="1" x14ac:dyDescent="0.25">
      <c r="B1347" s="5">
        <v>1342</v>
      </c>
      <c r="C1347" s="11">
        <v>316.69270574736612</v>
      </c>
      <c r="D1347" s="42"/>
    </row>
    <row r="1348" spans="2:4" ht="16" thickBot="1" x14ac:dyDescent="0.25">
      <c r="B1348" s="4">
        <v>1343</v>
      </c>
      <c r="C1348" s="10">
        <v>20.241619969717288</v>
      </c>
      <c r="D1348" s="42"/>
    </row>
    <row r="1349" spans="2:4" ht="16" thickBot="1" x14ac:dyDescent="0.25">
      <c r="B1349" s="5">
        <v>1344</v>
      </c>
      <c r="C1349" s="11">
        <v>427.69171530659031</v>
      </c>
      <c r="D1349" s="42"/>
    </row>
    <row r="1350" spans="2:4" ht="16" thickBot="1" x14ac:dyDescent="0.25">
      <c r="B1350" s="4">
        <v>1345</v>
      </c>
      <c r="C1350" s="10">
        <v>159.19044527082767</v>
      </c>
      <c r="D1350" s="42"/>
    </row>
    <row r="1351" spans="2:4" ht="16" thickBot="1" x14ac:dyDescent="0.25">
      <c r="B1351" s="5">
        <v>1346</v>
      </c>
      <c r="C1351" s="11">
        <v>223.56706725148962</v>
      </c>
      <c r="D1351" s="42"/>
    </row>
    <row r="1352" spans="2:4" ht="16" thickBot="1" x14ac:dyDescent="0.25">
      <c r="B1352" s="4">
        <v>1347</v>
      </c>
      <c r="C1352" s="10">
        <v>146.58733477215659</v>
      </c>
      <c r="D1352" s="42"/>
    </row>
    <row r="1353" spans="2:4" ht="16" thickBot="1" x14ac:dyDescent="0.25">
      <c r="B1353" s="5">
        <v>1348</v>
      </c>
      <c r="C1353" s="11">
        <v>112.6167631312327</v>
      </c>
      <c r="D1353" s="42"/>
    </row>
    <row r="1354" spans="2:4" ht="16" thickBot="1" x14ac:dyDescent="0.25">
      <c r="B1354" s="4">
        <v>1349</v>
      </c>
      <c r="C1354" s="10">
        <v>98.074092936574331</v>
      </c>
      <c r="D1354" s="42"/>
    </row>
    <row r="1355" spans="2:4" ht="16" thickBot="1" x14ac:dyDescent="0.25">
      <c r="B1355" s="5">
        <v>1350</v>
      </c>
      <c r="C1355" s="11">
        <v>151.96342798306952</v>
      </c>
      <c r="D1355" s="42"/>
    </row>
    <row r="1356" spans="2:4" ht="16" thickBot="1" x14ac:dyDescent="0.25">
      <c r="B1356" s="4">
        <v>1351</v>
      </c>
      <c r="C1356" s="10">
        <v>391.04649828653112</v>
      </c>
      <c r="D1356" s="42"/>
    </row>
    <row r="1357" spans="2:4" ht="16" thickBot="1" x14ac:dyDescent="0.25">
      <c r="B1357" s="5">
        <v>1352</v>
      </c>
      <c r="C1357" s="11">
        <v>329.01669730805918</v>
      </c>
      <c r="D1357" s="42"/>
    </row>
    <row r="1358" spans="2:4" ht="16" thickBot="1" x14ac:dyDescent="0.25">
      <c r="B1358" s="4">
        <v>1353</v>
      </c>
      <c r="C1358" s="10">
        <v>374.29294401508724</v>
      </c>
      <c r="D1358" s="42"/>
    </row>
    <row r="1359" spans="2:4" ht="16" thickBot="1" x14ac:dyDescent="0.25">
      <c r="B1359" s="5">
        <v>1354</v>
      </c>
      <c r="C1359" s="11">
        <v>201.40063779597779</v>
      </c>
      <c r="D1359" s="42"/>
    </row>
    <row r="1360" spans="2:4" ht="16" thickBot="1" x14ac:dyDescent="0.25">
      <c r="B1360" s="4">
        <v>1355</v>
      </c>
      <c r="C1360" s="10">
        <v>326.68183171845754</v>
      </c>
      <c r="D1360" s="42"/>
    </row>
    <row r="1361" spans="2:4" ht="16" thickBot="1" x14ac:dyDescent="0.25">
      <c r="B1361" s="5">
        <v>1356</v>
      </c>
      <c r="C1361" s="11">
        <v>64.262929004603549</v>
      </c>
      <c r="D1361" s="42"/>
    </row>
    <row r="1362" spans="2:4" ht="16" thickBot="1" x14ac:dyDescent="0.25">
      <c r="B1362" s="4">
        <v>1357</v>
      </c>
      <c r="C1362" s="10">
        <v>201.52922864690805</v>
      </c>
      <c r="D1362" s="42"/>
    </row>
    <row r="1363" spans="2:4" ht="16" thickBot="1" x14ac:dyDescent="0.25">
      <c r="B1363" s="5">
        <v>1358</v>
      </c>
      <c r="C1363" s="11">
        <v>149.50607209284576</v>
      </c>
      <c r="D1363" s="42"/>
    </row>
    <row r="1364" spans="2:4" ht="16" thickBot="1" x14ac:dyDescent="0.25">
      <c r="B1364" s="4">
        <v>1359</v>
      </c>
      <c r="C1364" s="10">
        <v>215.24317714575213</v>
      </c>
      <c r="D1364" s="42"/>
    </row>
    <row r="1365" spans="2:4" ht="16" thickBot="1" x14ac:dyDescent="0.25">
      <c r="B1365" s="5">
        <v>1360</v>
      </c>
      <c r="C1365" s="11">
        <v>210.41221057382384</v>
      </c>
      <c r="D1365" s="42"/>
    </row>
    <row r="1366" spans="2:4" ht="16" thickBot="1" x14ac:dyDescent="0.25">
      <c r="B1366" s="4">
        <v>1361</v>
      </c>
      <c r="C1366" s="10">
        <v>127.10784143640342</v>
      </c>
      <c r="D1366" s="42"/>
    </row>
    <row r="1367" spans="2:4" ht="16" thickBot="1" x14ac:dyDescent="0.25">
      <c r="B1367" s="5">
        <v>1362</v>
      </c>
      <c r="C1367" s="11">
        <v>481.11342373676098</v>
      </c>
      <c r="D1367" s="42"/>
    </row>
    <row r="1368" spans="2:4" ht="16" thickBot="1" x14ac:dyDescent="0.25">
      <c r="B1368" s="4">
        <v>1363</v>
      </c>
      <c r="C1368" s="10">
        <v>328.44818983548777</v>
      </c>
      <c r="D1368" s="42"/>
    </row>
    <row r="1369" spans="2:4" ht="16" thickBot="1" x14ac:dyDescent="0.25">
      <c r="B1369" s="5">
        <v>1364</v>
      </c>
      <c r="C1369" s="11">
        <v>365.69111231788321</v>
      </c>
      <c r="D1369" s="42"/>
    </row>
    <row r="1370" spans="2:4" ht="16" thickBot="1" x14ac:dyDescent="0.25">
      <c r="B1370" s="4">
        <v>1365</v>
      </c>
      <c r="C1370" s="10">
        <v>280.23335387837665</v>
      </c>
      <c r="D1370" s="42"/>
    </row>
    <row r="1371" spans="2:4" ht="16" thickBot="1" x14ac:dyDescent="0.25">
      <c r="B1371" s="5">
        <v>1366</v>
      </c>
      <c r="C1371" s="11">
        <v>453.87551866185959</v>
      </c>
      <c r="D1371" s="42"/>
    </row>
    <row r="1372" spans="2:4" ht="16" thickBot="1" x14ac:dyDescent="0.25">
      <c r="B1372" s="4">
        <v>1367</v>
      </c>
      <c r="C1372" s="10">
        <v>21.89474906907294</v>
      </c>
      <c r="D1372" s="42"/>
    </row>
    <row r="1373" spans="2:4" ht="16" thickBot="1" x14ac:dyDescent="0.25">
      <c r="B1373" s="5">
        <v>1368</v>
      </c>
      <c r="C1373" s="11">
        <v>237.53594824657273</v>
      </c>
      <c r="D1373" s="42"/>
    </row>
    <row r="1374" spans="2:4" ht="16" thickBot="1" x14ac:dyDescent="0.25">
      <c r="B1374" s="4">
        <v>1369</v>
      </c>
      <c r="C1374" s="10">
        <v>149.88474894955203</v>
      </c>
      <c r="D1374" s="42"/>
    </row>
    <row r="1375" spans="2:4" ht="16" thickBot="1" x14ac:dyDescent="0.25">
      <c r="B1375" s="5">
        <v>1370</v>
      </c>
      <c r="C1375" s="11">
        <v>200.78506745906842</v>
      </c>
      <c r="D1375" s="42"/>
    </row>
    <row r="1376" spans="2:4" ht="16" thickBot="1" x14ac:dyDescent="0.25">
      <c r="B1376" s="4">
        <v>1371</v>
      </c>
      <c r="C1376" s="10">
        <v>195.40048151665752</v>
      </c>
      <c r="D1376" s="42"/>
    </row>
    <row r="1377" spans="2:4" ht="16" thickBot="1" x14ac:dyDescent="0.25">
      <c r="B1377" s="5">
        <v>1372</v>
      </c>
      <c r="C1377" s="11">
        <v>188.96662705934679</v>
      </c>
      <c r="D1377" s="42"/>
    </row>
    <row r="1378" spans="2:4" ht="16" thickBot="1" x14ac:dyDescent="0.25">
      <c r="B1378" s="4">
        <v>1373</v>
      </c>
      <c r="C1378" s="10">
        <v>194.69906511977823</v>
      </c>
      <c r="D1378" s="42"/>
    </row>
    <row r="1379" spans="2:4" ht="16" thickBot="1" x14ac:dyDescent="0.25">
      <c r="B1379" s="5">
        <v>1374</v>
      </c>
      <c r="C1379" s="11">
        <v>211.85437795316631</v>
      </c>
      <c r="D1379" s="42"/>
    </row>
    <row r="1380" spans="2:4" ht="16" thickBot="1" x14ac:dyDescent="0.25">
      <c r="B1380" s="4">
        <v>1375</v>
      </c>
      <c r="C1380" s="10">
        <v>199.36573002501018</v>
      </c>
      <c r="D1380" s="42"/>
    </row>
    <row r="1381" spans="2:4" ht="16" thickBot="1" x14ac:dyDescent="0.25">
      <c r="B1381" s="5">
        <v>1376</v>
      </c>
      <c r="C1381" s="11">
        <v>369.24442928538195</v>
      </c>
      <c r="D1381" s="42"/>
    </row>
    <row r="1382" spans="2:4" ht="16" thickBot="1" x14ac:dyDescent="0.25">
      <c r="B1382" s="4">
        <v>1377</v>
      </c>
      <c r="C1382" s="10">
        <v>289.65684254450076</v>
      </c>
      <c r="D1382" s="42"/>
    </row>
    <row r="1383" spans="2:4" ht="16" thickBot="1" x14ac:dyDescent="0.25">
      <c r="B1383" s="5">
        <v>1378</v>
      </c>
      <c r="C1383" s="11">
        <v>747.09970505995932</v>
      </c>
      <c r="D1383" s="42"/>
    </row>
    <row r="1384" spans="2:4" ht="16" thickBot="1" x14ac:dyDescent="0.25">
      <c r="B1384" s="4">
        <v>1379</v>
      </c>
      <c r="C1384" s="10">
        <v>180.49269546977646</v>
      </c>
      <c r="D1384" s="42"/>
    </row>
    <row r="1385" spans="2:4" ht="16" thickBot="1" x14ac:dyDescent="0.25">
      <c r="B1385" s="5">
        <v>1380</v>
      </c>
      <c r="C1385" s="11">
        <v>382.8305923009105</v>
      </c>
      <c r="D1385" s="42"/>
    </row>
    <row r="1386" spans="2:4" ht="16" thickBot="1" x14ac:dyDescent="0.25">
      <c r="B1386" s="4">
        <v>1381</v>
      </c>
      <c r="C1386" s="10">
        <v>351.30676626061268</v>
      </c>
      <c r="D1386" s="42"/>
    </row>
    <row r="1387" spans="2:4" ht="16" thickBot="1" x14ac:dyDescent="0.25">
      <c r="B1387" s="5">
        <v>1382</v>
      </c>
      <c r="C1387" s="11">
        <v>174.87754097445335</v>
      </c>
      <c r="D1387" s="42"/>
    </row>
    <row r="1388" spans="2:4" ht="16" thickBot="1" x14ac:dyDescent="0.25">
      <c r="B1388" s="4">
        <v>1383</v>
      </c>
      <c r="C1388" s="10">
        <v>181.87806468934511</v>
      </c>
      <c r="D1388" s="42"/>
    </row>
    <row r="1389" spans="2:4" ht="16" thickBot="1" x14ac:dyDescent="0.25">
      <c r="B1389" s="5">
        <v>1384</v>
      </c>
      <c r="C1389" s="11">
        <v>97.789157655038238</v>
      </c>
      <c r="D1389" s="42"/>
    </row>
    <row r="1390" spans="2:4" ht="16" thickBot="1" x14ac:dyDescent="0.25">
      <c r="B1390" s="4">
        <v>1385</v>
      </c>
      <c r="C1390" s="10">
        <v>591.7616771703149</v>
      </c>
      <c r="D1390" s="42"/>
    </row>
    <row r="1391" spans="2:4" ht="16" thickBot="1" x14ac:dyDescent="0.25">
      <c r="B1391" s="5">
        <v>1386</v>
      </c>
      <c r="C1391" s="11">
        <v>295.48182985163362</v>
      </c>
      <c r="D1391" s="42"/>
    </row>
    <row r="1392" spans="2:4" ht="16" thickBot="1" x14ac:dyDescent="0.25">
      <c r="B1392" s="4">
        <v>1387</v>
      </c>
      <c r="C1392" s="10">
        <v>105.20148583777713</v>
      </c>
      <c r="D1392" s="42"/>
    </row>
    <row r="1393" spans="2:4" ht="16" thickBot="1" x14ac:dyDescent="0.25">
      <c r="B1393" s="5">
        <v>1388</v>
      </c>
      <c r="C1393" s="11">
        <v>349.31765524150046</v>
      </c>
      <c r="D1393" s="42"/>
    </row>
    <row r="1394" spans="2:4" ht="16" thickBot="1" x14ac:dyDescent="0.25">
      <c r="B1394" s="4">
        <v>1389</v>
      </c>
      <c r="C1394" s="10">
        <v>470.17639561486811</v>
      </c>
      <c r="D1394" s="42"/>
    </row>
    <row r="1395" spans="2:4" ht="16" thickBot="1" x14ac:dyDescent="0.25">
      <c r="B1395" s="5">
        <v>1390</v>
      </c>
      <c r="C1395" s="11">
        <v>360.59708475727808</v>
      </c>
      <c r="D1395" s="42"/>
    </row>
    <row r="1396" spans="2:4" ht="16" thickBot="1" x14ac:dyDescent="0.25">
      <c r="B1396" s="4">
        <v>1391</v>
      </c>
      <c r="C1396" s="10">
        <v>277.063510458152</v>
      </c>
      <c r="D1396" s="42"/>
    </row>
    <row r="1397" spans="2:4" ht="16" thickBot="1" x14ac:dyDescent="0.25">
      <c r="B1397" s="5">
        <v>1392</v>
      </c>
      <c r="C1397" s="11">
        <v>478.06774020197071</v>
      </c>
      <c r="D1397" s="42"/>
    </row>
    <row r="1398" spans="2:4" ht="16" thickBot="1" x14ac:dyDescent="0.25">
      <c r="B1398" s="4">
        <v>1393</v>
      </c>
      <c r="C1398" s="10">
        <v>266.80438114380047</v>
      </c>
      <c r="D1398" s="42"/>
    </row>
    <row r="1399" spans="2:4" ht="16" thickBot="1" x14ac:dyDescent="0.25">
      <c r="B1399" s="5">
        <v>1394</v>
      </c>
      <c r="C1399" s="11">
        <v>238.88774082062801</v>
      </c>
      <c r="D1399" s="42"/>
    </row>
    <row r="1400" spans="2:4" ht="16" thickBot="1" x14ac:dyDescent="0.25">
      <c r="B1400" s="4">
        <v>1395</v>
      </c>
      <c r="C1400" s="10">
        <v>133.90763544167865</v>
      </c>
      <c r="D1400" s="42"/>
    </row>
    <row r="1401" spans="2:4" ht="16" thickBot="1" x14ac:dyDescent="0.25">
      <c r="B1401" s="5">
        <v>1396</v>
      </c>
      <c r="C1401" s="11">
        <v>217.22602249284986</v>
      </c>
      <c r="D1401" s="42"/>
    </row>
    <row r="1402" spans="2:4" ht="16" thickBot="1" x14ac:dyDescent="0.25">
      <c r="B1402" s="4">
        <v>1397</v>
      </c>
      <c r="C1402" s="10">
        <v>496.13254468514793</v>
      </c>
      <c r="D1402" s="42"/>
    </row>
    <row r="1403" spans="2:4" ht="16" thickBot="1" x14ac:dyDescent="0.25">
      <c r="B1403" s="5">
        <v>1398</v>
      </c>
      <c r="C1403" s="11">
        <v>198.12363322440572</v>
      </c>
      <c r="D1403" s="42"/>
    </row>
    <row r="1404" spans="2:4" ht="16" thickBot="1" x14ac:dyDescent="0.25">
      <c r="B1404" s="4">
        <v>1399</v>
      </c>
      <c r="C1404" s="10">
        <v>132.14108046329031</v>
      </c>
      <c r="D1404" s="42"/>
    </row>
    <row r="1405" spans="2:4" ht="16" thickBot="1" x14ac:dyDescent="0.25">
      <c r="B1405" s="5">
        <v>1400</v>
      </c>
      <c r="C1405" s="11">
        <v>267.85092247977514</v>
      </c>
      <c r="D1405" s="42"/>
    </row>
    <row r="1406" spans="2:4" ht="16" thickBot="1" x14ac:dyDescent="0.25">
      <c r="B1406" s="4">
        <v>1401</v>
      </c>
      <c r="C1406" s="10">
        <v>302.9003792554995</v>
      </c>
      <c r="D1406" s="42"/>
    </row>
    <row r="1407" spans="2:4" ht="16" thickBot="1" x14ac:dyDescent="0.25">
      <c r="B1407" s="5">
        <v>1402</v>
      </c>
      <c r="C1407" s="11">
        <v>358.7844498104833</v>
      </c>
      <c r="D1407" s="42"/>
    </row>
    <row r="1408" spans="2:4" ht="16" thickBot="1" x14ac:dyDescent="0.25">
      <c r="B1408" s="4">
        <v>1403</v>
      </c>
      <c r="C1408" s="10">
        <v>108.74050241057158</v>
      </c>
      <c r="D1408" s="42"/>
    </row>
    <row r="1409" spans="2:4" ht="16" thickBot="1" x14ac:dyDescent="0.25">
      <c r="B1409" s="5">
        <v>1404</v>
      </c>
      <c r="C1409" s="11">
        <v>152.58419809705566</v>
      </c>
      <c r="D1409" s="42"/>
    </row>
    <row r="1410" spans="2:4" ht="16" thickBot="1" x14ac:dyDescent="0.25">
      <c r="B1410" s="4">
        <v>1405</v>
      </c>
      <c r="C1410" s="10">
        <v>306.31643036196243</v>
      </c>
      <c r="D1410" s="42"/>
    </row>
    <row r="1411" spans="2:4" ht="16" thickBot="1" x14ac:dyDescent="0.25">
      <c r="B1411" s="5">
        <v>1406</v>
      </c>
      <c r="C1411" s="11">
        <v>375.33718839534197</v>
      </c>
      <c r="D1411" s="42"/>
    </row>
    <row r="1412" spans="2:4" ht="16" thickBot="1" x14ac:dyDescent="0.25">
      <c r="B1412" s="4">
        <v>1407</v>
      </c>
      <c r="C1412" s="10">
        <v>105.58542924945895</v>
      </c>
      <c r="D1412" s="42"/>
    </row>
    <row r="1413" spans="2:4" ht="16" thickBot="1" x14ac:dyDescent="0.25">
      <c r="B1413" s="5">
        <v>1408</v>
      </c>
      <c r="C1413" s="11">
        <v>458.94886839608137</v>
      </c>
      <c r="D1413" s="42"/>
    </row>
    <row r="1414" spans="2:4" ht="16" thickBot="1" x14ac:dyDescent="0.25">
      <c r="B1414" s="4">
        <v>1409</v>
      </c>
      <c r="C1414" s="10">
        <v>295.60181141690219</v>
      </c>
      <c r="D1414" s="42"/>
    </row>
    <row r="1415" spans="2:4" ht="16" thickBot="1" x14ac:dyDescent="0.25">
      <c r="B1415" s="5">
        <v>1410</v>
      </c>
      <c r="C1415" s="11">
        <v>210.70158938728815</v>
      </c>
      <c r="D1415" s="42"/>
    </row>
    <row r="1416" spans="2:4" ht="16" thickBot="1" x14ac:dyDescent="0.25">
      <c r="B1416" s="4">
        <v>1411</v>
      </c>
      <c r="C1416" s="10">
        <v>274.1305152434964</v>
      </c>
      <c r="D1416" s="42"/>
    </row>
    <row r="1417" spans="2:4" ht="16" thickBot="1" x14ac:dyDescent="0.25">
      <c r="B1417" s="5">
        <v>1412</v>
      </c>
      <c r="C1417" s="11">
        <v>276.85638257596963</v>
      </c>
      <c r="D1417" s="42"/>
    </row>
    <row r="1418" spans="2:4" ht="16" thickBot="1" x14ac:dyDescent="0.25">
      <c r="B1418" s="4">
        <v>1413</v>
      </c>
      <c r="C1418" s="10">
        <v>242.27038271731823</v>
      </c>
      <c r="D1418" s="42"/>
    </row>
    <row r="1419" spans="2:4" ht="16" thickBot="1" x14ac:dyDescent="0.25">
      <c r="B1419" s="5">
        <v>1414</v>
      </c>
      <c r="C1419" s="11">
        <v>430.83781833832876</v>
      </c>
      <c r="D1419" s="42"/>
    </row>
    <row r="1420" spans="2:4" ht="16" thickBot="1" x14ac:dyDescent="0.25">
      <c r="B1420" s="4">
        <v>1415</v>
      </c>
      <c r="C1420" s="10">
        <v>37.374260474489979</v>
      </c>
      <c r="D1420" s="42"/>
    </row>
    <row r="1421" spans="2:4" ht="16" thickBot="1" x14ac:dyDescent="0.25">
      <c r="B1421" s="5">
        <v>1416</v>
      </c>
      <c r="C1421" s="11">
        <v>113.08207945028259</v>
      </c>
      <c r="D1421" s="42"/>
    </row>
    <row r="1422" spans="2:4" ht="16" thickBot="1" x14ac:dyDescent="0.25">
      <c r="B1422" s="4">
        <v>1417</v>
      </c>
      <c r="C1422" s="10">
        <v>515.70285002679361</v>
      </c>
      <c r="D1422" s="42"/>
    </row>
    <row r="1423" spans="2:4" ht="16" thickBot="1" x14ac:dyDescent="0.25">
      <c r="B1423" s="5">
        <v>1418</v>
      </c>
      <c r="C1423" s="11">
        <v>309.84636792904422</v>
      </c>
      <c r="D1423" s="42"/>
    </row>
    <row r="1424" spans="2:4" ht="16" thickBot="1" x14ac:dyDescent="0.25">
      <c r="B1424" s="4">
        <v>1419</v>
      </c>
      <c r="C1424" s="10">
        <v>327.49066876382767</v>
      </c>
      <c r="D1424" s="42"/>
    </row>
    <row r="1425" spans="2:4" ht="16" thickBot="1" x14ac:dyDescent="0.25">
      <c r="B1425" s="5">
        <v>1420</v>
      </c>
      <c r="C1425" s="11">
        <v>270.09722115930936</v>
      </c>
      <c r="D1425" s="42"/>
    </row>
    <row r="1426" spans="2:4" ht="16" thickBot="1" x14ac:dyDescent="0.25">
      <c r="B1426" s="4">
        <v>1421</v>
      </c>
      <c r="C1426" s="10">
        <v>170.49533783287239</v>
      </c>
      <c r="D1426" s="42"/>
    </row>
    <row r="1427" spans="2:4" ht="16" thickBot="1" x14ac:dyDescent="0.25">
      <c r="B1427" s="5">
        <v>1422</v>
      </c>
      <c r="C1427" s="11">
        <v>241.17845315638957</v>
      </c>
      <c r="D1427" s="42"/>
    </row>
    <row r="1428" spans="2:4" ht="16" thickBot="1" x14ac:dyDescent="0.25">
      <c r="B1428" s="4">
        <v>1423</v>
      </c>
      <c r="C1428" s="10">
        <v>113.84987787135691</v>
      </c>
      <c r="D1428" s="42"/>
    </row>
    <row r="1429" spans="2:4" ht="16" thickBot="1" x14ac:dyDescent="0.25">
      <c r="B1429" s="5">
        <v>1424</v>
      </c>
      <c r="C1429" s="11">
        <v>94.43966787596338</v>
      </c>
      <c r="D1429" s="42"/>
    </row>
    <row r="1430" spans="2:4" ht="16" thickBot="1" x14ac:dyDescent="0.25">
      <c r="B1430" s="4">
        <v>1425</v>
      </c>
      <c r="C1430" s="10">
        <v>130.86255321099046</v>
      </c>
      <c r="D1430" s="42"/>
    </row>
    <row r="1431" spans="2:4" ht="16" thickBot="1" x14ac:dyDescent="0.25">
      <c r="B1431" s="5">
        <v>1426</v>
      </c>
      <c r="C1431" s="11">
        <v>64.625192956003701</v>
      </c>
      <c r="D1431" s="42"/>
    </row>
    <row r="1432" spans="2:4" ht="16" thickBot="1" x14ac:dyDescent="0.25">
      <c r="B1432" s="4">
        <v>1427</v>
      </c>
      <c r="C1432" s="10">
        <v>116.08547143964017</v>
      </c>
      <c r="D1432" s="42"/>
    </row>
    <row r="1433" spans="2:4" ht="16" thickBot="1" x14ac:dyDescent="0.25">
      <c r="B1433" s="5">
        <v>1428</v>
      </c>
      <c r="C1433" s="11">
        <v>195.1760975807822</v>
      </c>
      <c r="D1433" s="42"/>
    </row>
    <row r="1434" spans="2:4" ht="16" thickBot="1" x14ac:dyDescent="0.25">
      <c r="B1434" s="4">
        <v>1429</v>
      </c>
      <c r="C1434" s="10">
        <v>211.81014784193297</v>
      </c>
      <c r="D1434" s="42"/>
    </row>
    <row r="1435" spans="2:4" ht="16" thickBot="1" x14ac:dyDescent="0.25">
      <c r="B1435" s="5">
        <v>1430</v>
      </c>
      <c r="C1435" s="11">
        <v>225.57384018626104</v>
      </c>
      <c r="D1435" s="42"/>
    </row>
    <row r="1436" spans="2:4" ht="16" thickBot="1" x14ac:dyDescent="0.25">
      <c r="B1436" s="4">
        <v>1431</v>
      </c>
      <c r="C1436" s="10">
        <v>213.48597951918848</v>
      </c>
      <c r="D1436" s="42"/>
    </row>
    <row r="1437" spans="2:4" ht="16" thickBot="1" x14ac:dyDescent="0.25">
      <c r="B1437" s="5">
        <v>1432</v>
      </c>
      <c r="C1437" s="11">
        <v>107.52599295029331</v>
      </c>
      <c r="D1437" s="42"/>
    </row>
    <row r="1438" spans="2:4" ht="16" thickBot="1" x14ac:dyDescent="0.25">
      <c r="B1438" s="4">
        <v>1433</v>
      </c>
      <c r="C1438" s="10">
        <v>237.82453317865358</v>
      </c>
      <c r="D1438" s="42"/>
    </row>
    <row r="1439" spans="2:4" ht="16" thickBot="1" x14ac:dyDescent="0.25">
      <c r="B1439" s="5">
        <v>1434</v>
      </c>
      <c r="C1439" s="11">
        <v>472.12162553208333</v>
      </c>
      <c r="D1439" s="42"/>
    </row>
    <row r="1440" spans="2:4" ht="16" thickBot="1" x14ac:dyDescent="0.25">
      <c r="B1440" s="4">
        <v>1435</v>
      </c>
      <c r="C1440" s="10">
        <v>171.05821426194407</v>
      </c>
      <c r="D1440" s="42"/>
    </row>
    <row r="1441" spans="2:4" ht="16" thickBot="1" x14ac:dyDescent="0.25">
      <c r="B1441" s="5">
        <v>1436</v>
      </c>
      <c r="C1441" s="11">
        <v>625.45593240441156</v>
      </c>
      <c r="D1441" s="42"/>
    </row>
    <row r="1442" spans="2:4" ht="16" thickBot="1" x14ac:dyDescent="0.25">
      <c r="B1442" s="4">
        <v>1437</v>
      </c>
      <c r="C1442" s="10">
        <v>64.68390278715512</v>
      </c>
      <c r="D1442" s="42"/>
    </row>
    <row r="1443" spans="2:4" ht="16" thickBot="1" x14ac:dyDescent="0.25">
      <c r="B1443" s="5">
        <v>1438</v>
      </c>
      <c r="C1443" s="11">
        <v>210.00200302585836</v>
      </c>
      <c r="D1443" s="42"/>
    </row>
    <row r="1444" spans="2:4" ht="16" thickBot="1" x14ac:dyDescent="0.25">
      <c r="B1444" s="4">
        <v>1439</v>
      </c>
      <c r="C1444" s="10">
        <v>478.48437482329422</v>
      </c>
      <c r="D1444" s="42"/>
    </row>
    <row r="1445" spans="2:4" ht="16" thickBot="1" x14ac:dyDescent="0.25">
      <c r="B1445" s="5">
        <v>1440</v>
      </c>
      <c r="C1445" s="11">
        <v>184.54562827710348</v>
      </c>
      <c r="D1445" s="42"/>
    </row>
    <row r="1446" spans="2:4" ht="16" thickBot="1" x14ac:dyDescent="0.25">
      <c r="B1446" s="4">
        <v>1441</v>
      </c>
      <c r="C1446" s="10">
        <v>331.47702531161298</v>
      </c>
      <c r="D1446" s="42"/>
    </row>
    <row r="1447" spans="2:4" ht="16" thickBot="1" x14ac:dyDescent="0.25">
      <c r="B1447" s="5">
        <v>1442</v>
      </c>
      <c r="C1447" s="11">
        <v>144.69215513142908</v>
      </c>
      <c r="D1447" s="42"/>
    </row>
    <row r="1448" spans="2:4" ht="16" thickBot="1" x14ac:dyDescent="0.25">
      <c r="B1448" s="4">
        <v>1443</v>
      </c>
      <c r="C1448" s="10">
        <v>267.32410158275695</v>
      </c>
      <c r="D1448" s="42"/>
    </row>
    <row r="1449" spans="2:4" ht="16" thickBot="1" x14ac:dyDescent="0.25">
      <c r="B1449" s="5">
        <v>1444</v>
      </c>
      <c r="C1449" s="11">
        <v>389.4113117039808</v>
      </c>
      <c r="D1449" s="42"/>
    </row>
    <row r="1450" spans="2:4" ht="16" thickBot="1" x14ac:dyDescent="0.25">
      <c r="B1450" s="4">
        <v>1445</v>
      </c>
      <c r="C1450" s="10">
        <v>292.94747943671604</v>
      </c>
      <c r="D1450" s="42"/>
    </row>
    <row r="1451" spans="2:4" ht="16" thickBot="1" x14ac:dyDescent="0.25">
      <c r="B1451" s="5">
        <v>1446</v>
      </c>
      <c r="C1451" s="11">
        <v>67.034359542575956</v>
      </c>
      <c r="D1451" s="42"/>
    </row>
    <row r="1452" spans="2:4" ht="16" thickBot="1" x14ac:dyDescent="0.25">
      <c r="B1452" s="4">
        <v>1447</v>
      </c>
      <c r="C1452" s="10">
        <v>165.74233861156304</v>
      </c>
      <c r="D1452" s="42"/>
    </row>
    <row r="1453" spans="2:4" ht="16" thickBot="1" x14ac:dyDescent="0.25">
      <c r="B1453" s="5">
        <v>1448</v>
      </c>
      <c r="C1453" s="11">
        <v>34.943895409011773</v>
      </c>
      <c r="D1453" s="42"/>
    </row>
    <row r="1454" spans="2:4" ht="16" thickBot="1" x14ac:dyDescent="0.25">
      <c r="B1454" s="4">
        <v>1449</v>
      </c>
      <c r="C1454" s="10">
        <v>229.98307761879553</v>
      </c>
      <c r="D1454" s="42"/>
    </row>
    <row r="1455" spans="2:4" ht="16" thickBot="1" x14ac:dyDescent="0.25">
      <c r="B1455" s="5">
        <v>1450</v>
      </c>
      <c r="C1455" s="11">
        <v>710.13229211749524</v>
      </c>
      <c r="D1455" s="42"/>
    </row>
    <row r="1456" spans="2:4" ht="16" thickBot="1" x14ac:dyDescent="0.25">
      <c r="B1456" s="4">
        <v>1451</v>
      </c>
      <c r="C1456" s="10">
        <v>325.13167790928401</v>
      </c>
      <c r="D1456" s="42"/>
    </row>
    <row r="1457" spans="2:4" ht="16" thickBot="1" x14ac:dyDescent="0.25">
      <c r="B1457" s="5">
        <v>1452</v>
      </c>
      <c r="C1457" s="11">
        <v>130.5943893524377</v>
      </c>
      <c r="D1457" s="42"/>
    </row>
    <row r="1458" spans="2:4" ht="16" thickBot="1" x14ac:dyDescent="0.25">
      <c r="B1458" s="4">
        <v>1453</v>
      </c>
      <c r="C1458" s="10">
        <v>182.02224763095668</v>
      </c>
      <c r="D1458" s="42"/>
    </row>
    <row r="1459" spans="2:4" ht="16" thickBot="1" x14ac:dyDescent="0.25">
      <c r="B1459" s="5">
        <v>1454</v>
      </c>
      <c r="C1459" s="11">
        <v>333.13113808802672</v>
      </c>
      <c r="D1459" s="42"/>
    </row>
    <row r="1460" spans="2:4" ht="16" thickBot="1" x14ac:dyDescent="0.25">
      <c r="B1460" s="4">
        <v>1455</v>
      </c>
      <c r="C1460" s="10">
        <v>58.160594514392521</v>
      </c>
      <c r="D1460" s="42"/>
    </row>
    <row r="1461" spans="2:4" ht="16" thickBot="1" x14ac:dyDescent="0.25">
      <c r="B1461" s="5">
        <v>1456</v>
      </c>
      <c r="C1461" s="11">
        <v>117.88066250848681</v>
      </c>
      <c r="D1461" s="42"/>
    </row>
    <row r="1462" spans="2:4" ht="16" thickBot="1" x14ac:dyDescent="0.25">
      <c r="B1462" s="4">
        <v>1457</v>
      </c>
      <c r="C1462" s="10">
        <v>118.77657835267298</v>
      </c>
      <c r="D1462" s="42"/>
    </row>
    <row r="1463" spans="2:4" ht="16" thickBot="1" x14ac:dyDescent="0.25">
      <c r="B1463" s="5">
        <v>1458</v>
      </c>
      <c r="C1463" s="11">
        <v>406.40087140445968</v>
      </c>
      <c r="D1463" s="42"/>
    </row>
    <row r="1464" spans="2:4" ht="16" thickBot="1" x14ac:dyDescent="0.25">
      <c r="B1464" s="4">
        <v>1459</v>
      </c>
      <c r="C1464" s="10">
        <v>104.31549352020232</v>
      </c>
      <c r="D1464" s="42"/>
    </row>
    <row r="1465" spans="2:4" ht="16" thickBot="1" x14ac:dyDescent="0.25">
      <c r="B1465" s="5">
        <v>1460</v>
      </c>
      <c r="C1465" s="11">
        <v>888.6236146678026</v>
      </c>
      <c r="D1465" s="42"/>
    </row>
    <row r="1466" spans="2:4" ht="16" thickBot="1" x14ac:dyDescent="0.25">
      <c r="B1466" s="4">
        <v>1461</v>
      </c>
      <c r="C1466" s="10">
        <v>120.62350955624885</v>
      </c>
      <c r="D1466" s="42"/>
    </row>
    <row r="1467" spans="2:4" ht="16" thickBot="1" x14ac:dyDescent="0.25">
      <c r="B1467" s="5">
        <v>1462</v>
      </c>
      <c r="C1467" s="11">
        <v>177.6230618156516</v>
      </c>
      <c r="D1467" s="42"/>
    </row>
    <row r="1468" spans="2:4" ht="16" thickBot="1" x14ac:dyDescent="0.25">
      <c r="B1468" s="4">
        <v>1463</v>
      </c>
      <c r="C1468" s="10">
        <v>76.934865315010967</v>
      </c>
      <c r="D1468" s="42"/>
    </row>
    <row r="1469" spans="2:4" ht="16" thickBot="1" x14ac:dyDescent="0.25">
      <c r="B1469" s="5">
        <v>1464</v>
      </c>
      <c r="C1469" s="11">
        <v>242.85489815038616</v>
      </c>
      <c r="D1469" s="42"/>
    </row>
    <row r="1470" spans="2:4" ht="16" thickBot="1" x14ac:dyDescent="0.25">
      <c r="B1470" s="4">
        <v>1465</v>
      </c>
      <c r="C1470" s="10">
        <v>42.619265763431841</v>
      </c>
      <c r="D1470" s="42"/>
    </row>
    <row r="1471" spans="2:4" ht="16" thickBot="1" x14ac:dyDescent="0.25">
      <c r="B1471" s="5">
        <v>1466</v>
      </c>
      <c r="C1471" s="11">
        <v>258.71261502747564</v>
      </c>
      <c r="D1471" s="42"/>
    </row>
    <row r="1472" spans="2:4" ht="16" thickBot="1" x14ac:dyDescent="0.25">
      <c r="B1472" s="4">
        <v>1467</v>
      </c>
      <c r="C1472" s="10">
        <v>190.39606931170687</v>
      </c>
      <c r="D1472" s="42"/>
    </row>
    <row r="1473" spans="2:4" ht="16" thickBot="1" x14ac:dyDescent="0.25">
      <c r="B1473" s="5">
        <v>1468</v>
      </c>
      <c r="C1473" s="11">
        <v>329.29517299539299</v>
      </c>
      <c r="D1473" s="42"/>
    </row>
    <row r="1474" spans="2:4" ht="16" thickBot="1" x14ac:dyDescent="0.25">
      <c r="B1474" s="4">
        <v>1469</v>
      </c>
      <c r="C1474" s="10">
        <v>315.42719554326425</v>
      </c>
      <c r="D1474" s="42"/>
    </row>
    <row r="1475" spans="2:4" ht="16" thickBot="1" x14ac:dyDescent="0.25">
      <c r="B1475" s="5">
        <v>1470</v>
      </c>
      <c r="C1475" s="11">
        <v>230.66517336258562</v>
      </c>
      <c r="D1475" s="42"/>
    </row>
    <row r="1476" spans="2:4" ht="16" thickBot="1" x14ac:dyDescent="0.25">
      <c r="B1476" s="4">
        <v>1471</v>
      </c>
      <c r="C1476" s="10">
        <v>401.08642595801501</v>
      </c>
      <c r="D1476" s="42"/>
    </row>
    <row r="1477" spans="2:4" ht="16" thickBot="1" x14ac:dyDescent="0.25">
      <c r="B1477" s="5">
        <v>1472</v>
      </c>
      <c r="C1477" s="11">
        <v>250.11806571078318</v>
      </c>
      <c r="D1477" s="42"/>
    </row>
    <row r="1478" spans="2:4" ht="16" thickBot="1" x14ac:dyDescent="0.25">
      <c r="B1478" s="4">
        <v>1473</v>
      </c>
      <c r="C1478" s="10">
        <v>295.8806658869218</v>
      </c>
      <c r="D1478" s="42"/>
    </row>
    <row r="1479" spans="2:4" ht="16" thickBot="1" x14ac:dyDescent="0.25">
      <c r="B1479" s="5">
        <v>1474</v>
      </c>
      <c r="C1479" s="11">
        <v>163.14779585687228</v>
      </c>
      <c r="D1479" s="42"/>
    </row>
    <row r="1480" spans="2:4" ht="16" thickBot="1" x14ac:dyDescent="0.25">
      <c r="B1480" s="4">
        <v>1475</v>
      </c>
      <c r="C1480" s="10">
        <v>177.47196274862924</v>
      </c>
      <c r="D1480" s="42"/>
    </row>
    <row r="1481" spans="2:4" ht="16" thickBot="1" x14ac:dyDescent="0.25">
      <c r="B1481" s="5">
        <v>1476</v>
      </c>
      <c r="C1481" s="11">
        <v>164.37903496767069</v>
      </c>
      <c r="D1481" s="42"/>
    </row>
    <row r="1482" spans="2:4" ht="16" thickBot="1" x14ac:dyDescent="0.25">
      <c r="B1482" s="4">
        <v>1477</v>
      </c>
      <c r="C1482" s="10">
        <v>162.87085582504983</v>
      </c>
      <c r="D1482" s="42"/>
    </row>
    <row r="1483" spans="2:4" ht="16" thickBot="1" x14ac:dyDescent="0.25">
      <c r="B1483" s="5">
        <v>1478</v>
      </c>
      <c r="C1483" s="11">
        <v>165.9347774934202</v>
      </c>
      <c r="D1483" s="42"/>
    </row>
    <row r="1484" spans="2:4" ht="16" thickBot="1" x14ac:dyDescent="0.25">
      <c r="B1484" s="4">
        <v>1479</v>
      </c>
      <c r="C1484" s="10">
        <v>283.66262538364361</v>
      </c>
      <c r="D1484" s="42"/>
    </row>
    <row r="1485" spans="2:4" ht="16" thickBot="1" x14ac:dyDescent="0.25">
      <c r="B1485" s="5">
        <v>1480</v>
      </c>
      <c r="C1485" s="11">
        <v>304.3990396271289</v>
      </c>
      <c r="D1485" s="42"/>
    </row>
    <row r="1486" spans="2:4" ht="16" thickBot="1" x14ac:dyDescent="0.25">
      <c r="B1486" s="4">
        <v>1481</v>
      </c>
      <c r="C1486" s="10">
        <v>465.41114291887976</v>
      </c>
      <c r="D1486" s="42"/>
    </row>
    <row r="1487" spans="2:4" ht="16" thickBot="1" x14ac:dyDescent="0.25">
      <c r="B1487" s="5">
        <v>1482</v>
      </c>
      <c r="C1487" s="11">
        <v>425.5207693022324</v>
      </c>
      <c r="D1487" s="42"/>
    </row>
    <row r="1488" spans="2:4" ht="16" thickBot="1" x14ac:dyDescent="0.25">
      <c r="B1488" s="4">
        <v>1483</v>
      </c>
      <c r="C1488" s="10">
        <v>292.14220477148496</v>
      </c>
      <c r="D1488" s="42"/>
    </row>
    <row r="1489" spans="2:4" ht="16" thickBot="1" x14ac:dyDescent="0.25">
      <c r="B1489" s="5">
        <v>1484</v>
      </c>
      <c r="C1489" s="11">
        <v>169.99280124678046</v>
      </c>
      <c r="D1489" s="42"/>
    </row>
    <row r="1490" spans="2:4" ht="16" thickBot="1" x14ac:dyDescent="0.25">
      <c r="B1490" s="4">
        <v>1485</v>
      </c>
      <c r="C1490" s="10">
        <v>245.83094999054543</v>
      </c>
      <c r="D1490" s="42"/>
    </row>
    <row r="1491" spans="2:4" ht="16" thickBot="1" x14ac:dyDescent="0.25">
      <c r="B1491" s="5">
        <v>1486</v>
      </c>
      <c r="C1491" s="11">
        <v>553.65638020136998</v>
      </c>
      <c r="D1491" s="42"/>
    </row>
    <row r="1492" spans="2:4" ht="16" thickBot="1" x14ac:dyDescent="0.25">
      <c r="B1492" s="4">
        <v>1487</v>
      </c>
      <c r="C1492" s="10">
        <v>353.54641482749042</v>
      </c>
      <c r="D1492" s="42"/>
    </row>
    <row r="1493" spans="2:4" ht="16" thickBot="1" x14ac:dyDescent="0.25">
      <c r="B1493" s="5">
        <v>1488</v>
      </c>
      <c r="C1493" s="11">
        <v>141.19266148193503</v>
      </c>
      <c r="D1493" s="42"/>
    </row>
    <row r="1494" spans="2:4" ht="16" thickBot="1" x14ac:dyDescent="0.25">
      <c r="B1494" s="4">
        <v>1489</v>
      </c>
      <c r="C1494" s="10">
        <v>227.4199917089276</v>
      </c>
      <c r="D1494" s="42"/>
    </row>
    <row r="1495" spans="2:4" ht="16" thickBot="1" x14ac:dyDescent="0.25">
      <c r="B1495" s="5">
        <v>1490</v>
      </c>
      <c r="C1495" s="11">
        <v>451.5511989584013</v>
      </c>
      <c r="D1495" s="42"/>
    </row>
    <row r="1496" spans="2:4" ht="16" thickBot="1" x14ac:dyDescent="0.25">
      <c r="B1496" s="4">
        <v>1491</v>
      </c>
      <c r="C1496" s="10">
        <v>429.70955360729187</v>
      </c>
      <c r="D1496" s="42"/>
    </row>
    <row r="1497" spans="2:4" ht="16" thickBot="1" x14ac:dyDescent="0.25">
      <c r="B1497" s="5">
        <v>1492</v>
      </c>
      <c r="C1497" s="11">
        <v>375.25637662702138</v>
      </c>
      <c r="D1497" s="42"/>
    </row>
    <row r="1498" spans="2:4" ht="16" thickBot="1" x14ac:dyDescent="0.25">
      <c r="B1498" s="4">
        <v>1493</v>
      </c>
      <c r="C1498" s="10">
        <v>289.27950271543386</v>
      </c>
      <c r="D1498" s="42"/>
    </row>
    <row r="1499" spans="2:4" ht="16" thickBot="1" x14ac:dyDescent="0.25">
      <c r="B1499" s="5">
        <v>1494</v>
      </c>
      <c r="C1499" s="11">
        <v>542.43768086691375</v>
      </c>
      <c r="D1499" s="42"/>
    </row>
    <row r="1500" spans="2:4" ht="16" thickBot="1" x14ac:dyDescent="0.25">
      <c r="B1500" s="4">
        <v>1495</v>
      </c>
      <c r="C1500" s="10">
        <v>263.32254979348653</v>
      </c>
      <c r="D1500" s="42"/>
    </row>
    <row r="1501" spans="2:4" ht="16" thickBot="1" x14ac:dyDescent="0.25">
      <c r="B1501" s="5">
        <v>1496</v>
      </c>
      <c r="C1501" s="11">
        <v>191.20991058338578</v>
      </c>
      <c r="D1501" s="42"/>
    </row>
    <row r="1502" spans="2:4" ht="16" thickBot="1" x14ac:dyDescent="0.25">
      <c r="B1502" s="4">
        <v>1497</v>
      </c>
      <c r="C1502" s="10">
        <v>105.29572835478434</v>
      </c>
      <c r="D1502" s="42"/>
    </row>
    <row r="1503" spans="2:4" ht="16" thickBot="1" x14ac:dyDescent="0.25">
      <c r="B1503" s="5">
        <v>1498</v>
      </c>
      <c r="C1503" s="11">
        <v>244.40718103435134</v>
      </c>
      <c r="D1503" s="42"/>
    </row>
    <row r="1504" spans="2:4" ht="16" thickBot="1" x14ac:dyDescent="0.25">
      <c r="B1504" s="4">
        <v>1499</v>
      </c>
      <c r="C1504" s="10">
        <v>367.06817928478858</v>
      </c>
      <c r="D1504" s="42"/>
    </row>
    <row r="1505" spans="2:4" ht="16" thickBot="1" x14ac:dyDescent="0.25">
      <c r="B1505" s="5">
        <v>1500</v>
      </c>
      <c r="C1505" s="11">
        <v>116.78172274846368</v>
      </c>
      <c r="D1505" s="42"/>
    </row>
    <row r="1506" spans="2:4" ht="16" thickBot="1" x14ac:dyDescent="0.25">
      <c r="B1506" s="4">
        <v>1501</v>
      </c>
      <c r="C1506" s="10">
        <v>99.183238818964298</v>
      </c>
      <c r="D1506" s="42"/>
    </row>
    <row r="1507" spans="2:4" ht="16" thickBot="1" x14ac:dyDescent="0.25">
      <c r="B1507" s="5">
        <v>1502</v>
      </c>
      <c r="C1507" s="11">
        <v>278.13106588692096</v>
      </c>
      <c r="D1507" s="42"/>
    </row>
    <row r="1508" spans="2:4" ht="16" thickBot="1" x14ac:dyDescent="0.25">
      <c r="B1508" s="4">
        <v>1503</v>
      </c>
      <c r="C1508" s="10">
        <v>278.90221996655481</v>
      </c>
      <c r="D1508" s="42"/>
    </row>
    <row r="1509" spans="2:4" ht="16" thickBot="1" x14ac:dyDescent="0.25">
      <c r="B1509" s="5">
        <v>1504</v>
      </c>
      <c r="C1509" s="11">
        <v>102.29367654997664</v>
      </c>
      <c r="D1509" s="42"/>
    </row>
    <row r="1510" spans="2:4" ht="16" thickBot="1" x14ac:dyDescent="0.25">
      <c r="B1510" s="4">
        <v>1505</v>
      </c>
      <c r="C1510" s="10">
        <v>299.4591580366108</v>
      </c>
      <c r="D1510" s="42"/>
    </row>
    <row r="1511" spans="2:4" ht="16" thickBot="1" x14ac:dyDescent="0.25">
      <c r="B1511" s="5">
        <v>1506</v>
      </c>
      <c r="C1511" s="11">
        <v>67.766919384424341</v>
      </c>
      <c r="D1511" s="42"/>
    </row>
    <row r="1512" spans="2:4" ht="16" thickBot="1" x14ac:dyDescent="0.25">
      <c r="B1512" s="4">
        <v>1507</v>
      </c>
      <c r="C1512" s="10">
        <v>391.25114615699749</v>
      </c>
      <c r="D1512" s="42"/>
    </row>
    <row r="1513" spans="2:4" ht="16" thickBot="1" x14ac:dyDescent="0.25">
      <c r="B1513" s="5">
        <v>1508</v>
      </c>
      <c r="C1513" s="11">
        <v>227.06832472318433</v>
      </c>
      <c r="D1513" s="42"/>
    </row>
    <row r="1514" spans="2:4" ht="16" thickBot="1" x14ac:dyDescent="0.25">
      <c r="B1514" s="4">
        <v>1509</v>
      </c>
      <c r="C1514" s="10">
        <v>601.82716340735624</v>
      </c>
      <c r="D1514" s="42"/>
    </row>
    <row r="1515" spans="2:4" ht="16" thickBot="1" x14ac:dyDescent="0.25">
      <c r="B1515" s="5">
        <v>1510</v>
      </c>
      <c r="C1515" s="11">
        <v>141.59122673419245</v>
      </c>
      <c r="D1515" s="42"/>
    </row>
    <row r="1516" spans="2:4" ht="16" thickBot="1" x14ac:dyDescent="0.25">
      <c r="B1516" s="4">
        <v>1511</v>
      </c>
      <c r="C1516" s="10">
        <v>130.09851798017772</v>
      </c>
      <c r="D1516" s="42"/>
    </row>
    <row r="1517" spans="2:4" ht="16" thickBot="1" x14ac:dyDescent="0.25">
      <c r="B1517" s="5">
        <v>1512</v>
      </c>
      <c r="C1517" s="11">
        <v>451.92940426580157</v>
      </c>
      <c r="D1517" s="42"/>
    </row>
    <row r="1518" spans="2:4" ht="16" thickBot="1" x14ac:dyDescent="0.25">
      <c r="B1518" s="4">
        <v>1513</v>
      </c>
      <c r="C1518" s="10">
        <v>181.86620778281957</v>
      </c>
      <c r="D1518" s="42"/>
    </row>
    <row r="1519" spans="2:4" ht="16" thickBot="1" x14ac:dyDescent="0.25">
      <c r="B1519" s="5">
        <v>1514</v>
      </c>
      <c r="C1519" s="11">
        <v>237.36977491540159</v>
      </c>
      <c r="D1519" s="42"/>
    </row>
    <row r="1520" spans="2:4" ht="16" thickBot="1" x14ac:dyDescent="0.25">
      <c r="B1520" s="4">
        <v>1515</v>
      </c>
      <c r="C1520" s="10">
        <v>129.90167559900561</v>
      </c>
      <c r="D1520" s="42"/>
    </row>
    <row r="1521" spans="2:4" ht="16" thickBot="1" x14ac:dyDescent="0.25">
      <c r="B1521" s="5">
        <v>1516</v>
      </c>
      <c r="C1521" s="11">
        <v>69.538648668631126</v>
      </c>
      <c r="D1521" s="42"/>
    </row>
    <row r="1522" spans="2:4" ht="16" thickBot="1" x14ac:dyDescent="0.25">
      <c r="B1522" s="4">
        <v>1517</v>
      </c>
      <c r="C1522" s="10">
        <v>366.1742577483385</v>
      </c>
      <c r="D1522" s="42"/>
    </row>
    <row r="1523" spans="2:4" ht="16" thickBot="1" x14ac:dyDescent="0.25">
      <c r="B1523" s="5">
        <v>1518</v>
      </c>
      <c r="C1523" s="11">
        <v>93.983517939841533</v>
      </c>
      <c r="D1523" s="42"/>
    </row>
    <row r="1524" spans="2:4" ht="16" thickBot="1" x14ac:dyDescent="0.25">
      <c r="B1524" s="4">
        <v>1519</v>
      </c>
      <c r="C1524" s="10">
        <v>124.00447706330442</v>
      </c>
      <c r="D1524" s="42"/>
    </row>
    <row r="1525" spans="2:4" ht="16" thickBot="1" x14ac:dyDescent="0.25">
      <c r="B1525" s="5">
        <v>1520</v>
      </c>
      <c r="C1525" s="11">
        <v>204.80707062012846</v>
      </c>
      <c r="D1525" s="42"/>
    </row>
    <row r="1526" spans="2:4" ht="16" thickBot="1" x14ac:dyDescent="0.25">
      <c r="B1526" s="4">
        <v>1521</v>
      </c>
      <c r="C1526" s="10">
        <v>357.04956585379847</v>
      </c>
      <c r="D1526" s="42"/>
    </row>
    <row r="1527" spans="2:4" ht="16" thickBot="1" x14ac:dyDescent="0.25">
      <c r="B1527" s="5">
        <v>1522</v>
      </c>
      <c r="C1527" s="11">
        <v>525.4866542488769</v>
      </c>
      <c r="D1527" s="42"/>
    </row>
    <row r="1528" spans="2:4" ht="16" thickBot="1" x14ac:dyDescent="0.25">
      <c r="B1528" s="4">
        <v>1523</v>
      </c>
      <c r="C1528" s="10">
        <v>104.12674473472811</v>
      </c>
      <c r="D1528" s="42"/>
    </row>
    <row r="1529" spans="2:4" ht="16" thickBot="1" x14ac:dyDescent="0.25">
      <c r="B1529" s="5">
        <v>1524</v>
      </c>
      <c r="C1529" s="11">
        <v>506.54375213441426</v>
      </c>
      <c r="D1529" s="42"/>
    </row>
    <row r="1530" spans="2:4" ht="16" thickBot="1" x14ac:dyDescent="0.25">
      <c r="B1530" s="4">
        <v>1525</v>
      </c>
      <c r="C1530" s="10">
        <v>252.02738629268811</v>
      </c>
      <c r="D1530" s="42"/>
    </row>
    <row r="1531" spans="2:4" ht="16" thickBot="1" x14ac:dyDescent="0.25">
      <c r="B1531" s="5">
        <v>1526</v>
      </c>
      <c r="C1531" s="11">
        <v>512.97319724730858</v>
      </c>
      <c r="D1531" s="42"/>
    </row>
    <row r="1532" spans="2:4" ht="16" thickBot="1" x14ac:dyDescent="0.25">
      <c r="B1532" s="4">
        <v>1527</v>
      </c>
      <c r="C1532" s="10">
        <v>177.42095623301407</v>
      </c>
      <c r="D1532" s="42"/>
    </row>
    <row r="1533" spans="2:4" ht="16" thickBot="1" x14ac:dyDescent="0.25">
      <c r="B1533" s="5">
        <v>1528</v>
      </c>
      <c r="C1533" s="11">
        <v>171.73436049469038</v>
      </c>
      <c r="D1533" s="42"/>
    </row>
    <row r="1534" spans="2:4" ht="16" thickBot="1" x14ac:dyDescent="0.25">
      <c r="B1534" s="4">
        <v>1529</v>
      </c>
      <c r="C1534" s="10">
        <v>378.24849380771434</v>
      </c>
      <c r="D1534" s="42"/>
    </row>
    <row r="1535" spans="2:4" ht="16" thickBot="1" x14ac:dyDescent="0.25">
      <c r="B1535" s="5">
        <v>1530</v>
      </c>
      <c r="C1535" s="11">
        <v>219.02153054030325</v>
      </c>
      <c r="D1535" s="42"/>
    </row>
    <row r="1536" spans="2:4" ht="16" thickBot="1" x14ac:dyDescent="0.25">
      <c r="B1536" s="4">
        <v>1531</v>
      </c>
      <c r="C1536" s="10">
        <v>197.51190183278842</v>
      </c>
      <c r="D1536" s="42"/>
    </row>
    <row r="1537" spans="2:4" ht="16" thickBot="1" x14ac:dyDescent="0.25">
      <c r="B1537" s="5">
        <v>1532</v>
      </c>
      <c r="C1537" s="11">
        <v>97.095797334251657</v>
      </c>
      <c r="D1537" s="42"/>
    </row>
    <row r="1538" spans="2:4" ht="16" thickBot="1" x14ac:dyDescent="0.25">
      <c r="B1538" s="4">
        <v>1533</v>
      </c>
      <c r="C1538" s="10">
        <v>96.092753219712478</v>
      </c>
      <c r="D1538" s="42"/>
    </row>
    <row r="1539" spans="2:4" ht="16" thickBot="1" x14ac:dyDescent="0.25">
      <c r="B1539" s="5">
        <v>1534</v>
      </c>
      <c r="C1539" s="11">
        <v>117.80576173810144</v>
      </c>
      <c r="D1539" s="42"/>
    </row>
    <row r="1540" spans="2:4" ht="16" thickBot="1" x14ac:dyDescent="0.25">
      <c r="B1540" s="4">
        <v>1535</v>
      </c>
      <c r="C1540" s="10">
        <v>468.74514641033301</v>
      </c>
      <c r="D1540" s="42"/>
    </row>
    <row r="1541" spans="2:4" ht="16" thickBot="1" x14ac:dyDescent="0.25">
      <c r="B1541" s="5">
        <v>1536</v>
      </c>
      <c r="C1541" s="11">
        <v>200.56109415671943</v>
      </c>
      <c r="D1541" s="42"/>
    </row>
    <row r="1542" spans="2:4" ht="16" thickBot="1" x14ac:dyDescent="0.25">
      <c r="B1542" s="4">
        <v>1537</v>
      </c>
      <c r="C1542" s="10">
        <v>172.48623223672712</v>
      </c>
      <c r="D1542" s="42"/>
    </row>
    <row r="1543" spans="2:4" ht="16" thickBot="1" x14ac:dyDescent="0.25">
      <c r="B1543" s="5">
        <v>1538</v>
      </c>
      <c r="C1543" s="11">
        <v>409.72105676070407</v>
      </c>
      <c r="D1543" s="42"/>
    </row>
    <row r="1544" spans="2:4" ht="16" thickBot="1" x14ac:dyDescent="0.25">
      <c r="B1544" s="4">
        <v>1539</v>
      </c>
      <c r="C1544" s="10">
        <v>43.420229377457737</v>
      </c>
      <c r="D1544" s="42"/>
    </row>
    <row r="1545" spans="2:4" ht="16" thickBot="1" x14ac:dyDescent="0.25">
      <c r="B1545" s="5">
        <v>1540</v>
      </c>
      <c r="C1545" s="11">
        <v>251.16943188244201</v>
      </c>
      <c r="D1545" s="42"/>
    </row>
    <row r="1546" spans="2:4" ht="16" thickBot="1" x14ac:dyDescent="0.25">
      <c r="B1546" s="4">
        <v>1541</v>
      </c>
      <c r="C1546" s="10">
        <v>108.72050149334656</v>
      </c>
      <c r="D1546" s="42"/>
    </row>
    <row r="1547" spans="2:4" ht="16" thickBot="1" x14ac:dyDescent="0.25">
      <c r="B1547" s="5">
        <v>1542</v>
      </c>
      <c r="C1547" s="11">
        <v>80.817636475151417</v>
      </c>
      <c r="D1547" s="42"/>
    </row>
    <row r="1548" spans="2:4" ht="16" thickBot="1" x14ac:dyDescent="0.25">
      <c r="B1548" s="4">
        <v>1543</v>
      </c>
      <c r="C1548" s="10">
        <v>195.16984509921681</v>
      </c>
      <c r="D1548" s="42"/>
    </row>
    <row r="1549" spans="2:4" ht="16" thickBot="1" x14ac:dyDescent="0.25">
      <c r="B1549" s="5">
        <v>1544</v>
      </c>
      <c r="C1549" s="11">
        <v>403.62453987987834</v>
      </c>
      <c r="D1549" s="42"/>
    </row>
    <row r="1550" spans="2:4" ht="16" thickBot="1" x14ac:dyDescent="0.25">
      <c r="B1550" s="4">
        <v>1545</v>
      </c>
      <c r="C1550" s="10">
        <v>100.17961469928049</v>
      </c>
      <c r="D1550" s="42"/>
    </row>
    <row r="1551" spans="2:4" ht="16" thickBot="1" x14ac:dyDescent="0.25">
      <c r="B1551" s="5">
        <v>1546</v>
      </c>
      <c r="C1551" s="11">
        <v>471.57274132796903</v>
      </c>
      <c r="D1551" s="42"/>
    </row>
    <row r="1552" spans="2:4" ht="16" thickBot="1" x14ac:dyDescent="0.25">
      <c r="B1552" s="4">
        <v>1547</v>
      </c>
      <c r="C1552" s="10">
        <v>149.38053909363228</v>
      </c>
      <c r="D1552" s="42"/>
    </row>
    <row r="1553" spans="2:4" ht="16" thickBot="1" x14ac:dyDescent="0.25">
      <c r="B1553" s="5">
        <v>1548</v>
      </c>
      <c r="C1553" s="11">
        <v>157.58751929794505</v>
      </c>
      <c r="D1553" s="42"/>
    </row>
    <row r="1554" spans="2:4" ht="16" thickBot="1" x14ac:dyDescent="0.25">
      <c r="B1554" s="4">
        <v>1549</v>
      </c>
      <c r="C1554" s="10">
        <v>477.31280195443583</v>
      </c>
      <c r="D1554" s="42"/>
    </row>
    <row r="1555" spans="2:4" ht="16" thickBot="1" x14ac:dyDescent="0.25">
      <c r="B1555" s="5">
        <v>1550</v>
      </c>
      <c r="C1555" s="11">
        <v>219.01626174022741</v>
      </c>
      <c r="D1555" s="42"/>
    </row>
    <row r="1556" spans="2:4" ht="16" thickBot="1" x14ac:dyDescent="0.25">
      <c r="B1556" s="4">
        <v>1551</v>
      </c>
      <c r="C1556" s="10">
        <v>390.05214776662035</v>
      </c>
      <c r="D1556" s="42"/>
    </row>
    <row r="1557" spans="2:4" ht="16" thickBot="1" x14ac:dyDescent="0.25">
      <c r="B1557" s="5">
        <v>1552</v>
      </c>
      <c r="C1557" s="11">
        <v>158.47412295104556</v>
      </c>
      <c r="D1557" s="42"/>
    </row>
    <row r="1558" spans="2:4" ht="16" thickBot="1" x14ac:dyDescent="0.25">
      <c r="B1558" s="4">
        <v>1553</v>
      </c>
      <c r="C1558" s="10">
        <v>895.13996721860701</v>
      </c>
      <c r="D1558" s="42"/>
    </row>
    <row r="1559" spans="2:4" ht="16" thickBot="1" x14ac:dyDescent="0.25">
      <c r="B1559" s="5">
        <v>1554</v>
      </c>
      <c r="C1559" s="11">
        <v>28.557685573353215</v>
      </c>
      <c r="D1559" s="42"/>
    </row>
    <row r="1560" spans="2:4" ht="16" thickBot="1" x14ac:dyDescent="0.25">
      <c r="B1560" s="4">
        <v>1555</v>
      </c>
      <c r="C1560" s="10">
        <v>174.35691511845118</v>
      </c>
      <c r="D1560" s="42"/>
    </row>
    <row r="1561" spans="2:4" ht="16" thickBot="1" x14ac:dyDescent="0.25">
      <c r="B1561" s="5">
        <v>1556</v>
      </c>
      <c r="C1561" s="11">
        <v>74.888053837799006</v>
      </c>
      <c r="D1561" s="42"/>
    </row>
    <row r="1562" spans="2:4" ht="16" thickBot="1" x14ac:dyDescent="0.25">
      <c r="B1562" s="4">
        <v>1557</v>
      </c>
      <c r="C1562" s="10">
        <v>466.04896058514743</v>
      </c>
      <c r="D1562" s="42"/>
    </row>
    <row r="1563" spans="2:4" ht="16" thickBot="1" x14ac:dyDescent="0.25">
      <c r="B1563" s="5">
        <v>1558</v>
      </c>
      <c r="C1563" s="11">
        <v>320.12598392171157</v>
      </c>
      <c r="D1563" s="42"/>
    </row>
    <row r="1564" spans="2:4" ht="16" thickBot="1" x14ac:dyDescent="0.25">
      <c r="B1564" s="4">
        <v>1559</v>
      </c>
      <c r="C1564" s="10">
        <v>287.35259859491123</v>
      </c>
      <c r="D1564" s="42"/>
    </row>
    <row r="1565" spans="2:4" ht="16" thickBot="1" x14ac:dyDescent="0.25">
      <c r="B1565" s="5">
        <v>1560</v>
      </c>
      <c r="C1565" s="11">
        <v>258.71122279586592</v>
      </c>
      <c r="D1565" s="42"/>
    </row>
    <row r="1566" spans="2:4" ht="16" thickBot="1" x14ac:dyDescent="0.25">
      <c r="B1566" s="4">
        <v>1561</v>
      </c>
      <c r="C1566" s="10">
        <v>655.99602679161228</v>
      </c>
      <c r="D1566" s="42"/>
    </row>
    <row r="1567" spans="2:4" ht="16" thickBot="1" x14ac:dyDescent="0.25">
      <c r="B1567" s="5">
        <v>1562</v>
      </c>
      <c r="C1567" s="11">
        <v>337.60417306308688</v>
      </c>
      <c r="D1567" s="42"/>
    </row>
    <row r="1568" spans="2:4" ht="16" thickBot="1" x14ac:dyDescent="0.25">
      <c r="B1568" s="4">
        <v>1563</v>
      </c>
      <c r="C1568" s="10">
        <v>230.12343418880081</v>
      </c>
      <c r="D1568" s="42"/>
    </row>
    <row r="1569" spans="2:4" ht="16" thickBot="1" x14ac:dyDescent="0.25">
      <c r="B1569" s="5">
        <v>1564</v>
      </c>
      <c r="C1569" s="11">
        <v>645.30845660017428</v>
      </c>
      <c r="D1569" s="42"/>
    </row>
    <row r="1570" spans="2:4" ht="16" thickBot="1" x14ac:dyDescent="0.25">
      <c r="B1570" s="4">
        <v>1565</v>
      </c>
      <c r="C1570" s="10">
        <v>197.43964621744573</v>
      </c>
      <c r="D1570" s="42"/>
    </row>
    <row r="1571" spans="2:4" ht="16" thickBot="1" x14ac:dyDescent="0.25">
      <c r="B1571" s="5">
        <v>1566</v>
      </c>
      <c r="C1571" s="11">
        <v>969.98321603957731</v>
      </c>
      <c r="D1571" s="42"/>
    </row>
    <row r="1572" spans="2:4" ht="16" thickBot="1" x14ac:dyDescent="0.25">
      <c r="B1572" s="4">
        <v>1567</v>
      </c>
      <c r="C1572" s="10">
        <v>558.62790165667468</v>
      </c>
      <c r="D1572" s="42"/>
    </row>
    <row r="1573" spans="2:4" ht="16" thickBot="1" x14ac:dyDescent="0.25">
      <c r="B1573" s="5">
        <v>1568</v>
      </c>
      <c r="C1573" s="11">
        <v>200.45874100438905</v>
      </c>
      <c r="D1573" s="42"/>
    </row>
    <row r="1574" spans="2:4" ht="16" thickBot="1" x14ac:dyDescent="0.25">
      <c r="B1574" s="4">
        <v>1569</v>
      </c>
      <c r="C1574" s="10">
        <v>383.15460419596769</v>
      </c>
      <c r="D1574" s="42"/>
    </row>
    <row r="1575" spans="2:4" ht="16" thickBot="1" x14ac:dyDescent="0.25">
      <c r="B1575" s="5">
        <v>1570</v>
      </c>
      <c r="C1575" s="11">
        <v>132.65440192967586</v>
      </c>
      <c r="D1575" s="42"/>
    </row>
    <row r="1576" spans="2:4" ht="16" thickBot="1" x14ac:dyDescent="0.25">
      <c r="B1576" s="4">
        <v>1571</v>
      </c>
      <c r="C1576" s="10">
        <v>141.78789251830142</v>
      </c>
      <c r="D1576" s="42"/>
    </row>
    <row r="1577" spans="2:4" ht="16" thickBot="1" x14ac:dyDescent="0.25">
      <c r="B1577" s="5">
        <v>1572</v>
      </c>
      <c r="C1577" s="11">
        <v>220.53389568442066</v>
      </c>
      <c r="D1577" s="42"/>
    </row>
    <row r="1578" spans="2:4" ht="16" thickBot="1" x14ac:dyDescent="0.25">
      <c r="B1578" s="4">
        <v>1573</v>
      </c>
      <c r="C1578" s="10">
        <v>292.20298907342726</v>
      </c>
      <c r="D1578" s="42"/>
    </row>
    <row r="1579" spans="2:4" ht="16" thickBot="1" x14ac:dyDescent="0.25">
      <c r="B1579" s="5">
        <v>1574</v>
      </c>
      <c r="C1579" s="11">
        <v>446.51194833753306</v>
      </c>
      <c r="D1579" s="42"/>
    </row>
    <row r="1580" spans="2:4" ht="16" thickBot="1" x14ac:dyDescent="0.25">
      <c r="B1580" s="4">
        <v>1575</v>
      </c>
      <c r="C1580" s="10">
        <v>129.92998177608979</v>
      </c>
      <c r="D1580" s="42"/>
    </row>
    <row r="1581" spans="2:4" ht="16" thickBot="1" x14ac:dyDescent="0.25">
      <c r="B1581" s="5">
        <v>1576</v>
      </c>
      <c r="C1581" s="11">
        <v>301.63056198885312</v>
      </c>
      <c r="D1581" s="42"/>
    </row>
    <row r="1582" spans="2:4" ht="16" thickBot="1" x14ac:dyDescent="0.25">
      <c r="B1582" s="4">
        <v>1577</v>
      </c>
      <c r="C1582" s="10">
        <v>224.08217973923263</v>
      </c>
      <c r="D1582" s="42"/>
    </row>
    <row r="1583" spans="2:4" ht="16" thickBot="1" x14ac:dyDescent="0.25">
      <c r="B1583" s="5">
        <v>1578</v>
      </c>
      <c r="C1583" s="11">
        <v>488.32847553952735</v>
      </c>
      <c r="D1583" s="42"/>
    </row>
    <row r="1584" spans="2:4" ht="16" thickBot="1" x14ac:dyDescent="0.25">
      <c r="B1584" s="4">
        <v>1579</v>
      </c>
      <c r="C1584" s="10">
        <v>297.6369708500572</v>
      </c>
      <c r="D1584" s="42"/>
    </row>
    <row r="1585" spans="2:4" ht="16" thickBot="1" x14ac:dyDescent="0.25">
      <c r="B1585" s="5">
        <v>1580</v>
      </c>
      <c r="C1585" s="11">
        <v>111.74846018999415</v>
      </c>
      <c r="D1585" s="42"/>
    </row>
    <row r="1586" spans="2:4" ht="16" thickBot="1" x14ac:dyDescent="0.25">
      <c r="B1586" s="4">
        <v>1581</v>
      </c>
      <c r="C1586" s="10">
        <v>209.91651797150703</v>
      </c>
      <c r="D1586" s="42"/>
    </row>
    <row r="1587" spans="2:4" ht="16" thickBot="1" x14ac:dyDescent="0.25">
      <c r="B1587" s="5">
        <v>1582</v>
      </c>
      <c r="C1587" s="11">
        <v>738.20667285740547</v>
      </c>
      <c r="D1587" s="42"/>
    </row>
    <row r="1588" spans="2:4" ht="16" thickBot="1" x14ac:dyDescent="0.25">
      <c r="B1588" s="4">
        <v>1583</v>
      </c>
      <c r="C1588" s="10">
        <v>629.0766762276362</v>
      </c>
      <c r="D1588" s="42"/>
    </row>
    <row r="1589" spans="2:4" ht="16" thickBot="1" x14ac:dyDescent="0.25">
      <c r="B1589" s="5">
        <v>1584</v>
      </c>
      <c r="C1589" s="11">
        <v>158.67034223851294</v>
      </c>
      <c r="D1589" s="42"/>
    </row>
    <row r="1590" spans="2:4" ht="16" thickBot="1" x14ac:dyDescent="0.25">
      <c r="B1590" s="4">
        <v>1585</v>
      </c>
      <c r="C1590" s="10">
        <v>155.98864007261429</v>
      </c>
      <c r="D1590" s="42"/>
    </row>
    <row r="1591" spans="2:4" ht="16" thickBot="1" x14ac:dyDescent="0.25">
      <c r="B1591" s="5">
        <v>1586</v>
      </c>
      <c r="C1591" s="11">
        <v>222.29511897757081</v>
      </c>
      <c r="D1591" s="42"/>
    </row>
    <row r="1592" spans="2:4" ht="16" thickBot="1" x14ac:dyDescent="0.25">
      <c r="B1592" s="4">
        <v>1587</v>
      </c>
      <c r="C1592" s="10">
        <v>200.8531530314209</v>
      </c>
      <c r="D1592" s="42"/>
    </row>
    <row r="1593" spans="2:4" ht="16" thickBot="1" x14ac:dyDescent="0.25">
      <c r="B1593" s="5">
        <v>1588</v>
      </c>
      <c r="C1593" s="11">
        <v>27.730504396687824</v>
      </c>
      <c r="D1593" s="42"/>
    </row>
    <row r="1594" spans="2:4" ht="16" thickBot="1" x14ac:dyDescent="0.25">
      <c r="B1594" s="4">
        <v>1589</v>
      </c>
      <c r="C1594" s="10">
        <v>158.11565622038117</v>
      </c>
      <c r="D1594" s="42"/>
    </row>
    <row r="1595" spans="2:4" ht="16" thickBot="1" x14ac:dyDescent="0.25">
      <c r="B1595" s="5">
        <v>1590</v>
      </c>
      <c r="C1595" s="11">
        <v>209.51404039410554</v>
      </c>
      <c r="D1595" s="42"/>
    </row>
    <row r="1596" spans="2:4" ht="16" thickBot="1" x14ac:dyDescent="0.25">
      <c r="B1596" s="4">
        <v>1591</v>
      </c>
      <c r="C1596" s="10">
        <v>64.611439627122778</v>
      </c>
      <c r="D1596" s="42"/>
    </row>
    <row r="1597" spans="2:4" ht="16" thickBot="1" x14ac:dyDescent="0.25">
      <c r="B1597" s="5">
        <v>1592</v>
      </c>
      <c r="C1597" s="11">
        <v>329.41917056140028</v>
      </c>
      <c r="D1597" s="42"/>
    </row>
    <row r="1598" spans="2:4" ht="16" thickBot="1" x14ac:dyDescent="0.25">
      <c r="B1598" s="4">
        <v>1593</v>
      </c>
      <c r="C1598" s="10">
        <v>365.53225340706058</v>
      </c>
      <c r="D1598" s="42"/>
    </row>
    <row r="1599" spans="2:4" ht="16" thickBot="1" x14ac:dyDescent="0.25">
      <c r="B1599" s="5">
        <v>1594</v>
      </c>
      <c r="C1599" s="11">
        <v>433.25457207963666</v>
      </c>
      <c r="D1599" s="42"/>
    </row>
    <row r="1600" spans="2:4" ht="16" thickBot="1" x14ac:dyDescent="0.25">
      <c r="B1600" s="4">
        <v>1595</v>
      </c>
      <c r="C1600" s="10">
        <v>362.53302798451921</v>
      </c>
      <c r="D1600" s="42"/>
    </row>
    <row r="1601" spans="2:4" ht="16" thickBot="1" x14ac:dyDescent="0.25">
      <c r="B1601" s="5">
        <v>1596</v>
      </c>
      <c r="C1601" s="11">
        <v>370.31888926279919</v>
      </c>
      <c r="D1601" s="42"/>
    </row>
    <row r="1602" spans="2:4" ht="16" thickBot="1" x14ac:dyDescent="0.25">
      <c r="B1602" s="4">
        <v>1597</v>
      </c>
      <c r="C1602" s="10">
        <v>103.96572257958385</v>
      </c>
      <c r="D1602" s="42"/>
    </row>
    <row r="1603" spans="2:4" ht="16" thickBot="1" x14ac:dyDescent="0.25">
      <c r="B1603" s="5">
        <v>1598</v>
      </c>
      <c r="C1603" s="11">
        <v>626.24793040901932</v>
      </c>
      <c r="D1603" s="42"/>
    </row>
    <row r="1604" spans="2:4" ht="16" thickBot="1" x14ac:dyDescent="0.25">
      <c r="B1604" s="4">
        <v>1599</v>
      </c>
      <c r="C1604" s="10">
        <v>199.7339940175857</v>
      </c>
      <c r="D1604" s="42"/>
    </row>
    <row r="1605" spans="2:4" ht="16" thickBot="1" x14ac:dyDescent="0.25">
      <c r="B1605" s="5">
        <v>1600</v>
      </c>
      <c r="C1605" s="11">
        <v>518.77547399819218</v>
      </c>
      <c r="D1605" s="42"/>
    </row>
    <row r="1606" spans="2:4" ht="16" thickBot="1" x14ac:dyDescent="0.25">
      <c r="B1606" s="4">
        <v>1601</v>
      </c>
      <c r="C1606" s="10">
        <v>151.31275415451611</v>
      </c>
      <c r="D1606" s="42"/>
    </row>
    <row r="1607" spans="2:4" ht="16" thickBot="1" x14ac:dyDescent="0.25">
      <c r="B1607" s="5">
        <v>1602</v>
      </c>
      <c r="C1607" s="11">
        <v>117.85446957411089</v>
      </c>
      <c r="D1607" s="42"/>
    </row>
    <row r="1608" spans="2:4" ht="16" thickBot="1" x14ac:dyDescent="0.25">
      <c r="B1608" s="4">
        <v>1603</v>
      </c>
      <c r="C1608" s="10">
        <v>268.06351916186361</v>
      </c>
      <c r="D1608" s="42"/>
    </row>
    <row r="1609" spans="2:4" ht="16" thickBot="1" x14ac:dyDescent="0.25">
      <c r="B1609" s="5">
        <v>1604</v>
      </c>
      <c r="C1609" s="11">
        <v>341.56819782535769</v>
      </c>
      <c r="D1609" s="42"/>
    </row>
    <row r="1610" spans="2:4" ht="16" thickBot="1" x14ac:dyDescent="0.25">
      <c r="B1610" s="4">
        <v>1605</v>
      </c>
      <c r="C1610" s="10">
        <v>148.38700625229532</v>
      </c>
      <c r="D1610" s="42"/>
    </row>
    <row r="1611" spans="2:4" ht="16" thickBot="1" x14ac:dyDescent="0.25">
      <c r="B1611" s="5">
        <v>1606</v>
      </c>
      <c r="C1611" s="11">
        <v>817.33591288852335</v>
      </c>
      <c r="D1611" s="42"/>
    </row>
    <row r="1612" spans="2:4" ht="16" thickBot="1" x14ac:dyDescent="0.25">
      <c r="B1612" s="4">
        <v>1607</v>
      </c>
      <c r="C1612" s="10">
        <v>598.73039771817548</v>
      </c>
      <c r="D1612" s="42"/>
    </row>
    <row r="1613" spans="2:4" ht="16" thickBot="1" x14ac:dyDescent="0.25">
      <c r="B1613" s="5">
        <v>1608</v>
      </c>
      <c r="C1613" s="11">
        <v>292.67212824971551</v>
      </c>
      <c r="D1613" s="42"/>
    </row>
    <row r="1614" spans="2:4" ht="16" thickBot="1" x14ac:dyDescent="0.25">
      <c r="B1614" s="4">
        <v>1609</v>
      </c>
      <c r="C1614" s="10">
        <v>56.495906536935628</v>
      </c>
      <c r="D1614" s="42"/>
    </row>
    <row r="1615" spans="2:4" ht="16" thickBot="1" x14ac:dyDescent="0.25">
      <c r="B1615" s="5">
        <v>1610</v>
      </c>
      <c r="C1615" s="11">
        <v>303.11631054942177</v>
      </c>
      <c r="D1615" s="42"/>
    </row>
    <row r="1616" spans="2:4" ht="16" thickBot="1" x14ac:dyDescent="0.25">
      <c r="B1616" s="4">
        <v>1611</v>
      </c>
      <c r="C1616" s="10">
        <v>411.72820010862796</v>
      </c>
      <c r="D1616" s="42"/>
    </row>
    <row r="1617" spans="2:4" ht="16" thickBot="1" x14ac:dyDescent="0.25">
      <c r="B1617" s="5">
        <v>1612</v>
      </c>
      <c r="C1617" s="11">
        <v>613.44601346304523</v>
      </c>
      <c r="D1617" s="42"/>
    </row>
    <row r="1618" spans="2:4" ht="16" thickBot="1" x14ac:dyDescent="0.25">
      <c r="B1618" s="4">
        <v>1613</v>
      </c>
      <c r="C1618" s="10">
        <v>358.12457597234993</v>
      </c>
      <c r="D1618" s="42"/>
    </row>
    <row r="1619" spans="2:4" ht="16" thickBot="1" x14ac:dyDescent="0.25">
      <c r="B1619" s="5">
        <v>1614</v>
      </c>
      <c r="C1619" s="11">
        <v>286.3245051456114</v>
      </c>
      <c r="D1619" s="42"/>
    </row>
    <row r="1620" spans="2:4" ht="16" thickBot="1" x14ac:dyDescent="0.25">
      <c r="B1620" s="4">
        <v>1615</v>
      </c>
      <c r="C1620" s="10">
        <v>270.4291463370302</v>
      </c>
      <c r="D1620" s="42"/>
    </row>
    <row r="1621" spans="2:4" ht="16" thickBot="1" x14ac:dyDescent="0.25">
      <c r="B1621" s="5">
        <v>1616</v>
      </c>
      <c r="C1621" s="11">
        <v>263.82973851435543</v>
      </c>
      <c r="D1621" s="42"/>
    </row>
    <row r="1622" spans="2:4" ht="16" thickBot="1" x14ac:dyDescent="0.25">
      <c r="B1622" s="4">
        <v>1617</v>
      </c>
      <c r="C1622" s="10">
        <v>367.20149334870342</v>
      </c>
      <c r="D1622" s="42"/>
    </row>
    <row r="1623" spans="2:4" ht="16" thickBot="1" x14ac:dyDescent="0.25">
      <c r="B1623" s="5">
        <v>1618</v>
      </c>
      <c r="C1623" s="11">
        <v>176.60200351519507</v>
      </c>
      <c r="D1623" s="42"/>
    </row>
    <row r="1624" spans="2:4" ht="16" thickBot="1" x14ac:dyDescent="0.25">
      <c r="B1624" s="4">
        <v>1619</v>
      </c>
      <c r="C1624" s="10">
        <v>341.3287903065758</v>
      </c>
      <c r="D1624" s="42"/>
    </row>
    <row r="1625" spans="2:4" ht="16" thickBot="1" x14ac:dyDescent="0.25">
      <c r="B1625" s="5">
        <v>1620</v>
      </c>
      <c r="C1625" s="11">
        <v>257.81051024370095</v>
      </c>
      <c r="D1625" s="42"/>
    </row>
    <row r="1626" spans="2:4" ht="16" thickBot="1" x14ac:dyDescent="0.25">
      <c r="B1626" s="4">
        <v>1621</v>
      </c>
      <c r="C1626" s="10">
        <v>365.2966810976327</v>
      </c>
      <c r="D1626" s="42"/>
    </row>
    <row r="1627" spans="2:4" ht="16" thickBot="1" x14ac:dyDescent="0.25">
      <c r="B1627" s="5">
        <v>1622</v>
      </c>
      <c r="C1627" s="11">
        <v>194.55180861227686</v>
      </c>
      <c r="D1627" s="42"/>
    </row>
    <row r="1628" spans="2:4" ht="16" thickBot="1" x14ac:dyDescent="0.25">
      <c r="B1628" s="4">
        <v>1623</v>
      </c>
      <c r="C1628" s="10">
        <v>60.927291830347784</v>
      </c>
      <c r="D1628" s="42"/>
    </row>
    <row r="1629" spans="2:4" ht="16" thickBot="1" x14ac:dyDescent="0.25">
      <c r="B1629" s="5">
        <v>1624</v>
      </c>
      <c r="C1629" s="11">
        <v>280.60891978611147</v>
      </c>
      <c r="D1629" s="42"/>
    </row>
    <row r="1630" spans="2:4" ht="16" thickBot="1" x14ac:dyDescent="0.25">
      <c r="B1630" s="4">
        <v>1625</v>
      </c>
      <c r="C1630" s="10">
        <v>205.50245985703359</v>
      </c>
      <c r="D1630" s="42"/>
    </row>
    <row r="1631" spans="2:4" ht="16" thickBot="1" x14ac:dyDescent="0.25">
      <c r="B1631" s="5">
        <v>1626</v>
      </c>
      <c r="C1631" s="11">
        <v>532.9290071317065</v>
      </c>
      <c r="D1631" s="42"/>
    </row>
    <row r="1632" spans="2:4" ht="16" thickBot="1" x14ac:dyDescent="0.25">
      <c r="B1632" s="4">
        <v>1627</v>
      </c>
      <c r="C1632" s="10">
        <v>384.94508353800188</v>
      </c>
      <c r="D1632" s="42"/>
    </row>
    <row r="1633" spans="2:4" ht="16" thickBot="1" x14ac:dyDescent="0.25">
      <c r="B1633" s="5">
        <v>1628</v>
      </c>
      <c r="C1633" s="11">
        <v>60.78718881246693</v>
      </c>
      <c r="D1633" s="42"/>
    </row>
    <row r="1634" spans="2:4" ht="16" thickBot="1" x14ac:dyDescent="0.25">
      <c r="B1634" s="4">
        <v>1629</v>
      </c>
      <c r="C1634" s="10">
        <v>211.78719021269177</v>
      </c>
      <c r="D1634" s="42"/>
    </row>
    <row r="1635" spans="2:4" ht="16" thickBot="1" x14ac:dyDescent="0.25">
      <c r="B1635" s="5">
        <v>1630</v>
      </c>
      <c r="C1635" s="11">
        <v>285.27537766770058</v>
      </c>
      <c r="D1635" s="42"/>
    </row>
    <row r="1636" spans="2:4" ht="16" thickBot="1" x14ac:dyDescent="0.25">
      <c r="B1636" s="4">
        <v>1631</v>
      </c>
      <c r="C1636" s="10">
        <v>440.15623239517328</v>
      </c>
      <c r="D1636" s="42"/>
    </row>
    <row r="1637" spans="2:4" ht="16" thickBot="1" x14ac:dyDescent="0.25">
      <c r="B1637" s="5">
        <v>1632</v>
      </c>
      <c r="C1637" s="11">
        <v>192.71372365823217</v>
      </c>
      <c r="D1637" s="42"/>
    </row>
    <row r="1638" spans="2:4" ht="16" thickBot="1" x14ac:dyDescent="0.25">
      <c r="B1638" s="4">
        <v>1633</v>
      </c>
      <c r="C1638" s="10">
        <v>76.476026568913795</v>
      </c>
      <c r="D1638" s="42"/>
    </row>
    <row r="1639" spans="2:4" ht="16" thickBot="1" x14ac:dyDescent="0.25">
      <c r="B1639" s="5">
        <v>1634</v>
      </c>
      <c r="C1639" s="11">
        <v>298.55194836528403</v>
      </c>
      <c r="D1639" s="42"/>
    </row>
    <row r="1640" spans="2:4" ht="16" thickBot="1" x14ac:dyDescent="0.25">
      <c r="B1640" s="4">
        <v>1635</v>
      </c>
      <c r="C1640" s="10">
        <v>111.84405851767143</v>
      </c>
      <c r="D1640" s="42"/>
    </row>
    <row r="1641" spans="2:4" ht="16" thickBot="1" x14ac:dyDescent="0.25">
      <c r="B1641" s="5">
        <v>1636</v>
      </c>
      <c r="C1641" s="11">
        <v>107.40248995873964</v>
      </c>
      <c r="D1641" s="42"/>
    </row>
    <row r="1642" spans="2:4" ht="16" thickBot="1" x14ac:dyDescent="0.25">
      <c r="B1642" s="4">
        <v>1637</v>
      </c>
      <c r="C1642" s="10">
        <v>263.82700124503214</v>
      </c>
      <c r="D1642" s="42"/>
    </row>
    <row r="1643" spans="2:4" ht="16" thickBot="1" x14ac:dyDescent="0.25">
      <c r="B1643" s="5">
        <v>1638</v>
      </c>
      <c r="C1643" s="11">
        <v>162.09459188731358</v>
      </c>
      <c r="D1643" s="42"/>
    </row>
    <row r="1644" spans="2:4" ht="16" thickBot="1" x14ac:dyDescent="0.25">
      <c r="B1644" s="4">
        <v>1639</v>
      </c>
      <c r="C1644" s="10">
        <v>231.78618179751268</v>
      </c>
      <c r="D1644" s="42"/>
    </row>
    <row r="1645" spans="2:4" ht="16" thickBot="1" x14ac:dyDescent="0.25">
      <c r="B1645" s="5">
        <v>1640</v>
      </c>
      <c r="C1645" s="11">
        <v>260.03927804901605</v>
      </c>
      <c r="D1645" s="42"/>
    </row>
    <row r="1646" spans="2:4" ht="16" thickBot="1" x14ac:dyDescent="0.25">
      <c r="B1646" s="4">
        <v>1641</v>
      </c>
      <c r="C1646" s="10">
        <v>294.52699911127496</v>
      </c>
      <c r="D1646" s="42"/>
    </row>
    <row r="1647" spans="2:4" ht="16" thickBot="1" x14ac:dyDescent="0.25">
      <c r="B1647" s="5">
        <v>1642</v>
      </c>
      <c r="C1647" s="11">
        <v>71.584230774349152</v>
      </c>
      <c r="D1647" s="42"/>
    </row>
    <row r="1648" spans="2:4" ht="16" thickBot="1" x14ac:dyDescent="0.25">
      <c r="B1648" s="4">
        <v>1643</v>
      </c>
      <c r="C1648" s="10">
        <v>64.321416506115298</v>
      </c>
      <c r="D1648" s="42"/>
    </row>
    <row r="1649" spans="2:4" ht="16" thickBot="1" x14ac:dyDescent="0.25">
      <c r="B1649" s="5">
        <v>1644</v>
      </c>
      <c r="C1649" s="11">
        <v>245.0659191895202</v>
      </c>
      <c r="D1649" s="42"/>
    </row>
    <row r="1650" spans="2:4" ht="16" thickBot="1" x14ac:dyDescent="0.25">
      <c r="B1650" s="4">
        <v>1645</v>
      </c>
      <c r="C1650" s="10">
        <v>162.5187576222755</v>
      </c>
      <c r="D1650" s="42"/>
    </row>
    <row r="1651" spans="2:4" ht="16" thickBot="1" x14ac:dyDescent="0.25">
      <c r="B1651" s="5">
        <v>1646</v>
      </c>
      <c r="C1651" s="11">
        <v>169.10135999275079</v>
      </c>
      <c r="D1651" s="42"/>
    </row>
    <row r="1652" spans="2:4" ht="16" thickBot="1" x14ac:dyDescent="0.25">
      <c r="B1652" s="4">
        <v>1647</v>
      </c>
      <c r="C1652" s="10">
        <v>229.5715206579807</v>
      </c>
      <c r="D1652" s="42"/>
    </row>
    <row r="1653" spans="2:4" ht="16" thickBot="1" x14ac:dyDescent="0.25">
      <c r="B1653" s="5">
        <v>1648</v>
      </c>
      <c r="C1653" s="11">
        <v>1024.0061273642289</v>
      </c>
      <c r="D1653" s="42"/>
    </row>
    <row r="1654" spans="2:4" ht="16" thickBot="1" x14ac:dyDescent="0.25">
      <c r="B1654" s="4">
        <v>1649</v>
      </c>
      <c r="C1654" s="10">
        <v>243.69359707533349</v>
      </c>
      <c r="D1654" s="42"/>
    </row>
    <row r="1655" spans="2:4" ht="16" thickBot="1" x14ac:dyDescent="0.25">
      <c r="B1655" s="5">
        <v>1650</v>
      </c>
      <c r="C1655" s="11">
        <v>222.96234412747418</v>
      </c>
      <c r="D1655" s="42"/>
    </row>
    <row r="1656" spans="2:4" ht="16" thickBot="1" x14ac:dyDescent="0.25">
      <c r="B1656" s="4">
        <v>1651</v>
      </c>
      <c r="C1656" s="10">
        <v>170.66057961827647</v>
      </c>
      <c r="D1656" s="42"/>
    </row>
    <row r="1657" spans="2:4" ht="16" thickBot="1" x14ac:dyDescent="0.25">
      <c r="B1657" s="5">
        <v>1652</v>
      </c>
      <c r="C1657" s="11">
        <v>291.2324255991042</v>
      </c>
      <c r="D1657" s="42"/>
    </row>
    <row r="1658" spans="2:4" ht="16" thickBot="1" x14ac:dyDescent="0.25">
      <c r="B1658" s="4">
        <v>1653</v>
      </c>
      <c r="C1658" s="10">
        <v>116.7116167890153</v>
      </c>
      <c r="D1658" s="42"/>
    </row>
    <row r="1659" spans="2:4" ht="16" thickBot="1" x14ac:dyDescent="0.25">
      <c r="B1659" s="5">
        <v>1654</v>
      </c>
      <c r="C1659" s="11">
        <v>524.48028551045297</v>
      </c>
      <c r="D1659" s="42"/>
    </row>
    <row r="1660" spans="2:4" ht="16" thickBot="1" x14ac:dyDescent="0.25">
      <c r="B1660" s="4">
        <v>1655</v>
      </c>
      <c r="C1660" s="10">
        <v>281.583212524305</v>
      </c>
      <c r="D1660" s="42"/>
    </row>
    <row r="1661" spans="2:4" ht="16" thickBot="1" x14ac:dyDescent="0.25">
      <c r="B1661" s="5">
        <v>1656</v>
      </c>
      <c r="C1661" s="11">
        <v>203.81046849676724</v>
      </c>
      <c r="D1661" s="42"/>
    </row>
    <row r="1662" spans="2:4" ht="16" thickBot="1" x14ac:dyDescent="0.25">
      <c r="B1662" s="4">
        <v>1657</v>
      </c>
      <c r="C1662" s="10">
        <v>161.94265410478289</v>
      </c>
      <c r="D1662" s="42"/>
    </row>
    <row r="1663" spans="2:4" ht="16" thickBot="1" x14ac:dyDescent="0.25">
      <c r="B1663" s="5">
        <v>1658</v>
      </c>
      <c r="C1663" s="11">
        <v>283.97353176516253</v>
      </c>
      <c r="D1663" s="42"/>
    </row>
    <row r="1664" spans="2:4" ht="16" thickBot="1" x14ac:dyDescent="0.25">
      <c r="B1664" s="4">
        <v>1659</v>
      </c>
      <c r="C1664" s="10">
        <v>368.90205781738814</v>
      </c>
      <c r="D1664" s="42"/>
    </row>
    <row r="1665" spans="2:4" ht="16" thickBot="1" x14ac:dyDescent="0.25">
      <c r="B1665" s="5">
        <v>1660</v>
      </c>
      <c r="C1665" s="11">
        <v>247.5793252219953</v>
      </c>
      <c r="D1665" s="42"/>
    </row>
    <row r="1666" spans="2:4" ht="16" thickBot="1" x14ac:dyDescent="0.25">
      <c r="B1666" s="4">
        <v>1661</v>
      </c>
      <c r="C1666" s="10">
        <v>202.65541787928203</v>
      </c>
      <c r="D1666" s="42"/>
    </row>
    <row r="1667" spans="2:4" ht="16" thickBot="1" x14ac:dyDescent="0.25">
      <c r="B1667" s="5">
        <v>1662</v>
      </c>
      <c r="C1667" s="11">
        <v>104.28515755957203</v>
      </c>
      <c r="D1667" s="42"/>
    </row>
    <row r="1668" spans="2:4" ht="16" thickBot="1" x14ac:dyDescent="0.25">
      <c r="B1668" s="4">
        <v>1663</v>
      </c>
      <c r="C1668" s="10">
        <v>112.0553956816417</v>
      </c>
      <c r="D1668" s="42"/>
    </row>
    <row r="1669" spans="2:4" ht="16" thickBot="1" x14ac:dyDescent="0.25">
      <c r="B1669" s="5">
        <v>1664</v>
      </c>
      <c r="C1669" s="11">
        <v>191.80073496131627</v>
      </c>
      <c r="D1669" s="42"/>
    </row>
    <row r="1670" spans="2:4" ht="16" thickBot="1" x14ac:dyDescent="0.25">
      <c r="B1670" s="4">
        <v>1665</v>
      </c>
      <c r="C1670" s="10">
        <v>250.22565710648405</v>
      </c>
      <c r="D1670" s="42"/>
    </row>
    <row r="1671" spans="2:4" ht="16" thickBot="1" x14ac:dyDescent="0.25">
      <c r="B1671" s="5">
        <v>1666</v>
      </c>
      <c r="C1671" s="11">
        <v>153.19913511967675</v>
      </c>
      <c r="D1671" s="42"/>
    </row>
    <row r="1672" spans="2:4" ht="16" thickBot="1" x14ac:dyDescent="0.25">
      <c r="B1672" s="4">
        <v>1667</v>
      </c>
      <c r="C1672" s="10">
        <v>358.14227354315415</v>
      </c>
      <c r="D1672" s="42"/>
    </row>
    <row r="1673" spans="2:4" ht="16" thickBot="1" x14ac:dyDescent="0.25">
      <c r="B1673" s="5">
        <v>1668</v>
      </c>
      <c r="C1673" s="11">
        <v>210.65778548645457</v>
      </c>
      <c r="D1673" s="42"/>
    </row>
    <row r="1674" spans="2:4" ht="16" thickBot="1" x14ac:dyDescent="0.25">
      <c r="B1674" s="4">
        <v>1669</v>
      </c>
      <c r="C1674" s="10">
        <v>308.84071342624708</v>
      </c>
      <c r="D1674" s="42"/>
    </row>
    <row r="1675" spans="2:4" ht="16" thickBot="1" x14ac:dyDescent="0.25">
      <c r="B1675" s="5">
        <v>1670</v>
      </c>
      <c r="C1675" s="11">
        <v>185.36485304769457</v>
      </c>
      <c r="D1675" s="42"/>
    </row>
    <row r="1676" spans="2:4" ht="16" thickBot="1" x14ac:dyDescent="0.25">
      <c r="B1676" s="4">
        <v>1671</v>
      </c>
      <c r="C1676" s="10">
        <v>25.963849345971862</v>
      </c>
      <c r="D1676" s="42"/>
    </row>
    <row r="1677" spans="2:4" ht="16" thickBot="1" x14ac:dyDescent="0.25">
      <c r="B1677" s="5">
        <v>1672</v>
      </c>
      <c r="C1677" s="11">
        <v>51.73923704724244</v>
      </c>
      <c r="D1677" s="42"/>
    </row>
    <row r="1678" spans="2:4" ht="16" thickBot="1" x14ac:dyDescent="0.25">
      <c r="B1678" s="4">
        <v>1673</v>
      </c>
      <c r="C1678" s="10">
        <v>129.07084186762523</v>
      </c>
      <c r="D1678" s="42"/>
    </row>
    <row r="1679" spans="2:4" ht="16" thickBot="1" x14ac:dyDescent="0.25">
      <c r="B1679" s="5">
        <v>1674</v>
      </c>
      <c r="C1679" s="11">
        <v>200.27900796737984</v>
      </c>
      <c r="D1679" s="42"/>
    </row>
    <row r="1680" spans="2:4" ht="16" thickBot="1" x14ac:dyDescent="0.25">
      <c r="B1680" s="4">
        <v>1675</v>
      </c>
      <c r="C1680" s="10">
        <v>290.39708754369673</v>
      </c>
      <c r="D1680" s="42"/>
    </row>
    <row r="1681" spans="2:4" ht="16" thickBot="1" x14ac:dyDescent="0.25">
      <c r="B1681" s="5">
        <v>1676</v>
      </c>
      <c r="C1681" s="11">
        <v>255.79384610927238</v>
      </c>
      <c r="D1681" s="42"/>
    </row>
    <row r="1682" spans="2:4" ht="16" thickBot="1" x14ac:dyDescent="0.25">
      <c r="B1682" s="4">
        <v>1677</v>
      </c>
      <c r="C1682" s="10">
        <v>173.89032385256621</v>
      </c>
      <c r="D1682" s="42"/>
    </row>
    <row r="1683" spans="2:4" ht="16" thickBot="1" x14ac:dyDescent="0.25">
      <c r="B1683" s="5">
        <v>1678</v>
      </c>
      <c r="C1683" s="11">
        <v>311.74376203649837</v>
      </c>
      <c r="D1683" s="42"/>
    </row>
    <row r="1684" spans="2:4" ht="16" thickBot="1" x14ac:dyDescent="0.25">
      <c r="B1684" s="4">
        <v>1679</v>
      </c>
      <c r="C1684" s="10">
        <v>154.55992448521653</v>
      </c>
      <c r="D1684" s="42"/>
    </row>
    <row r="1685" spans="2:4" ht="16" thickBot="1" x14ac:dyDescent="0.25">
      <c r="B1685" s="5">
        <v>1680</v>
      </c>
      <c r="C1685" s="11">
        <v>346.62356728709426</v>
      </c>
      <c r="D1685" s="42"/>
    </row>
    <row r="1686" spans="2:4" ht="16" thickBot="1" x14ac:dyDescent="0.25">
      <c r="B1686" s="4">
        <v>1681</v>
      </c>
      <c r="C1686" s="10">
        <v>519.97312785074621</v>
      </c>
      <c r="D1686" s="42"/>
    </row>
    <row r="1687" spans="2:4" ht="16" thickBot="1" x14ac:dyDescent="0.25">
      <c r="B1687" s="5">
        <v>1682</v>
      </c>
      <c r="C1687" s="11">
        <v>170.35871527115597</v>
      </c>
      <c r="D1687" s="42"/>
    </row>
    <row r="1688" spans="2:4" ht="16" thickBot="1" x14ac:dyDescent="0.25">
      <c r="B1688" s="4">
        <v>1683</v>
      </c>
      <c r="C1688" s="10">
        <v>466.95191795394049</v>
      </c>
      <c r="D1688" s="42"/>
    </row>
    <row r="1689" spans="2:4" ht="16" thickBot="1" x14ac:dyDescent="0.25">
      <c r="B1689" s="5">
        <v>1684</v>
      </c>
      <c r="C1689" s="11">
        <v>198.78558262158813</v>
      </c>
      <c r="D1689" s="42"/>
    </row>
    <row r="1690" spans="2:4" ht="16" thickBot="1" x14ac:dyDescent="0.25">
      <c r="B1690" s="4">
        <v>1685</v>
      </c>
      <c r="C1690" s="10">
        <v>236.19091958614172</v>
      </c>
      <c r="D1690" s="42"/>
    </row>
    <row r="1691" spans="2:4" ht="16" thickBot="1" x14ac:dyDescent="0.25">
      <c r="B1691" s="5">
        <v>1686</v>
      </c>
      <c r="C1691" s="11">
        <v>144.17865722045227</v>
      </c>
      <c r="D1691" s="42"/>
    </row>
    <row r="1692" spans="2:4" ht="16" thickBot="1" x14ac:dyDescent="0.25">
      <c r="B1692" s="4">
        <v>1687</v>
      </c>
      <c r="C1692" s="10">
        <v>309.00305066790349</v>
      </c>
      <c r="D1692" s="42"/>
    </row>
    <row r="1693" spans="2:4" ht="16" thickBot="1" x14ac:dyDescent="0.25">
      <c r="B1693" s="5">
        <v>1688</v>
      </c>
      <c r="C1693" s="11">
        <v>238.75669115816234</v>
      </c>
      <c r="D1693" s="42"/>
    </row>
    <row r="1694" spans="2:4" ht="16" thickBot="1" x14ac:dyDescent="0.25">
      <c r="B1694" s="4">
        <v>1689</v>
      </c>
      <c r="C1694" s="10">
        <v>307.36214109660892</v>
      </c>
      <c r="D1694" s="42"/>
    </row>
    <row r="1695" spans="2:4" ht="16" thickBot="1" x14ac:dyDescent="0.25">
      <c r="B1695" s="5">
        <v>1690</v>
      </c>
      <c r="C1695" s="11">
        <v>582.38090965780111</v>
      </c>
      <c r="D1695" s="42"/>
    </row>
    <row r="1696" spans="2:4" ht="16" thickBot="1" x14ac:dyDescent="0.25">
      <c r="B1696" s="4">
        <v>1691</v>
      </c>
      <c r="C1696" s="10">
        <v>338.161875665308</v>
      </c>
      <c r="D1696" s="42"/>
    </row>
    <row r="1697" spans="2:4" ht="16" thickBot="1" x14ac:dyDescent="0.25">
      <c r="B1697" s="5">
        <v>1692</v>
      </c>
      <c r="C1697" s="11">
        <v>313.9191456302168</v>
      </c>
      <c r="D1697" s="42"/>
    </row>
    <row r="1698" spans="2:4" ht="16" thickBot="1" x14ac:dyDescent="0.25">
      <c r="B1698" s="4">
        <v>1693</v>
      </c>
      <c r="C1698" s="10">
        <v>276.40600344940788</v>
      </c>
      <c r="D1698" s="42"/>
    </row>
    <row r="1699" spans="2:4" ht="16" thickBot="1" x14ac:dyDescent="0.25">
      <c r="B1699" s="5">
        <v>1694</v>
      </c>
      <c r="C1699" s="11">
        <v>229.10769899013735</v>
      </c>
      <c r="D1699" s="42"/>
    </row>
    <row r="1700" spans="2:4" ht="16" thickBot="1" x14ac:dyDescent="0.25">
      <c r="B1700" s="4">
        <v>1695</v>
      </c>
      <c r="C1700" s="10">
        <v>242.56669555337263</v>
      </c>
      <c r="D1700" s="42"/>
    </row>
    <row r="1701" spans="2:4" ht="16" thickBot="1" x14ac:dyDescent="0.25">
      <c r="B1701" s="5">
        <v>1696</v>
      </c>
      <c r="C1701" s="11">
        <v>295.94252095631037</v>
      </c>
      <c r="D1701" s="42"/>
    </row>
    <row r="1702" spans="2:4" ht="16" thickBot="1" x14ac:dyDescent="0.25">
      <c r="B1702" s="4">
        <v>1697</v>
      </c>
      <c r="C1702" s="10">
        <v>133.66888696361727</v>
      </c>
      <c r="D1702" s="42"/>
    </row>
    <row r="1703" spans="2:4" ht="16" thickBot="1" x14ac:dyDescent="0.25">
      <c r="B1703" s="5">
        <v>1698</v>
      </c>
      <c r="C1703" s="11">
        <v>193.94420314523717</v>
      </c>
      <c r="D1703" s="42"/>
    </row>
    <row r="1704" spans="2:4" ht="16" thickBot="1" x14ac:dyDescent="0.25">
      <c r="B1704" s="4">
        <v>1699</v>
      </c>
      <c r="C1704" s="10">
        <v>78.528541214887866</v>
      </c>
      <c r="D1704" s="42"/>
    </row>
    <row r="1705" spans="2:4" ht="16" thickBot="1" x14ac:dyDescent="0.25">
      <c r="B1705" s="5">
        <v>1700</v>
      </c>
      <c r="C1705" s="11">
        <v>204.43787930034426</v>
      </c>
      <c r="D1705" s="42"/>
    </row>
    <row r="1706" spans="2:4" ht="16" thickBot="1" x14ac:dyDescent="0.25">
      <c r="B1706" s="4">
        <v>1701</v>
      </c>
      <c r="C1706" s="10">
        <v>220.65130409939093</v>
      </c>
      <c r="D1706" s="42"/>
    </row>
    <row r="1707" spans="2:4" ht="16" thickBot="1" x14ac:dyDescent="0.25">
      <c r="B1707" s="5">
        <v>1702</v>
      </c>
      <c r="C1707" s="11">
        <v>94.595240743844741</v>
      </c>
      <c r="D1707" s="42"/>
    </row>
    <row r="1708" spans="2:4" ht="16" thickBot="1" x14ac:dyDescent="0.25">
      <c r="B1708" s="4">
        <v>1703</v>
      </c>
      <c r="C1708" s="10">
        <v>308.23547380412811</v>
      </c>
      <c r="D1708" s="42"/>
    </row>
    <row r="1709" spans="2:4" ht="16" thickBot="1" x14ac:dyDescent="0.25">
      <c r="B1709" s="5">
        <v>1704</v>
      </c>
      <c r="C1709" s="11">
        <v>160.30282148017992</v>
      </c>
      <c r="D1709" s="42"/>
    </row>
    <row r="1710" spans="2:4" ht="16" thickBot="1" x14ac:dyDescent="0.25">
      <c r="B1710" s="4">
        <v>1705</v>
      </c>
      <c r="C1710" s="10">
        <v>239.38622030631731</v>
      </c>
      <c r="D1710" s="42"/>
    </row>
    <row r="1711" spans="2:4" ht="16" thickBot="1" x14ac:dyDescent="0.25">
      <c r="B1711" s="5">
        <v>1706</v>
      </c>
      <c r="C1711" s="11">
        <v>331.39107260780094</v>
      </c>
      <c r="D1711" s="42"/>
    </row>
    <row r="1712" spans="2:4" ht="16" thickBot="1" x14ac:dyDescent="0.25">
      <c r="B1712" s="4">
        <v>1707</v>
      </c>
      <c r="C1712" s="10">
        <v>117.69130559121045</v>
      </c>
      <c r="D1712" s="42"/>
    </row>
    <row r="1713" spans="2:4" ht="16" thickBot="1" x14ac:dyDescent="0.25">
      <c r="B1713" s="5">
        <v>1708</v>
      </c>
      <c r="C1713" s="11">
        <v>106.89005680091002</v>
      </c>
      <c r="D1713" s="42"/>
    </row>
    <row r="1714" spans="2:4" ht="16" thickBot="1" x14ac:dyDescent="0.25">
      <c r="B1714" s="4">
        <v>1709</v>
      </c>
      <c r="C1714" s="10">
        <v>755.05662587480322</v>
      </c>
      <c r="D1714" s="42"/>
    </row>
    <row r="1715" spans="2:4" ht="16" thickBot="1" x14ac:dyDescent="0.25">
      <c r="B1715" s="5">
        <v>1710</v>
      </c>
      <c r="C1715" s="11">
        <v>54.568269384566257</v>
      </c>
      <c r="D1715" s="42"/>
    </row>
    <row r="1716" spans="2:4" ht="16" thickBot="1" x14ac:dyDescent="0.25">
      <c r="B1716" s="4">
        <v>1711</v>
      </c>
      <c r="C1716" s="10">
        <v>416.88860086820108</v>
      </c>
      <c r="D1716" s="42"/>
    </row>
    <row r="1717" spans="2:4" ht="16" thickBot="1" x14ac:dyDescent="0.25">
      <c r="B1717" s="5">
        <v>1712</v>
      </c>
      <c r="C1717" s="11">
        <v>34.013811595927734</v>
      </c>
      <c r="D1717" s="42"/>
    </row>
    <row r="1718" spans="2:4" ht="16" thickBot="1" x14ac:dyDescent="0.25">
      <c r="B1718" s="4">
        <v>1713</v>
      </c>
      <c r="C1718" s="10">
        <v>292.41890809720553</v>
      </c>
      <c r="D1718" s="42"/>
    </row>
    <row r="1719" spans="2:4" ht="16" thickBot="1" x14ac:dyDescent="0.25">
      <c r="B1719" s="5">
        <v>1714</v>
      </c>
      <c r="C1719" s="11">
        <v>185.60631990060423</v>
      </c>
      <c r="D1719" s="42"/>
    </row>
    <row r="1720" spans="2:4" ht="16" thickBot="1" x14ac:dyDescent="0.25">
      <c r="B1720" s="4">
        <v>1715</v>
      </c>
      <c r="C1720" s="10">
        <v>400.9052749042566</v>
      </c>
      <c r="D1720" s="42"/>
    </row>
    <row r="1721" spans="2:4" ht="16" thickBot="1" x14ac:dyDescent="0.25">
      <c r="B1721" s="5">
        <v>1716</v>
      </c>
      <c r="C1721" s="11">
        <v>365.32583048978137</v>
      </c>
      <c r="D1721" s="42"/>
    </row>
    <row r="1722" spans="2:4" ht="16" thickBot="1" x14ac:dyDescent="0.25">
      <c r="B1722" s="4">
        <v>1717</v>
      </c>
      <c r="C1722" s="10">
        <v>181.80879021039974</v>
      </c>
      <c r="D1722" s="42"/>
    </row>
    <row r="1723" spans="2:4" ht="16" thickBot="1" x14ac:dyDescent="0.25">
      <c r="B1723" s="5">
        <v>1718</v>
      </c>
      <c r="C1723" s="11">
        <v>97.571155186505763</v>
      </c>
      <c r="D1723" s="42"/>
    </row>
    <row r="1724" spans="2:4" ht="16" thickBot="1" x14ac:dyDescent="0.25">
      <c r="B1724" s="4">
        <v>1719</v>
      </c>
      <c r="C1724" s="10">
        <v>585.65939482911415</v>
      </c>
      <c r="D1724" s="42"/>
    </row>
    <row r="1725" spans="2:4" ht="16" thickBot="1" x14ac:dyDescent="0.25">
      <c r="B1725" s="5">
        <v>1720</v>
      </c>
      <c r="C1725" s="11">
        <v>491.10463000783261</v>
      </c>
      <c r="D1725" s="42"/>
    </row>
    <row r="1726" spans="2:4" ht="16" thickBot="1" x14ac:dyDescent="0.25">
      <c r="B1726" s="4">
        <v>1721</v>
      </c>
      <c r="C1726" s="10">
        <v>87.347971301532056</v>
      </c>
      <c r="D1726" s="42"/>
    </row>
    <row r="1727" spans="2:4" ht="16" thickBot="1" x14ac:dyDescent="0.25">
      <c r="B1727" s="5">
        <v>1722</v>
      </c>
      <c r="C1727" s="11">
        <v>307.56051728765999</v>
      </c>
      <c r="D1727" s="42"/>
    </row>
    <row r="1728" spans="2:4" ht="16" thickBot="1" x14ac:dyDescent="0.25">
      <c r="B1728" s="4">
        <v>1723</v>
      </c>
      <c r="C1728" s="10">
        <v>477.94053963644552</v>
      </c>
      <c r="D1728" s="42"/>
    </row>
    <row r="1729" spans="2:4" ht="16" thickBot="1" x14ac:dyDescent="0.25">
      <c r="B1729" s="5">
        <v>1724</v>
      </c>
      <c r="C1729" s="11">
        <v>211.96141497053213</v>
      </c>
      <c r="D1729" s="42"/>
    </row>
    <row r="1730" spans="2:4" ht="16" thickBot="1" x14ac:dyDescent="0.25">
      <c r="B1730" s="4">
        <v>1725</v>
      </c>
      <c r="C1730" s="10">
        <v>357.15721002035775</v>
      </c>
      <c r="D1730" s="42"/>
    </row>
    <row r="1731" spans="2:4" ht="16" thickBot="1" x14ac:dyDescent="0.25">
      <c r="B1731" s="5">
        <v>1726</v>
      </c>
      <c r="C1731" s="11">
        <v>203.42329860109902</v>
      </c>
      <c r="D1731" s="42"/>
    </row>
    <row r="1732" spans="2:4" ht="16" thickBot="1" x14ac:dyDescent="0.25">
      <c r="B1732" s="4">
        <v>1727</v>
      </c>
      <c r="C1732" s="10">
        <v>192.23746369206737</v>
      </c>
      <c r="D1732" s="42"/>
    </row>
    <row r="1733" spans="2:4" ht="16" thickBot="1" x14ac:dyDescent="0.25">
      <c r="B1733" s="5">
        <v>1728</v>
      </c>
      <c r="C1733" s="11">
        <v>176.09017755873063</v>
      </c>
      <c r="D1733" s="42"/>
    </row>
    <row r="1734" spans="2:4" ht="16" thickBot="1" x14ac:dyDescent="0.25">
      <c r="B1734" s="4">
        <v>1729</v>
      </c>
      <c r="C1734" s="10">
        <v>476.44644444322978</v>
      </c>
      <c r="D1734" s="42"/>
    </row>
    <row r="1735" spans="2:4" ht="16" thickBot="1" x14ac:dyDescent="0.25">
      <c r="B1735" s="5">
        <v>1730</v>
      </c>
      <c r="C1735" s="11">
        <v>129.79193675346909</v>
      </c>
      <c r="D1735" s="42"/>
    </row>
    <row r="1736" spans="2:4" ht="16" thickBot="1" x14ac:dyDescent="0.25">
      <c r="B1736" s="4">
        <v>1731</v>
      </c>
      <c r="C1736" s="10">
        <v>404.74312475950467</v>
      </c>
      <c r="D1736" s="42"/>
    </row>
    <row r="1737" spans="2:4" ht="16" thickBot="1" x14ac:dyDescent="0.25">
      <c r="B1737" s="5">
        <v>1732</v>
      </c>
      <c r="C1737" s="11">
        <v>133.15546403794232</v>
      </c>
      <c r="D1737" s="42"/>
    </row>
    <row r="1738" spans="2:4" ht="16" thickBot="1" x14ac:dyDescent="0.25">
      <c r="B1738" s="4">
        <v>1733</v>
      </c>
      <c r="C1738" s="10">
        <v>294.97192651733639</v>
      </c>
      <c r="D1738" s="42"/>
    </row>
    <row r="1739" spans="2:4" ht="16" thickBot="1" x14ac:dyDescent="0.25">
      <c r="B1739" s="5">
        <v>1734</v>
      </c>
      <c r="C1739" s="11">
        <v>196.11401799659811</v>
      </c>
      <c r="D1739" s="42"/>
    </row>
    <row r="1740" spans="2:4" ht="16" thickBot="1" x14ac:dyDescent="0.25">
      <c r="B1740" s="4">
        <v>1735</v>
      </c>
      <c r="C1740" s="10">
        <v>156.7868662288241</v>
      </c>
      <c r="D1740" s="42"/>
    </row>
    <row r="1741" spans="2:4" ht="16" thickBot="1" x14ac:dyDescent="0.25">
      <c r="B1741" s="5">
        <v>1736</v>
      </c>
      <c r="C1741" s="11">
        <v>488.50814386862407</v>
      </c>
      <c r="D1741" s="42"/>
    </row>
    <row r="1742" spans="2:4" ht="16" thickBot="1" x14ac:dyDescent="0.25">
      <c r="B1742" s="4">
        <v>1737</v>
      </c>
      <c r="C1742" s="10">
        <v>239.75241548913334</v>
      </c>
      <c r="D1742" s="42"/>
    </row>
    <row r="1743" spans="2:4" ht="16" thickBot="1" x14ac:dyDescent="0.25">
      <c r="B1743" s="5">
        <v>1738</v>
      </c>
      <c r="C1743" s="11">
        <v>340.85694347726167</v>
      </c>
      <c r="D1743" s="42"/>
    </row>
    <row r="1744" spans="2:4" ht="16" thickBot="1" x14ac:dyDescent="0.25">
      <c r="B1744" s="4">
        <v>1739</v>
      </c>
      <c r="C1744" s="10">
        <v>82.521575548155397</v>
      </c>
      <c r="D1744" s="42"/>
    </row>
    <row r="1745" spans="2:4" ht="16" thickBot="1" x14ac:dyDescent="0.25">
      <c r="B1745" s="5">
        <v>1740</v>
      </c>
      <c r="C1745" s="11">
        <v>306.4314314957104</v>
      </c>
      <c r="D1745" s="42"/>
    </row>
    <row r="1746" spans="2:4" ht="16" thickBot="1" x14ac:dyDescent="0.25">
      <c r="B1746" s="4">
        <v>1741</v>
      </c>
      <c r="C1746" s="10">
        <v>158.88819892824014</v>
      </c>
      <c r="D1746" s="42"/>
    </row>
    <row r="1747" spans="2:4" ht="16" thickBot="1" x14ac:dyDescent="0.25">
      <c r="B1747" s="5">
        <v>1742</v>
      </c>
      <c r="C1747" s="11">
        <v>260.85805891040621</v>
      </c>
      <c r="D1747" s="42"/>
    </row>
    <row r="1748" spans="2:4" ht="16" thickBot="1" x14ac:dyDescent="0.25">
      <c r="B1748" s="4">
        <v>1743</v>
      </c>
      <c r="C1748" s="10">
        <v>97.633160488548853</v>
      </c>
      <c r="D1748" s="42"/>
    </row>
    <row r="1749" spans="2:4" ht="16" thickBot="1" x14ac:dyDescent="0.25">
      <c r="B1749" s="5">
        <v>1744</v>
      </c>
      <c r="C1749" s="11">
        <v>574.87768307839974</v>
      </c>
      <c r="D1749" s="42"/>
    </row>
    <row r="1750" spans="2:4" ht="16" thickBot="1" x14ac:dyDescent="0.25">
      <c r="B1750" s="4">
        <v>1745</v>
      </c>
      <c r="C1750" s="10">
        <v>151.24653287133538</v>
      </c>
      <c r="D1750" s="42"/>
    </row>
    <row r="1751" spans="2:4" ht="16" thickBot="1" x14ac:dyDescent="0.25">
      <c r="B1751" s="5">
        <v>1746</v>
      </c>
      <c r="C1751" s="11">
        <v>286.48130046634913</v>
      </c>
      <c r="D1751" s="42"/>
    </row>
    <row r="1752" spans="2:4" ht="16" thickBot="1" x14ac:dyDescent="0.25">
      <c r="B1752" s="4">
        <v>1747</v>
      </c>
      <c r="C1752" s="10">
        <v>513.63695644298355</v>
      </c>
      <c r="D1752" s="42"/>
    </row>
    <row r="1753" spans="2:4" ht="16" thickBot="1" x14ac:dyDescent="0.25">
      <c r="B1753" s="5">
        <v>1748</v>
      </c>
      <c r="C1753" s="11">
        <v>226.24566118981235</v>
      </c>
      <c r="D1753" s="42"/>
    </row>
    <row r="1754" spans="2:4" ht="16" thickBot="1" x14ac:dyDescent="0.25">
      <c r="B1754" s="4">
        <v>1749</v>
      </c>
      <c r="C1754" s="10">
        <v>350.98992744462555</v>
      </c>
      <c r="D1754" s="42"/>
    </row>
    <row r="1755" spans="2:4" ht="16" thickBot="1" x14ac:dyDescent="0.25">
      <c r="B1755" s="5">
        <v>1750</v>
      </c>
      <c r="C1755" s="11">
        <v>355.41083483000409</v>
      </c>
      <c r="D1755" s="42"/>
    </row>
    <row r="1756" spans="2:4" ht="16" thickBot="1" x14ac:dyDescent="0.25">
      <c r="B1756" s="4">
        <v>1751</v>
      </c>
      <c r="C1756" s="10">
        <v>125.10386471236575</v>
      </c>
      <c r="D1756" s="42"/>
    </row>
    <row r="1757" spans="2:4" ht="16" thickBot="1" x14ac:dyDescent="0.25">
      <c r="B1757" s="5">
        <v>1752</v>
      </c>
      <c r="C1757" s="11">
        <v>672.09875111746294</v>
      </c>
      <c r="D1757" s="42"/>
    </row>
    <row r="1758" spans="2:4" ht="16" thickBot="1" x14ac:dyDescent="0.25">
      <c r="B1758" s="4">
        <v>1753</v>
      </c>
      <c r="C1758" s="10">
        <v>182.4755743696233</v>
      </c>
      <c r="D1758" s="42"/>
    </row>
    <row r="1759" spans="2:4" ht="16" thickBot="1" x14ac:dyDescent="0.25">
      <c r="B1759" s="5">
        <v>1754</v>
      </c>
      <c r="C1759" s="11">
        <v>246.57787685597009</v>
      </c>
      <c r="D1759" s="42"/>
    </row>
    <row r="1760" spans="2:4" ht="16" thickBot="1" x14ac:dyDescent="0.25">
      <c r="B1760" s="4">
        <v>1755</v>
      </c>
      <c r="C1760" s="10">
        <v>265.86181158920607</v>
      </c>
      <c r="D1760" s="42"/>
    </row>
    <row r="1761" spans="2:4" ht="16" thickBot="1" x14ac:dyDescent="0.25">
      <c r="B1761" s="5">
        <v>1756</v>
      </c>
      <c r="C1761" s="11">
        <v>185.06160264009466</v>
      </c>
      <c r="D1761" s="42"/>
    </row>
    <row r="1762" spans="2:4" ht="16" thickBot="1" x14ac:dyDescent="0.25">
      <c r="B1762" s="4">
        <v>1757</v>
      </c>
      <c r="C1762" s="10">
        <v>180.27748679692212</v>
      </c>
      <c r="D1762" s="42"/>
    </row>
    <row r="1763" spans="2:4" ht="16" thickBot="1" x14ac:dyDescent="0.25">
      <c r="B1763" s="5">
        <v>1758</v>
      </c>
      <c r="C1763" s="11">
        <v>109.16226154034251</v>
      </c>
      <c r="D1763" s="42"/>
    </row>
    <row r="1764" spans="2:4" ht="16" thickBot="1" x14ac:dyDescent="0.25">
      <c r="B1764" s="4">
        <v>1759</v>
      </c>
      <c r="C1764" s="10">
        <v>384.58594959894617</v>
      </c>
      <c r="D1764" s="42"/>
    </row>
    <row r="1765" spans="2:4" ht="16" thickBot="1" x14ac:dyDescent="0.25">
      <c r="B1765" s="5">
        <v>1760</v>
      </c>
      <c r="C1765" s="11">
        <v>461.31600977645007</v>
      </c>
      <c r="D1765" s="42"/>
    </row>
    <row r="1766" spans="2:4" ht="16" thickBot="1" x14ac:dyDescent="0.25">
      <c r="B1766" s="4">
        <v>1761</v>
      </c>
      <c r="C1766" s="10">
        <v>405.57636379520966</v>
      </c>
      <c r="D1766" s="42"/>
    </row>
    <row r="1767" spans="2:4" ht="16" thickBot="1" x14ac:dyDescent="0.25">
      <c r="B1767" s="5">
        <v>1762</v>
      </c>
      <c r="C1767" s="11">
        <v>172.02713187626469</v>
      </c>
      <c r="D1767" s="42"/>
    </row>
    <row r="1768" spans="2:4" ht="16" thickBot="1" x14ac:dyDescent="0.25">
      <c r="B1768" s="4">
        <v>1763</v>
      </c>
      <c r="C1768" s="10">
        <v>202.26543217425365</v>
      </c>
      <c r="D1768" s="42"/>
    </row>
    <row r="1769" spans="2:4" ht="16" thickBot="1" x14ac:dyDescent="0.25">
      <c r="B1769" s="5">
        <v>1764</v>
      </c>
      <c r="C1769" s="11">
        <v>171.09351733336536</v>
      </c>
      <c r="D1769" s="42"/>
    </row>
    <row r="1770" spans="2:4" ht="16" thickBot="1" x14ac:dyDescent="0.25">
      <c r="B1770" s="4">
        <v>1765</v>
      </c>
      <c r="C1770" s="10">
        <v>137.43325240536439</v>
      </c>
      <c r="D1770" s="42"/>
    </row>
    <row r="1771" spans="2:4" ht="16" thickBot="1" x14ac:dyDescent="0.25">
      <c r="B1771" s="5">
        <v>1766</v>
      </c>
      <c r="C1771" s="11">
        <v>93.849429752968746</v>
      </c>
      <c r="D1771" s="42"/>
    </row>
    <row r="1772" spans="2:4" ht="16" thickBot="1" x14ac:dyDescent="0.25">
      <c r="B1772" s="4">
        <v>1767</v>
      </c>
      <c r="C1772" s="10">
        <v>398.31943071825759</v>
      </c>
      <c r="D1772" s="42"/>
    </row>
    <row r="1773" spans="2:4" ht="16" thickBot="1" x14ac:dyDescent="0.25">
      <c r="B1773" s="5">
        <v>1768</v>
      </c>
      <c r="C1773" s="11">
        <v>319.82763875689642</v>
      </c>
      <c r="D1773" s="42"/>
    </row>
    <row r="1774" spans="2:4" ht="16" thickBot="1" x14ac:dyDescent="0.25">
      <c r="B1774" s="4">
        <v>1769</v>
      </c>
      <c r="C1774" s="10">
        <v>307.34532596536752</v>
      </c>
      <c r="D1774" s="42"/>
    </row>
    <row r="1775" spans="2:4" ht="16" thickBot="1" x14ac:dyDescent="0.25">
      <c r="B1775" s="5">
        <v>1770</v>
      </c>
      <c r="C1775" s="11">
        <v>433.48529236413816</v>
      </c>
      <c r="D1775" s="42"/>
    </row>
    <row r="1776" spans="2:4" ht="16" thickBot="1" x14ac:dyDescent="0.25">
      <c r="B1776" s="4">
        <v>1771</v>
      </c>
      <c r="C1776" s="10">
        <v>737.39648474201158</v>
      </c>
      <c r="D1776" s="42"/>
    </row>
    <row r="1777" spans="2:4" ht="16" thickBot="1" x14ac:dyDescent="0.25">
      <c r="B1777" s="5">
        <v>1772</v>
      </c>
      <c r="C1777" s="11">
        <v>247.41952349869067</v>
      </c>
      <c r="D1777" s="42"/>
    </row>
    <row r="1778" spans="2:4" ht="16" thickBot="1" x14ac:dyDescent="0.25">
      <c r="B1778" s="4">
        <v>1773</v>
      </c>
      <c r="C1778" s="10">
        <v>509.16288547395334</v>
      </c>
      <c r="D1778" s="42"/>
    </row>
    <row r="1779" spans="2:4" ht="16" thickBot="1" x14ac:dyDescent="0.25">
      <c r="B1779" s="5">
        <v>1774</v>
      </c>
      <c r="C1779" s="11">
        <v>85.327606774016004</v>
      </c>
      <c r="D1779" s="42"/>
    </row>
    <row r="1780" spans="2:4" ht="16" thickBot="1" x14ac:dyDescent="0.25">
      <c r="B1780" s="4">
        <v>1775</v>
      </c>
      <c r="C1780" s="10">
        <v>228.48441299152793</v>
      </c>
      <c r="D1780" s="42"/>
    </row>
    <row r="1781" spans="2:4" ht="16" thickBot="1" x14ac:dyDescent="0.25">
      <c r="B1781" s="5">
        <v>1776</v>
      </c>
      <c r="C1781" s="11">
        <v>394.93822581684299</v>
      </c>
      <c r="D1781" s="42"/>
    </row>
    <row r="1782" spans="2:4" ht="16" thickBot="1" x14ac:dyDescent="0.25">
      <c r="B1782" s="4">
        <v>1777</v>
      </c>
      <c r="C1782" s="10">
        <v>324.85673651878403</v>
      </c>
      <c r="D1782" s="42"/>
    </row>
    <row r="1783" spans="2:4" ht="16" thickBot="1" x14ac:dyDescent="0.25">
      <c r="B1783" s="5">
        <v>1778</v>
      </c>
      <c r="C1783" s="11">
        <v>530.11649053047233</v>
      </c>
      <c r="D1783" s="42"/>
    </row>
    <row r="1784" spans="2:4" ht="16" thickBot="1" x14ac:dyDescent="0.25">
      <c r="B1784" s="4">
        <v>1779</v>
      </c>
      <c r="C1784" s="10">
        <v>204.09471483927575</v>
      </c>
      <c r="D1784" s="42"/>
    </row>
    <row r="1785" spans="2:4" ht="16" thickBot="1" x14ac:dyDescent="0.25">
      <c r="B1785" s="5">
        <v>1780</v>
      </c>
      <c r="C1785" s="11">
        <v>97.487006133659861</v>
      </c>
      <c r="D1785" s="42"/>
    </row>
    <row r="1786" spans="2:4" ht="16" thickBot="1" x14ac:dyDescent="0.25">
      <c r="B1786" s="4">
        <v>1781</v>
      </c>
      <c r="C1786" s="10">
        <v>290.96392060577836</v>
      </c>
      <c r="D1786" s="42"/>
    </row>
    <row r="1787" spans="2:4" ht="16" thickBot="1" x14ac:dyDescent="0.25">
      <c r="B1787" s="5">
        <v>1782</v>
      </c>
      <c r="C1787" s="11">
        <v>444.41193529207106</v>
      </c>
      <c r="D1787" s="42"/>
    </row>
    <row r="1788" spans="2:4" ht="16" thickBot="1" x14ac:dyDescent="0.25">
      <c r="B1788" s="4">
        <v>1783</v>
      </c>
      <c r="C1788" s="10">
        <v>274.3546940687412</v>
      </c>
      <c r="D1788" s="42"/>
    </row>
    <row r="1789" spans="2:4" ht="16" thickBot="1" x14ac:dyDescent="0.25">
      <c r="B1789" s="5">
        <v>1784</v>
      </c>
      <c r="C1789" s="11">
        <v>162.76043619737939</v>
      </c>
      <c r="D1789" s="42"/>
    </row>
    <row r="1790" spans="2:4" ht="16" thickBot="1" x14ac:dyDescent="0.25">
      <c r="B1790" s="4">
        <v>1785</v>
      </c>
      <c r="C1790" s="10">
        <v>208.30195656310804</v>
      </c>
      <c r="D1790" s="42"/>
    </row>
    <row r="1791" spans="2:4" ht="16" thickBot="1" x14ac:dyDescent="0.25">
      <c r="B1791" s="5">
        <v>1786</v>
      </c>
      <c r="C1791" s="11">
        <v>254.43925412718895</v>
      </c>
      <c r="D1791" s="42"/>
    </row>
    <row r="1792" spans="2:4" ht="16" thickBot="1" x14ac:dyDescent="0.25">
      <c r="B1792" s="4">
        <v>1787</v>
      </c>
      <c r="C1792" s="10">
        <v>230.85737728415273</v>
      </c>
      <c r="D1792" s="42"/>
    </row>
    <row r="1793" spans="2:4" ht="16" thickBot="1" x14ac:dyDescent="0.25">
      <c r="B1793" s="5">
        <v>1788</v>
      </c>
      <c r="C1793" s="11">
        <v>312.71109688126722</v>
      </c>
      <c r="D1793" s="42"/>
    </row>
    <row r="1794" spans="2:4" ht="16" thickBot="1" x14ac:dyDescent="0.25">
      <c r="B1794" s="4">
        <v>1789</v>
      </c>
      <c r="C1794" s="10">
        <v>109.05586630676081</v>
      </c>
      <c r="D1794" s="42"/>
    </row>
    <row r="1795" spans="2:4" ht="16" thickBot="1" x14ac:dyDescent="0.25">
      <c r="B1795" s="5">
        <v>1790</v>
      </c>
      <c r="C1795" s="11">
        <v>223.98651879948702</v>
      </c>
      <c r="D1795" s="42"/>
    </row>
    <row r="1796" spans="2:4" ht="16" thickBot="1" x14ac:dyDescent="0.25">
      <c r="B1796" s="4">
        <v>1791</v>
      </c>
      <c r="C1796" s="10">
        <v>271.1456838537099</v>
      </c>
      <c r="D1796" s="42"/>
    </row>
    <row r="1797" spans="2:4" ht="16" thickBot="1" x14ac:dyDescent="0.25">
      <c r="B1797" s="5">
        <v>1792</v>
      </c>
      <c r="C1797" s="11">
        <v>58.205034595792277</v>
      </c>
      <c r="D1797" s="42"/>
    </row>
    <row r="1798" spans="2:4" ht="16" thickBot="1" x14ac:dyDescent="0.25">
      <c r="B1798" s="4">
        <v>1793</v>
      </c>
      <c r="C1798" s="10">
        <v>81.826264350024999</v>
      </c>
      <c r="D1798" s="42"/>
    </row>
    <row r="1799" spans="2:4" ht="16" thickBot="1" x14ac:dyDescent="0.25">
      <c r="B1799" s="5">
        <v>1794</v>
      </c>
      <c r="C1799" s="11">
        <v>374.57636639916359</v>
      </c>
      <c r="D1799" s="42"/>
    </row>
    <row r="1800" spans="2:4" ht="16" thickBot="1" x14ac:dyDescent="0.25">
      <c r="B1800" s="4">
        <v>1795</v>
      </c>
      <c r="C1800" s="10">
        <v>392.36384406157907</v>
      </c>
      <c r="D1800" s="42"/>
    </row>
    <row r="1801" spans="2:4" ht="16" thickBot="1" x14ac:dyDescent="0.25">
      <c r="B1801" s="5">
        <v>1796</v>
      </c>
      <c r="C1801" s="11">
        <v>599.4151141886307</v>
      </c>
      <c r="D1801" s="42"/>
    </row>
    <row r="1802" spans="2:4" ht="16" thickBot="1" x14ac:dyDescent="0.25">
      <c r="B1802" s="4">
        <v>1797</v>
      </c>
      <c r="C1802" s="10">
        <v>271.78092747280135</v>
      </c>
      <c r="D1802" s="42"/>
    </row>
    <row r="1803" spans="2:4" ht="16" thickBot="1" x14ac:dyDescent="0.25">
      <c r="B1803" s="5">
        <v>1798</v>
      </c>
      <c r="C1803" s="11">
        <v>583.34393189762466</v>
      </c>
      <c r="D1803" s="42"/>
    </row>
    <row r="1804" spans="2:4" ht="16" thickBot="1" x14ac:dyDescent="0.25">
      <c r="B1804" s="4">
        <v>1799</v>
      </c>
      <c r="C1804" s="10">
        <v>400.43900048599096</v>
      </c>
      <c r="D1804" s="42"/>
    </row>
    <row r="1805" spans="2:4" ht="16" thickBot="1" x14ac:dyDescent="0.25">
      <c r="B1805" s="5">
        <v>1800</v>
      </c>
      <c r="C1805" s="11">
        <v>359.25028771184788</v>
      </c>
      <c r="D1805" s="42"/>
    </row>
    <row r="1806" spans="2:4" ht="16" thickBot="1" x14ac:dyDescent="0.25">
      <c r="B1806" s="4">
        <v>1801</v>
      </c>
      <c r="C1806" s="10">
        <v>617.16051896380657</v>
      </c>
      <c r="D1806" s="42"/>
    </row>
    <row r="1807" spans="2:4" ht="16" thickBot="1" x14ac:dyDescent="0.25">
      <c r="B1807" s="5">
        <v>1802</v>
      </c>
      <c r="C1807" s="11">
        <v>359.20521335965867</v>
      </c>
      <c r="D1807" s="42"/>
    </row>
    <row r="1808" spans="2:4" ht="16" thickBot="1" x14ac:dyDescent="0.25">
      <c r="B1808" s="4">
        <v>1803</v>
      </c>
      <c r="C1808" s="10">
        <v>90.494278723888854</v>
      </c>
      <c r="D1808" s="42"/>
    </row>
    <row r="1809" spans="2:4" ht="16" thickBot="1" x14ac:dyDescent="0.25">
      <c r="B1809" s="5">
        <v>1804</v>
      </c>
      <c r="C1809" s="11">
        <v>173.90997518258047</v>
      </c>
      <c r="D1809" s="42"/>
    </row>
    <row r="1810" spans="2:4" ht="16" thickBot="1" x14ac:dyDescent="0.25">
      <c r="B1810" s="4">
        <v>1805</v>
      </c>
      <c r="C1810" s="10">
        <v>325.24352243296687</v>
      </c>
      <c r="D1810" s="42"/>
    </row>
    <row r="1811" spans="2:4" ht="16" thickBot="1" x14ac:dyDescent="0.25">
      <c r="B1811" s="5">
        <v>1806</v>
      </c>
      <c r="C1811" s="11">
        <v>413.92121771990821</v>
      </c>
      <c r="D1811" s="42"/>
    </row>
    <row r="1812" spans="2:4" ht="16" thickBot="1" x14ac:dyDescent="0.25">
      <c r="B1812" s="4">
        <v>1807</v>
      </c>
      <c r="C1812" s="10">
        <v>376.27245422311159</v>
      </c>
      <c r="D1812" s="42"/>
    </row>
    <row r="1813" spans="2:4" ht="16" thickBot="1" x14ac:dyDescent="0.25">
      <c r="B1813" s="5">
        <v>1808</v>
      </c>
      <c r="C1813" s="11">
        <v>432.29554733665339</v>
      </c>
      <c r="D1813" s="42"/>
    </row>
    <row r="1814" spans="2:4" ht="16" thickBot="1" x14ac:dyDescent="0.25">
      <c r="B1814" s="4">
        <v>1809</v>
      </c>
      <c r="C1814" s="10">
        <v>413.53719908508998</v>
      </c>
      <c r="D1814" s="42"/>
    </row>
    <row r="1815" spans="2:4" ht="16" thickBot="1" x14ac:dyDescent="0.25">
      <c r="B1815" s="5">
        <v>1810</v>
      </c>
      <c r="C1815" s="11">
        <v>332.39609248471811</v>
      </c>
      <c r="D1815" s="42"/>
    </row>
    <row r="1816" spans="2:4" ht="16" thickBot="1" x14ac:dyDescent="0.25">
      <c r="B1816" s="4">
        <v>1811</v>
      </c>
      <c r="C1816" s="10">
        <v>127.11963471893911</v>
      </c>
      <c r="D1816" s="42"/>
    </row>
    <row r="1817" spans="2:4" ht="16" thickBot="1" x14ac:dyDescent="0.25">
      <c r="B1817" s="5">
        <v>1812</v>
      </c>
      <c r="C1817" s="11">
        <v>454.06656797257284</v>
      </c>
      <c r="D1817" s="42"/>
    </row>
    <row r="1818" spans="2:4" ht="16" thickBot="1" x14ac:dyDescent="0.25">
      <c r="B1818" s="4">
        <v>1813</v>
      </c>
      <c r="C1818" s="10">
        <v>84.808681303449816</v>
      </c>
      <c r="D1818" s="42"/>
    </row>
    <row r="1819" spans="2:4" ht="16" thickBot="1" x14ac:dyDescent="0.25">
      <c r="B1819" s="5">
        <v>1814</v>
      </c>
      <c r="C1819" s="11">
        <v>80.406920300735848</v>
      </c>
      <c r="D1819" s="42"/>
    </row>
    <row r="1820" spans="2:4" ht="16" thickBot="1" x14ac:dyDescent="0.25">
      <c r="B1820" s="4">
        <v>1815</v>
      </c>
      <c r="C1820" s="10">
        <v>188.43337796610516</v>
      </c>
      <c r="D1820" s="42"/>
    </row>
    <row r="1821" spans="2:4" ht="16" thickBot="1" x14ac:dyDescent="0.25">
      <c r="B1821" s="5">
        <v>1816</v>
      </c>
      <c r="C1821" s="11">
        <v>144.18801612348167</v>
      </c>
      <c r="D1821" s="42"/>
    </row>
    <row r="1822" spans="2:4" ht="16" thickBot="1" x14ac:dyDescent="0.25">
      <c r="B1822" s="4">
        <v>1817</v>
      </c>
      <c r="C1822" s="10">
        <v>375.24733136211677</v>
      </c>
      <c r="D1822" s="42"/>
    </row>
    <row r="1823" spans="2:4" ht="16" thickBot="1" x14ac:dyDescent="0.25">
      <c r="B1823" s="5">
        <v>1818</v>
      </c>
      <c r="C1823" s="11">
        <v>298.36605661925796</v>
      </c>
      <c r="D1823" s="42"/>
    </row>
    <row r="1824" spans="2:4" ht="16" thickBot="1" x14ac:dyDescent="0.25">
      <c r="B1824" s="4">
        <v>1819</v>
      </c>
      <c r="C1824" s="10">
        <v>38.138048281117982</v>
      </c>
      <c r="D1824" s="42"/>
    </row>
    <row r="1825" spans="2:4" ht="16" thickBot="1" x14ac:dyDescent="0.25">
      <c r="B1825" s="5">
        <v>1820</v>
      </c>
      <c r="C1825" s="11">
        <v>149.00088524863082</v>
      </c>
      <c r="D1825" s="42"/>
    </row>
    <row r="1826" spans="2:4" ht="16" thickBot="1" x14ac:dyDescent="0.25">
      <c r="B1826" s="4">
        <v>1821</v>
      </c>
      <c r="C1826" s="10">
        <v>269.23743784187974</v>
      </c>
      <c r="D1826" s="42"/>
    </row>
    <row r="1827" spans="2:4" ht="16" thickBot="1" x14ac:dyDescent="0.25">
      <c r="B1827" s="5">
        <v>1822</v>
      </c>
      <c r="C1827" s="11">
        <v>333.5067296110044</v>
      </c>
      <c r="D1827" s="42"/>
    </row>
    <row r="1828" spans="2:4" ht="16" thickBot="1" x14ac:dyDescent="0.25">
      <c r="B1828" s="4">
        <v>1823</v>
      </c>
      <c r="C1828" s="10">
        <v>268.93152451953216</v>
      </c>
      <c r="D1828" s="42"/>
    </row>
    <row r="1829" spans="2:4" ht="16" thickBot="1" x14ac:dyDescent="0.25">
      <c r="B1829" s="5">
        <v>1824</v>
      </c>
      <c r="C1829" s="11">
        <v>446.88784681997669</v>
      </c>
      <c r="D1829" s="42"/>
    </row>
    <row r="1830" spans="2:4" ht="16" thickBot="1" x14ac:dyDescent="0.25">
      <c r="B1830" s="4">
        <v>1825</v>
      </c>
      <c r="C1830" s="10">
        <v>214.25317494251374</v>
      </c>
      <c r="D1830" s="42"/>
    </row>
    <row r="1831" spans="2:4" ht="16" thickBot="1" x14ac:dyDescent="0.25">
      <c r="B1831" s="5">
        <v>1826</v>
      </c>
      <c r="C1831" s="11">
        <v>282.30225848867354</v>
      </c>
      <c r="D1831" s="42"/>
    </row>
    <row r="1832" spans="2:4" ht="16" thickBot="1" x14ac:dyDescent="0.25">
      <c r="B1832" s="4">
        <v>1827</v>
      </c>
      <c r="C1832" s="10">
        <v>183.58930862270373</v>
      </c>
      <c r="D1832" s="42"/>
    </row>
    <row r="1833" spans="2:4" ht="16" thickBot="1" x14ac:dyDescent="0.25">
      <c r="B1833" s="5">
        <v>1828</v>
      </c>
      <c r="C1833" s="11">
        <v>623.99546025080349</v>
      </c>
      <c r="D1833" s="42"/>
    </row>
    <row r="1834" spans="2:4" ht="16" thickBot="1" x14ac:dyDescent="0.25">
      <c r="B1834" s="4">
        <v>1829</v>
      </c>
      <c r="C1834" s="10">
        <v>330.82265362761052</v>
      </c>
      <c r="D1834" s="42"/>
    </row>
    <row r="1835" spans="2:4" ht="16" thickBot="1" x14ac:dyDescent="0.25">
      <c r="B1835" s="5">
        <v>1830</v>
      </c>
      <c r="C1835" s="11">
        <v>382.41764148696956</v>
      </c>
      <c r="D1835" s="42"/>
    </row>
    <row r="1836" spans="2:4" ht="16" thickBot="1" x14ac:dyDescent="0.25">
      <c r="B1836" s="4">
        <v>1831</v>
      </c>
      <c r="C1836" s="10">
        <v>364.98568185741595</v>
      </c>
      <c r="D1836" s="42"/>
    </row>
    <row r="1837" spans="2:4" ht="16" thickBot="1" x14ac:dyDescent="0.25">
      <c r="B1837" s="5">
        <v>1832</v>
      </c>
      <c r="C1837" s="11">
        <v>312.46736031712123</v>
      </c>
      <c r="D1837" s="42"/>
    </row>
    <row r="1838" spans="2:4" ht="16" thickBot="1" x14ac:dyDescent="0.25">
      <c r="B1838" s="4">
        <v>1833</v>
      </c>
      <c r="C1838" s="10">
        <v>446.89650513977693</v>
      </c>
      <c r="D1838" s="42"/>
    </row>
    <row r="1839" spans="2:4" ht="16" thickBot="1" x14ac:dyDescent="0.25">
      <c r="B1839" s="5">
        <v>1834</v>
      </c>
      <c r="C1839" s="11">
        <v>92.460141871668199</v>
      </c>
      <c r="D1839" s="42"/>
    </row>
    <row r="1840" spans="2:4" ht="16" thickBot="1" x14ac:dyDescent="0.25">
      <c r="B1840" s="4">
        <v>1835</v>
      </c>
      <c r="C1840" s="10">
        <v>196.44223028221211</v>
      </c>
      <c r="D1840" s="42"/>
    </row>
    <row r="1841" spans="2:4" ht="16" thickBot="1" x14ac:dyDescent="0.25">
      <c r="B1841" s="5">
        <v>1836</v>
      </c>
      <c r="C1841" s="11">
        <v>507.53010973526688</v>
      </c>
      <c r="D1841" s="42"/>
    </row>
    <row r="1842" spans="2:4" ht="16" thickBot="1" x14ac:dyDescent="0.25">
      <c r="B1842" s="4">
        <v>1837</v>
      </c>
      <c r="C1842" s="10">
        <v>204.71074825926712</v>
      </c>
      <c r="D1842" s="42"/>
    </row>
    <row r="1843" spans="2:4" ht="16" thickBot="1" x14ac:dyDescent="0.25">
      <c r="B1843" s="5">
        <v>1838</v>
      </c>
      <c r="C1843" s="11">
        <v>118.5700318879255</v>
      </c>
      <c r="D1843" s="42"/>
    </row>
    <row r="1844" spans="2:4" ht="16" thickBot="1" x14ac:dyDescent="0.25">
      <c r="B1844" s="4">
        <v>1839</v>
      </c>
      <c r="C1844" s="10">
        <v>321.04184041916244</v>
      </c>
      <c r="D1844" s="42"/>
    </row>
    <row r="1845" spans="2:4" ht="16" thickBot="1" x14ac:dyDescent="0.25">
      <c r="B1845" s="5">
        <v>1840</v>
      </c>
      <c r="C1845" s="11">
        <v>473.58704255687093</v>
      </c>
      <c r="D1845" s="42"/>
    </row>
    <row r="1846" spans="2:4" ht="16" thickBot="1" x14ac:dyDescent="0.25">
      <c r="B1846" s="4">
        <v>1841</v>
      </c>
      <c r="C1846" s="10">
        <v>174.57210116738892</v>
      </c>
      <c r="D1846" s="42"/>
    </row>
    <row r="1847" spans="2:4" ht="16" thickBot="1" x14ac:dyDescent="0.25">
      <c r="B1847" s="5">
        <v>1842</v>
      </c>
      <c r="C1847" s="11">
        <v>256.53517414287637</v>
      </c>
      <c r="D1847" s="42"/>
    </row>
    <row r="1848" spans="2:4" ht="16" thickBot="1" x14ac:dyDescent="0.25">
      <c r="B1848" s="4">
        <v>1843</v>
      </c>
      <c r="C1848" s="10">
        <v>280.55628008554714</v>
      </c>
      <c r="D1848" s="42"/>
    </row>
    <row r="1849" spans="2:4" ht="16" thickBot="1" x14ac:dyDescent="0.25">
      <c r="B1849" s="5">
        <v>1844</v>
      </c>
      <c r="C1849" s="11">
        <v>128.65567772002058</v>
      </c>
      <c r="D1849" s="42"/>
    </row>
    <row r="1850" spans="2:4" ht="16" thickBot="1" x14ac:dyDescent="0.25">
      <c r="B1850" s="4">
        <v>1845</v>
      </c>
      <c r="C1850" s="10">
        <v>256.62823949659594</v>
      </c>
      <c r="D1850" s="42"/>
    </row>
    <row r="1851" spans="2:4" ht="16" thickBot="1" x14ac:dyDescent="0.25">
      <c r="B1851" s="5">
        <v>1846</v>
      </c>
      <c r="C1851" s="11">
        <v>101.20191320420822</v>
      </c>
      <c r="D1851" s="42"/>
    </row>
    <row r="1852" spans="2:4" ht="16" thickBot="1" x14ac:dyDescent="0.25">
      <c r="B1852" s="4">
        <v>1847</v>
      </c>
      <c r="C1852" s="10">
        <v>287.41136925549347</v>
      </c>
      <c r="D1852" s="42"/>
    </row>
    <row r="1853" spans="2:4" ht="16" thickBot="1" x14ac:dyDescent="0.25">
      <c r="B1853" s="5">
        <v>1848</v>
      </c>
      <c r="C1853" s="11">
        <v>249.51298808430229</v>
      </c>
      <c r="D1853" s="42"/>
    </row>
    <row r="1854" spans="2:4" ht="16" thickBot="1" x14ac:dyDescent="0.25">
      <c r="B1854" s="4">
        <v>1849</v>
      </c>
      <c r="C1854" s="10">
        <v>193.15599056611865</v>
      </c>
      <c r="D1854" s="42"/>
    </row>
    <row r="1855" spans="2:4" ht="16" thickBot="1" x14ac:dyDescent="0.25">
      <c r="B1855" s="5">
        <v>1850</v>
      </c>
      <c r="C1855" s="11">
        <v>215.99120863317475</v>
      </c>
      <c r="D1855" s="42"/>
    </row>
    <row r="1856" spans="2:4" ht="16" thickBot="1" x14ac:dyDescent="0.25">
      <c r="B1856" s="4">
        <v>1851</v>
      </c>
      <c r="C1856" s="10">
        <v>346.42412481563724</v>
      </c>
      <c r="D1856" s="42"/>
    </row>
    <row r="1857" spans="2:4" ht="16" thickBot="1" x14ac:dyDescent="0.25">
      <c r="B1857" s="5">
        <v>1852</v>
      </c>
      <c r="C1857" s="11">
        <v>276.00406849185839</v>
      </c>
      <c r="D1857" s="42"/>
    </row>
    <row r="1858" spans="2:4" ht="16" thickBot="1" x14ac:dyDescent="0.25">
      <c r="B1858" s="4">
        <v>1853</v>
      </c>
      <c r="C1858" s="10">
        <v>59.318910843660191</v>
      </c>
      <c r="D1858" s="42"/>
    </row>
    <row r="1859" spans="2:4" ht="16" thickBot="1" x14ac:dyDescent="0.25">
      <c r="B1859" s="5">
        <v>1854</v>
      </c>
      <c r="C1859" s="11">
        <v>156.51891821961419</v>
      </c>
      <c r="D1859" s="42"/>
    </row>
    <row r="1860" spans="2:4" ht="16" thickBot="1" x14ac:dyDescent="0.25">
      <c r="B1860" s="4">
        <v>1855</v>
      </c>
      <c r="C1860" s="10">
        <v>357.05658803915173</v>
      </c>
      <c r="D1860" s="42"/>
    </row>
    <row r="1861" spans="2:4" ht="16" thickBot="1" x14ac:dyDescent="0.25">
      <c r="B1861" s="5">
        <v>1856</v>
      </c>
      <c r="C1861" s="11">
        <v>138.70282684679233</v>
      </c>
      <c r="D1861" s="42"/>
    </row>
    <row r="1862" spans="2:4" ht="16" thickBot="1" x14ac:dyDescent="0.25">
      <c r="B1862" s="4">
        <v>1857</v>
      </c>
      <c r="C1862" s="10">
        <v>745.75592952514023</v>
      </c>
      <c r="D1862" s="42"/>
    </row>
    <row r="1863" spans="2:4" ht="16" thickBot="1" x14ac:dyDescent="0.25">
      <c r="B1863" s="5">
        <v>1858</v>
      </c>
      <c r="C1863" s="11">
        <v>213.78962157286486</v>
      </c>
      <c r="D1863" s="42"/>
    </row>
    <row r="1864" spans="2:4" ht="16" thickBot="1" x14ac:dyDescent="0.25">
      <c r="B1864" s="4">
        <v>1859</v>
      </c>
      <c r="C1864" s="10">
        <v>356.02531292244635</v>
      </c>
      <c r="D1864" s="42"/>
    </row>
    <row r="1865" spans="2:4" ht="16" thickBot="1" x14ac:dyDescent="0.25">
      <c r="B1865" s="5">
        <v>1860</v>
      </c>
      <c r="C1865" s="11">
        <v>333.13159616423815</v>
      </c>
      <c r="D1865" s="42"/>
    </row>
    <row r="1866" spans="2:4" ht="16" thickBot="1" x14ac:dyDescent="0.25">
      <c r="B1866" s="4">
        <v>1861</v>
      </c>
      <c r="C1866" s="10">
        <v>227.60255288291987</v>
      </c>
      <c r="D1866" s="42"/>
    </row>
    <row r="1867" spans="2:4" ht="16" thickBot="1" x14ac:dyDescent="0.25">
      <c r="B1867" s="5">
        <v>1862</v>
      </c>
      <c r="C1867" s="11">
        <v>197.10816278740185</v>
      </c>
      <c r="D1867" s="42"/>
    </row>
    <row r="1868" spans="2:4" ht="16" thickBot="1" x14ac:dyDescent="0.25">
      <c r="B1868" s="4">
        <v>1863</v>
      </c>
      <c r="C1868" s="10">
        <v>359.62837049597709</v>
      </c>
      <c r="D1868" s="42"/>
    </row>
    <row r="1869" spans="2:4" ht="16" thickBot="1" x14ac:dyDescent="0.25">
      <c r="B1869" s="5">
        <v>1864</v>
      </c>
      <c r="C1869" s="11">
        <v>203.0470185766367</v>
      </c>
      <c r="D1869" s="42"/>
    </row>
    <row r="1870" spans="2:4" ht="16" thickBot="1" x14ac:dyDescent="0.25">
      <c r="B1870" s="4">
        <v>1865</v>
      </c>
      <c r="C1870" s="10">
        <v>64.732716714845878</v>
      </c>
      <c r="D1870" s="42"/>
    </row>
    <row r="1871" spans="2:4" ht="16" thickBot="1" x14ac:dyDescent="0.25">
      <c r="B1871" s="5">
        <v>1866</v>
      </c>
      <c r="C1871" s="11">
        <v>367.47641138218108</v>
      </c>
      <c r="D1871" s="42"/>
    </row>
    <row r="1872" spans="2:4" ht="16" thickBot="1" x14ac:dyDescent="0.25">
      <c r="B1872" s="4">
        <v>1867</v>
      </c>
      <c r="C1872" s="10">
        <v>216.71860954410334</v>
      </c>
      <c r="D1872" s="42"/>
    </row>
    <row r="1873" spans="2:4" ht="16" thickBot="1" x14ac:dyDescent="0.25">
      <c r="B1873" s="5">
        <v>1868</v>
      </c>
      <c r="C1873" s="11">
        <v>218.99499658357573</v>
      </c>
      <c r="D1873" s="42"/>
    </row>
    <row r="1874" spans="2:4" ht="16" thickBot="1" x14ac:dyDescent="0.25">
      <c r="B1874" s="4">
        <v>1869</v>
      </c>
      <c r="C1874" s="10">
        <v>354.92062116439439</v>
      </c>
      <c r="D1874" s="42"/>
    </row>
    <row r="1875" spans="2:4" ht="16" thickBot="1" x14ac:dyDescent="0.25">
      <c r="B1875" s="5">
        <v>1870</v>
      </c>
      <c r="C1875" s="11">
        <v>255.09207945925922</v>
      </c>
      <c r="D1875" s="42"/>
    </row>
    <row r="1876" spans="2:4" ht="16" thickBot="1" x14ac:dyDescent="0.25">
      <c r="B1876" s="4">
        <v>1871</v>
      </c>
      <c r="C1876" s="10">
        <v>204.9309860461023</v>
      </c>
      <c r="D1876" s="42"/>
    </row>
    <row r="1877" spans="2:4" ht="16" thickBot="1" x14ac:dyDescent="0.25">
      <c r="B1877" s="5">
        <v>1872</v>
      </c>
      <c r="C1877" s="11">
        <v>199.46717716027237</v>
      </c>
      <c r="D1877" s="42"/>
    </row>
    <row r="1878" spans="2:4" ht="16" thickBot="1" x14ac:dyDescent="0.25">
      <c r="B1878" s="4">
        <v>1873</v>
      </c>
      <c r="C1878" s="10">
        <v>114.35435675648706</v>
      </c>
      <c r="D1878" s="42"/>
    </row>
    <row r="1879" spans="2:4" ht="16" thickBot="1" x14ac:dyDescent="0.25">
      <c r="B1879" s="5">
        <v>1874</v>
      </c>
      <c r="C1879" s="11">
        <v>426.61724386100758</v>
      </c>
      <c r="D1879" s="42"/>
    </row>
    <row r="1880" spans="2:4" ht="16" thickBot="1" x14ac:dyDescent="0.25">
      <c r="B1880" s="4">
        <v>1875</v>
      </c>
      <c r="C1880" s="10">
        <v>45.525737745032046</v>
      </c>
      <c r="D1880" s="42"/>
    </row>
    <row r="1881" spans="2:4" ht="16" thickBot="1" x14ac:dyDescent="0.25">
      <c r="B1881" s="5">
        <v>1876</v>
      </c>
      <c r="C1881" s="11">
        <v>251.22321661150622</v>
      </c>
      <c r="D1881" s="42"/>
    </row>
    <row r="1882" spans="2:4" ht="16" thickBot="1" x14ac:dyDescent="0.25">
      <c r="B1882" s="4">
        <v>1877</v>
      </c>
      <c r="C1882" s="10">
        <v>328.38755908267734</v>
      </c>
      <c r="D1882" s="42"/>
    </row>
    <row r="1883" spans="2:4" ht="16" thickBot="1" x14ac:dyDescent="0.25">
      <c r="B1883" s="5">
        <v>1878</v>
      </c>
      <c r="C1883" s="11">
        <v>387.05521367089426</v>
      </c>
      <c r="D1883" s="42"/>
    </row>
    <row r="1884" spans="2:4" ht="16" thickBot="1" x14ac:dyDescent="0.25">
      <c r="B1884" s="4">
        <v>1879</v>
      </c>
      <c r="C1884" s="10">
        <v>19.738316658465518</v>
      </c>
      <c r="D1884" s="42"/>
    </row>
    <row r="1885" spans="2:4" ht="16" thickBot="1" x14ac:dyDescent="0.25">
      <c r="B1885" s="5">
        <v>1880</v>
      </c>
      <c r="C1885" s="11">
        <v>241.16277030166495</v>
      </c>
      <c r="D1885" s="42"/>
    </row>
    <row r="1886" spans="2:4" ht="16" thickBot="1" x14ac:dyDescent="0.25">
      <c r="B1886" s="4">
        <v>1881</v>
      </c>
      <c r="C1886" s="10">
        <v>439.08288757889119</v>
      </c>
      <c r="D1886" s="42"/>
    </row>
    <row r="1887" spans="2:4" ht="16" thickBot="1" x14ac:dyDescent="0.25">
      <c r="B1887" s="5">
        <v>1882</v>
      </c>
      <c r="C1887" s="11">
        <v>198.93583877127881</v>
      </c>
      <c r="D1887" s="42"/>
    </row>
    <row r="1888" spans="2:4" ht="16" thickBot="1" x14ac:dyDescent="0.25">
      <c r="B1888" s="4">
        <v>1883</v>
      </c>
      <c r="C1888" s="10">
        <v>41.14054307223779</v>
      </c>
      <c r="D1888" s="42"/>
    </row>
    <row r="1889" spans="2:4" ht="16" thickBot="1" x14ac:dyDescent="0.25">
      <c r="B1889" s="5">
        <v>1884</v>
      </c>
      <c r="C1889" s="11">
        <v>219.1468528340377</v>
      </c>
      <c r="D1889" s="42"/>
    </row>
    <row r="1890" spans="2:4" ht="16" thickBot="1" x14ac:dyDescent="0.25">
      <c r="B1890" s="4">
        <v>1885</v>
      </c>
      <c r="C1890" s="10">
        <v>216.04351226999313</v>
      </c>
      <c r="D1890" s="42"/>
    </row>
    <row r="1891" spans="2:4" ht="16" thickBot="1" x14ac:dyDescent="0.25">
      <c r="B1891" s="5">
        <v>1886</v>
      </c>
      <c r="C1891" s="11">
        <v>378.16724926053286</v>
      </c>
      <c r="D1891" s="42"/>
    </row>
    <row r="1892" spans="2:4" ht="16" thickBot="1" x14ac:dyDescent="0.25">
      <c r="B1892" s="4">
        <v>1887</v>
      </c>
      <c r="C1892" s="10">
        <v>224.7901439656969</v>
      </c>
      <c r="D1892" s="42"/>
    </row>
    <row r="1893" spans="2:4" ht="16" thickBot="1" x14ac:dyDescent="0.25">
      <c r="B1893" s="5">
        <v>1888</v>
      </c>
      <c r="C1893" s="11">
        <v>68.219382783096449</v>
      </c>
      <c r="D1893" s="42"/>
    </row>
    <row r="1894" spans="2:4" ht="16" thickBot="1" x14ac:dyDescent="0.25">
      <c r="B1894" s="4">
        <v>1889</v>
      </c>
      <c r="C1894" s="10">
        <v>77.073982144068523</v>
      </c>
      <c r="D1894" s="42"/>
    </row>
    <row r="1895" spans="2:4" ht="16" thickBot="1" x14ac:dyDescent="0.25">
      <c r="B1895" s="5">
        <v>1890</v>
      </c>
      <c r="C1895" s="11">
        <v>173.32079032104696</v>
      </c>
      <c r="D1895" s="42"/>
    </row>
    <row r="1896" spans="2:4" ht="16" thickBot="1" x14ac:dyDescent="0.25">
      <c r="B1896" s="4">
        <v>1891</v>
      </c>
      <c r="C1896" s="10">
        <v>425.78609678915052</v>
      </c>
      <c r="D1896" s="42"/>
    </row>
    <row r="1897" spans="2:4" ht="16" thickBot="1" x14ac:dyDescent="0.25">
      <c r="B1897" s="5">
        <v>1892</v>
      </c>
      <c r="C1897" s="11">
        <v>383.8790654725816</v>
      </c>
      <c r="D1897" s="42"/>
    </row>
    <row r="1898" spans="2:4" ht="16" thickBot="1" x14ac:dyDescent="0.25">
      <c r="B1898" s="4">
        <v>1893</v>
      </c>
      <c r="C1898" s="10">
        <v>510.19154463367767</v>
      </c>
      <c r="D1898" s="42"/>
    </row>
    <row r="1899" spans="2:4" ht="16" thickBot="1" x14ac:dyDescent="0.25">
      <c r="B1899" s="5">
        <v>1894</v>
      </c>
      <c r="C1899" s="11">
        <v>746.52405375295598</v>
      </c>
      <c r="D1899" s="42"/>
    </row>
    <row r="1900" spans="2:4" ht="16" thickBot="1" x14ac:dyDescent="0.25">
      <c r="B1900" s="4">
        <v>1895</v>
      </c>
      <c r="C1900" s="10">
        <v>305.4763477209159</v>
      </c>
      <c r="D1900" s="42"/>
    </row>
    <row r="1901" spans="2:4" ht="16" thickBot="1" x14ac:dyDescent="0.25">
      <c r="B1901" s="5">
        <v>1896</v>
      </c>
      <c r="C1901" s="11">
        <v>84.724426343769991</v>
      </c>
      <c r="D1901" s="42"/>
    </row>
    <row r="1902" spans="2:4" ht="16" thickBot="1" x14ac:dyDescent="0.25">
      <c r="B1902" s="4">
        <v>1897</v>
      </c>
      <c r="C1902" s="10">
        <v>84.710592548270171</v>
      </c>
      <c r="D1902" s="42"/>
    </row>
    <row r="1903" spans="2:4" ht="16" thickBot="1" x14ac:dyDescent="0.25">
      <c r="B1903" s="5">
        <v>1898</v>
      </c>
      <c r="C1903" s="11">
        <v>121.00506525619876</v>
      </c>
      <c r="D1903" s="42"/>
    </row>
    <row r="1904" spans="2:4" ht="16" thickBot="1" x14ac:dyDescent="0.25">
      <c r="B1904" s="4">
        <v>1899</v>
      </c>
      <c r="C1904" s="10">
        <v>275.02790770495682</v>
      </c>
      <c r="D1904" s="42"/>
    </row>
    <row r="1905" spans="2:4" ht="16" thickBot="1" x14ac:dyDescent="0.25">
      <c r="B1905" s="5">
        <v>1900</v>
      </c>
      <c r="C1905" s="11">
        <v>285.23226456507865</v>
      </c>
      <c r="D1905" s="42"/>
    </row>
    <row r="1906" spans="2:4" ht="16" thickBot="1" x14ac:dyDescent="0.25">
      <c r="B1906" s="4">
        <v>1901</v>
      </c>
      <c r="C1906" s="10">
        <v>429.97231956392682</v>
      </c>
      <c r="D1906" s="42"/>
    </row>
    <row r="1907" spans="2:4" ht="16" thickBot="1" x14ac:dyDescent="0.25">
      <c r="B1907" s="5">
        <v>1902</v>
      </c>
      <c r="C1907" s="11">
        <v>264.67074627985829</v>
      </c>
      <c r="D1907" s="42"/>
    </row>
    <row r="1908" spans="2:4" ht="16" thickBot="1" x14ac:dyDescent="0.25">
      <c r="B1908" s="4">
        <v>1903</v>
      </c>
      <c r="C1908" s="10">
        <v>423.96715026464381</v>
      </c>
      <c r="D1908" s="42"/>
    </row>
    <row r="1909" spans="2:4" ht="16" thickBot="1" x14ac:dyDescent="0.25">
      <c r="B1909" s="5">
        <v>1904</v>
      </c>
      <c r="C1909" s="11">
        <v>119.95684484679934</v>
      </c>
      <c r="D1909" s="42"/>
    </row>
    <row r="1910" spans="2:4" ht="16" thickBot="1" x14ac:dyDescent="0.25">
      <c r="B1910" s="4">
        <v>1905</v>
      </c>
      <c r="C1910" s="10">
        <v>193.14705624534386</v>
      </c>
      <c r="D1910" s="42"/>
    </row>
    <row r="1911" spans="2:4" ht="16" thickBot="1" x14ac:dyDescent="0.25">
      <c r="B1911" s="5">
        <v>1906</v>
      </c>
      <c r="C1911" s="11">
        <v>135.42291905996592</v>
      </c>
      <c r="D1911" s="42"/>
    </row>
    <row r="1912" spans="2:4" ht="16" thickBot="1" x14ac:dyDescent="0.25">
      <c r="B1912" s="4">
        <v>1907</v>
      </c>
      <c r="C1912" s="10">
        <v>226.90988122938839</v>
      </c>
      <c r="D1912" s="42"/>
    </row>
    <row r="1913" spans="2:4" ht="16" thickBot="1" x14ac:dyDescent="0.25">
      <c r="B1913" s="5">
        <v>1908</v>
      </c>
      <c r="C1913" s="11">
        <v>446.43551399053047</v>
      </c>
      <c r="D1913" s="42"/>
    </row>
    <row r="1914" spans="2:4" ht="16" thickBot="1" x14ac:dyDescent="0.25">
      <c r="B1914" s="4">
        <v>1909</v>
      </c>
      <c r="C1914" s="10">
        <v>507.17726050359812</v>
      </c>
      <c r="D1914" s="42"/>
    </row>
    <row r="1915" spans="2:4" ht="16" thickBot="1" x14ac:dyDescent="0.25">
      <c r="B1915" s="5">
        <v>1910</v>
      </c>
      <c r="C1915" s="11">
        <v>114.48255262187473</v>
      </c>
      <c r="D1915" s="42"/>
    </row>
    <row r="1916" spans="2:4" ht="16" thickBot="1" x14ac:dyDescent="0.25">
      <c r="B1916" s="4">
        <v>1911</v>
      </c>
      <c r="C1916" s="10">
        <v>132.7111907637609</v>
      </c>
      <c r="D1916" s="42"/>
    </row>
    <row r="1917" spans="2:4" ht="16" thickBot="1" x14ac:dyDescent="0.25">
      <c r="B1917" s="5">
        <v>1912</v>
      </c>
      <c r="C1917" s="11">
        <v>143.77367767020166</v>
      </c>
      <c r="D1917" s="42"/>
    </row>
    <row r="1918" spans="2:4" ht="16" thickBot="1" x14ac:dyDescent="0.25">
      <c r="B1918" s="4">
        <v>1913</v>
      </c>
      <c r="C1918" s="10">
        <v>334.03300221478293</v>
      </c>
      <c r="D1918" s="42"/>
    </row>
    <row r="1919" spans="2:4" ht="16" thickBot="1" x14ac:dyDescent="0.25">
      <c r="B1919" s="5">
        <v>1914</v>
      </c>
      <c r="C1919" s="11">
        <v>208.52172274119633</v>
      </c>
      <c r="D1919" s="42"/>
    </row>
    <row r="1920" spans="2:4" ht="16" thickBot="1" x14ac:dyDescent="0.25">
      <c r="B1920" s="4">
        <v>1915</v>
      </c>
      <c r="C1920" s="10">
        <v>464.91827479369306</v>
      </c>
      <c r="D1920" s="42"/>
    </row>
    <row r="1921" spans="2:4" ht="16" thickBot="1" x14ac:dyDescent="0.25">
      <c r="B1921" s="5">
        <v>1916</v>
      </c>
      <c r="C1921" s="11">
        <v>168.67427452862012</v>
      </c>
      <c r="D1921" s="42"/>
    </row>
    <row r="1922" spans="2:4" ht="16" thickBot="1" x14ac:dyDescent="0.25">
      <c r="B1922" s="4">
        <v>1917</v>
      </c>
      <c r="C1922" s="10">
        <v>152.9298152014868</v>
      </c>
      <c r="D1922" s="42"/>
    </row>
    <row r="1923" spans="2:4" ht="16" thickBot="1" x14ac:dyDescent="0.25">
      <c r="B1923" s="5">
        <v>1918</v>
      </c>
      <c r="C1923" s="11">
        <v>106.96476381217455</v>
      </c>
      <c r="D1923" s="42"/>
    </row>
    <row r="1924" spans="2:4" ht="16" thickBot="1" x14ac:dyDescent="0.25">
      <c r="B1924" s="4">
        <v>1919</v>
      </c>
      <c r="C1924" s="10">
        <v>267.14463886666789</v>
      </c>
      <c r="D1924" s="42"/>
    </row>
    <row r="1925" spans="2:4" ht="16" thickBot="1" x14ac:dyDescent="0.25">
      <c r="B1925" s="5">
        <v>1920</v>
      </c>
      <c r="C1925" s="11">
        <v>189.15855861505739</v>
      </c>
      <c r="D1925" s="42"/>
    </row>
    <row r="1926" spans="2:4" ht="16" thickBot="1" x14ac:dyDescent="0.25">
      <c r="B1926" s="4">
        <v>1921</v>
      </c>
      <c r="C1926" s="10">
        <v>237.85353742779085</v>
      </c>
      <c r="D1926" s="42"/>
    </row>
    <row r="1927" spans="2:4" ht="16" thickBot="1" x14ac:dyDescent="0.25">
      <c r="B1927" s="5">
        <v>1922</v>
      </c>
      <c r="C1927" s="11">
        <v>185.09357649025225</v>
      </c>
      <c r="D1927" s="42"/>
    </row>
    <row r="1928" spans="2:4" ht="16" thickBot="1" x14ac:dyDescent="0.25">
      <c r="B1928" s="4">
        <v>1923</v>
      </c>
      <c r="C1928" s="10">
        <v>137.32909194080375</v>
      </c>
      <c r="D1928" s="42"/>
    </row>
    <row r="1929" spans="2:4" ht="16" thickBot="1" x14ac:dyDescent="0.25">
      <c r="B1929" s="5">
        <v>1924</v>
      </c>
      <c r="C1929" s="11">
        <v>136.70763645409312</v>
      </c>
      <c r="D1929" s="42"/>
    </row>
    <row r="1930" spans="2:4" ht="16" thickBot="1" x14ac:dyDescent="0.25">
      <c r="B1930" s="4">
        <v>1925</v>
      </c>
      <c r="C1930" s="10">
        <v>99.24187098005973</v>
      </c>
      <c r="D1930" s="42"/>
    </row>
    <row r="1931" spans="2:4" ht="16" thickBot="1" x14ac:dyDescent="0.25">
      <c r="B1931" s="5">
        <v>1926</v>
      </c>
      <c r="C1931" s="11">
        <v>265.35601995351425</v>
      </c>
      <c r="D1931" s="42"/>
    </row>
    <row r="1932" spans="2:4" ht="16" thickBot="1" x14ac:dyDescent="0.25">
      <c r="B1932" s="4">
        <v>1927</v>
      </c>
      <c r="C1932" s="10">
        <v>331.58775355257501</v>
      </c>
      <c r="D1932" s="42"/>
    </row>
    <row r="1933" spans="2:4" ht="16" thickBot="1" x14ac:dyDescent="0.25">
      <c r="B1933" s="5">
        <v>1928</v>
      </c>
      <c r="C1933" s="11">
        <v>146.04346588173354</v>
      </c>
      <c r="D1933" s="42"/>
    </row>
    <row r="1934" spans="2:4" ht="16" thickBot="1" x14ac:dyDescent="0.25">
      <c r="B1934" s="4">
        <v>1929</v>
      </c>
      <c r="C1934" s="10">
        <v>137.82662310372393</v>
      </c>
      <c r="D1934" s="42"/>
    </row>
    <row r="1935" spans="2:4" ht="16" thickBot="1" x14ac:dyDescent="0.25">
      <c r="B1935" s="5">
        <v>1930</v>
      </c>
      <c r="C1935" s="11">
        <v>337.19852152057052</v>
      </c>
      <c r="D1935" s="42"/>
    </row>
    <row r="1936" spans="2:4" ht="16" thickBot="1" x14ac:dyDescent="0.25">
      <c r="B1936" s="4">
        <v>1931</v>
      </c>
      <c r="C1936" s="10">
        <v>371.60653023520416</v>
      </c>
      <c r="D1936" s="42"/>
    </row>
    <row r="1937" spans="2:4" ht="16" thickBot="1" x14ac:dyDescent="0.25">
      <c r="B1937" s="5">
        <v>1932</v>
      </c>
      <c r="C1937" s="11">
        <v>232.89796676638767</v>
      </c>
      <c r="D1937" s="42"/>
    </row>
    <row r="1938" spans="2:4" ht="16" thickBot="1" x14ac:dyDescent="0.25">
      <c r="B1938" s="4">
        <v>1933</v>
      </c>
      <c r="C1938" s="10">
        <v>212.88738423181016</v>
      </c>
      <c r="D1938" s="42"/>
    </row>
    <row r="1939" spans="2:4" ht="16" thickBot="1" x14ac:dyDescent="0.25">
      <c r="B1939" s="5">
        <v>1934</v>
      </c>
      <c r="C1939" s="11">
        <v>649.69552458582473</v>
      </c>
      <c r="D1939" s="42"/>
    </row>
    <row r="1940" spans="2:4" ht="16" thickBot="1" x14ac:dyDescent="0.25">
      <c r="B1940" s="4">
        <v>1935</v>
      </c>
      <c r="C1940" s="10">
        <v>47.630998741947771</v>
      </c>
      <c r="D1940" s="42"/>
    </row>
    <row r="1941" spans="2:4" ht="16" thickBot="1" x14ac:dyDescent="0.25">
      <c r="B1941" s="5">
        <v>1936</v>
      </c>
      <c r="C1941" s="11">
        <v>232.19263103180523</v>
      </c>
      <c r="D1941" s="42"/>
    </row>
    <row r="1942" spans="2:4" ht="16" thickBot="1" x14ac:dyDescent="0.25">
      <c r="B1942" s="4">
        <v>1937</v>
      </c>
      <c r="C1942" s="10">
        <v>788.16904421267338</v>
      </c>
      <c r="D1942" s="42"/>
    </row>
    <row r="1943" spans="2:4" ht="16" thickBot="1" x14ac:dyDescent="0.25">
      <c r="B1943" s="5">
        <v>1938</v>
      </c>
      <c r="C1943" s="11">
        <v>141.10746264970976</v>
      </c>
      <c r="D1943" s="42"/>
    </row>
    <row r="1944" spans="2:4" ht="16" thickBot="1" x14ac:dyDescent="0.25">
      <c r="B1944" s="4">
        <v>1939</v>
      </c>
      <c r="C1944" s="10">
        <v>271.84009679584926</v>
      </c>
      <c r="D1944" s="42"/>
    </row>
    <row r="1945" spans="2:4" ht="16" thickBot="1" x14ac:dyDescent="0.25">
      <c r="B1945" s="5">
        <v>1940</v>
      </c>
      <c r="C1945" s="11">
        <v>519.66484046928326</v>
      </c>
      <c r="D1945" s="42"/>
    </row>
    <row r="1946" spans="2:4" ht="16" thickBot="1" x14ac:dyDescent="0.25">
      <c r="B1946" s="4">
        <v>1941</v>
      </c>
      <c r="C1946" s="10">
        <v>331.42300929405195</v>
      </c>
      <c r="D1946" s="42"/>
    </row>
    <row r="1947" spans="2:4" ht="16" thickBot="1" x14ac:dyDescent="0.25">
      <c r="B1947" s="5">
        <v>1942</v>
      </c>
      <c r="C1947" s="11">
        <v>259.57580974077342</v>
      </c>
      <c r="D1947" s="42"/>
    </row>
    <row r="1948" spans="2:4" ht="16" thickBot="1" x14ac:dyDescent="0.25">
      <c r="B1948" s="4">
        <v>1943</v>
      </c>
      <c r="C1948" s="10">
        <v>271.19505687607449</v>
      </c>
      <c r="D1948" s="42"/>
    </row>
    <row r="1949" spans="2:4" ht="16" thickBot="1" x14ac:dyDescent="0.25">
      <c r="B1949" s="5">
        <v>1944</v>
      </c>
      <c r="C1949" s="11">
        <v>80.450908245426717</v>
      </c>
      <c r="D1949" s="42"/>
    </row>
    <row r="1950" spans="2:4" ht="16" thickBot="1" x14ac:dyDescent="0.25">
      <c r="B1950" s="4">
        <v>1945</v>
      </c>
      <c r="C1950" s="10">
        <v>224.64765097552296</v>
      </c>
      <c r="D1950" s="42"/>
    </row>
    <row r="1951" spans="2:4" ht="16" thickBot="1" x14ac:dyDescent="0.25">
      <c r="B1951" s="5">
        <v>1946</v>
      </c>
      <c r="C1951" s="11">
        <v>557.744862140843</v>
      </c>
      <c r="D1951" s="42"/>
    </row>
    <row r="1952" spans="2:4" ht="16" thickBot="1" x14ac:dyDescent="0.25">
      <c r="B1952" s="4">
        <v>1947</v>
      </c>
      <c r="C1952" s="10">
        <v>423.14788619612511</v>
      </c>
      <c r="D1952" s="42"/>
    </row>
    <row r="1953" spans="2:4" ht="16" thickBot="1" x14ac:dyDescent="0.25">
      <c r="B1953" s="5">
        <v>1948</v>
      </c>
      <c r="C1953" s="11">
        <v>234.31581015897314</v>
      </c>
      <c r="D1953" s="42"/>
    </row>
    <row r="1954" spans="2:4" ht="16" thickBot="1" x14ac:dyDescent="0.25">
      <c r="B1954" s="4">
        <v>1949</v>
      </c>
      <c r="C1954" s="10">
        <v>104.49832279343072</v>
      </c>
      <c r="D1954" s="42"/>
    </row>
    <row r="1955" spans="2:4" ht="16" thickBot="1" x14ac:dyDescent="0.25">
      <c r="B1955" s="5">
        <v>1950</v>
      </c>
      <c r="C1955" s="11">
        <v>160.90959846811216</v>
      </c>
      <c r="D1955" s="42"/>
    </row>
    <row r="1956" spans="2:4" ht="16" thickBot="1" x14ac:dyDescent="0.25">
      <c r="B1956" s="4">
        <v>1951</v>
      </c>
      <c r="C1956" s="10">
        <v>154.35842279368637</v>
      </c>
      <c r="D1956" s="42"/>
    </row>
    <row r="1957" spans="2:4" ht="16" thickBot="1" x14ac:dyDescent="0.25">
      <c r="B1957" s="5">
        <v>1952</v>
      </c>
      <c r="C1957" s="11">
        <v>385.03662135885412</v>
      </c>
      <c r="D1957" s="42"/>
    </row>
    <row r="1958" spans="2:4" ht="16" thickBot="1" x14ac:dyDescent="0.25">
      <c r="B1958" s="4">
        <v>1953</v>
      </c>
      <c r="C1958" s="10">
        <v>379.2572336583674</v>
      </c>
      <c r="D1958" s="42"/>
    </row>
    <row r="1959" spans="2:4" ht="16" thickBot="1" x14ac:dyDescent="0.25">
      <c r="B1959" s="5">
        <v>1954</v>
      </c>
      <c r="C1959" s="11">
        <v>331.78785309864685</v>
      </c>
      <c r="D1959" s="42"/>
    </row>
    <row r="1960" spans="2:4" ht="16" thickBot="1" x14ac:dyDescent="0.25">
      <c r="B1960" s="4">
        <v>1955</v>
      </c>
      <c r="C1960" s="10">
        <v>162.9070217758705</v>
      </c>
      <c r="D1960" s="42"/>
    </row>
    <row r="1961" spans="2:4" ht="16" thickBot="1" x14ac:dyDescent="0.25">
      <c r="B1961" s="5">
        <v>1956</v>
      </c>
      <c r="C1961" s="11">
        <v>74.472234196545472</v>
      </c>
      <c r="D1961" s="42"/>
    </row>
    <row r="1962" spans="2:4" ht="16" thickBot="1" x14ac:dyDescent="0.25">
      <c r="B1962" s="4">
        <v>1957</v>
      </c>
      <c r="C1962" s="10">
        <v>157.04385720441954</v>
      </c>
      <c r="D1962" s="42"/>
    </row>
    <row r="1963" spans="2:4" ht="16" thickBot="1" x14ac:dyDescent="0.25">
      <c r="B1963" s="5">
        <v>1958</v>
      </c>
      <c r="C1963" s="11">
        <v>136.2047172314536</v>
      </c>
      <c r="D1963" s="42"/>
    </row>
    <row r="1964" spans="2:4" ht="16" thickBot="1" x14ac:dyDescent="0.25">
      <c r="B1964" s="4">
        <v>1959</v>
      </c>
      <c r="C1964" s="10">
        <v>161.39512305448389</v>
      </c>
      <c r="D1964" s="42"/>
    </row>
    <row r="1965" spans="2:4" ht="16" thickBot="1" x14ac:dyDescent="0.25">
      <c r="B1965" s="5">
        <v>1960</v>
      </c>
      <c r="C1965" s="11">
        <v>53.819008674505703</v>
      </c>
      <c r="D1965" s="42"/>
    </row>
    <row r="1966" spans="2:4" ht="16" thickBot="1" x14ac:dyDescent="0.25">
      <c r="B1966" s="4">
        <v>1961</v>
      </c>
      <c r="C1966" s="10">
        <v>306.96506799715303</v>
      </c>
      <c r="D1966" s="42"/>
    </row>
    <row r="1967" spans="2:4" ht="16" thickBot="1" x14ac:dyDescent="0.25">
      <c r="B1967" s="5">
        <v>1962</v>
      </c>
      <c r="C1967" s="11">
        <v>141.85674246698267</v>
      </c>
      <c r="D1967" s="42"/>
    </row>
    <row r="1968" spans="2:4" ht="16" thickBot="1" x14ac:dyDescent="0.25">
      <c r="B1968" s="4">
        <v>1963</v>
      </c>
      <c r="C1968" s="10">
        <v>207.22521778922169</v>
      </c>
      <c r="D1968" s="42"/>
    </row>
    <row r="1969" spans="2:4" ht="16" thickBot="1" x14ac:dyDescent="0.25">
      <c r="B1969" s="5">
        <v>1964</v>
      </c>
      <c r="C1969" s="11">
        <v>433.50659257697384</v>
      </c>
      <c r="D1969" s="42"/>
    </row>
    <row r="1970" spans="2:4" ht="16" thickBot="1" x14ac:dyDescent="0.25">
      <c r="B1970" s="4">
        <v>1965</v>
      </c>
      <c r="C1970" s="10">
        <v>300.68718121875429</v>
      </c>
      <c r="D1970" s="42"/>
    </row>
    <row r="1971" spans="2:4" ht="16" thickBot="1" x14ac:dyDescent="0.25">
      <c r="B1971" s="5">
        <v>1966</v>
      </c>
      <c r="C1971" s="11">
        <v>268.14409131705361</v>
      </c>
      <c r="D1971" s="42"/>
    </row>
    <row r="1972" spans="2:4" ht="16" thickBot="1" x14ac:dyDescent="0.25">
      <c r="B1972" s="4">
        <v>1967</v>
      </c>
      <c r="C1972" s="10">
        <v>178.0763811924476</v>
      </c>
      <c r="D1972" s="42"/>
    </row>
    <row r="1973" spans="2:4" ht="16" thickBot="1" x14ac:dyDescent="0.25">
      <c r="B1973" s="5">
        <v>1968</v>
      </c>
      <c r="C1973" s="11">
        <v>611.87243467403721</v>
      </c>
      <c r="D1973" s="42"/>
    </row>
    <row r="1974" spans="2:4" ht="16" thickBot="1" x14ac:dyDescent="0.25">
      <c r="B1974" s="4">
        <v>1969</v>
      </c>
      <c r="C1974" s="10">
        <v>302.17940202596884</v>
      </c>
      <c r="D1974" s="42"/>
    </row>
    <row r="1975" spans="2:4" ht="16" thickBot="1" x14ac:dyDescent="0.25">
      <c r="B1975" s="5">
        <v>1970</v>
      </c>
      <c r="C1975" s="11">
        <v>82.273697055746567</v>
      </c>
      <c r="D1975" s="42"/>
    </row>
    <row r="1976" spans="2:4" ht="16" thickBot="1" x14ac:dyDescent="0.25">
      <c r="B1976" s="4">
        <v>1971</v>
      </c>
      <c r="C1976" s="10">
        <v>370.47649449144632</v>
      </c>
      <c r="D1976" s="42"/>
    </row>
    <row r="1977" spans="2:4" ht="16" thickBot="1" x14ac:dyDescent="0.25">
      <c r="B1977" s="5">
        <v>1972</v>
      </c>
      <c r="C1977" s="11">
        <v>186.22095702087975</v>
      </c>
      <c r="D1977" s="42"/>
    </row>
    <row r="1978" spans="2:4" ht="16" thickBot="1" x14ac:dyDescent="0.25">
      <c r="B1978" s="4">
        <v>1973</v>
      </c>
      <c r="C1978" s="10">
        <v>200.36774309576879</v>
      </c>
      <c r="D1978" s="42"/>
    </row>
    <row r="1979" spans="2:4" ht="16" thickBot="1" x14ac:dyDescent="0.25">
      <c r="B1979" s="5">
        <v>1974</v>
      </c>
      <c r="C1979" s="11">
        <v>221.11230479143569</v>
      </c>
      <c r="D1979" s="42"/>
    </row>
    <row r="1980" spans="2:4" ht="16" thickBot="1" x14ac:dyDescent="0.25">
      <c r="B1980" s="4">
        <v>1975</v>
      </c>
      <c r="C1980" s="10">
        <v>127.01365455162873</v>
      </c>
      <c r="D1980" s="42"/>
    </row>
    <row r="1981" spans="2:4" ht="16" thickBot="1" x14ac:dyDescent="0.25">
      <c r="B1981" s="5">
        <v>1976</v>
      </c>
      <c r="C1981" s="11">
        <v>133.60720680284518</v>
      </c>
      <c r="D1981" s="42"/>
    </row>
    <row r="1982" spans="2:4" ht="16" thickBot="1" x14ac:dyDescent="0.25">
      <c r="B1982" s="4">
        <v>1977</v>
      </c>
      <c r="C1982" s="10">
        <v>117.08188104086146</v>
      </c>
      <c r="D1982" s="42"/>
    </row>
    <row r="1983" spans="2:4" ht="16" thickBot="1" x14ac:dyDescent="0.25">
      <c r="B1983" s="5">
        <v>1978</v>
      </c>
      <c r="C1983" s="11">
        <v>651.6265219750702</v>
      </c>
      <c r="D1983" s="42"/>
    </row>
    <row r="1984" spans="2:4" ht="16" thickBot="1" x14ac:dyDescent="0.25">
      <c r="B1984" s="4">
        <v>1979</v>
      </c>
      <c r="C1984" s="10">
        <v>410.90769326352626</v>
      </c>
      <c r="D1984" s="42"/>
    </row>
    <row r="1985" spans="2:4" ht="16" thickBot="1" x14ac:dyDescent="0.25">
      <c r="B1985" s="5">
        <v>1980</v>
      </c>
      <c r="C1985" s="11">
        <v>311.14389776387719</v>
      </c>
      <c r="D1985" s="42"/>
    </row>
    <row r="1986" spans="2:4" ht="16" thickBot="1" x14ac:dyDescent="0.25">
      <c r="B1986" s="4">
        <v>1981</v>
      </c>
      <c r="C1986" s="10">
        <v>263.08939487397811</v>
      </c>
      <c r="D1986" s="42"/>
    </row>
    <row r="1987" spans="2:4" ht="16" thickBot="1" x14ac:dyDescent="0.25">
      <c r="B1987" s="5">
        <v>1982</v>
      </c>
      <c r="C1987" s="11">
        <v>220.3972163897362</v>
      </c>
      <c r="D1987" s="42"/>
    </row>
    <row r="1988" spans="2:4" ht="16" thickBot="1" x14ac:dyDescent="0.25">
      <c r="B1988" s="4">
        <v>1983</v>
      </c>
      <c r="C1988" s="10">
        <v>170.18518637767303</v>
      </c>
      <c r="D1988" s="42"/>
    </row>
    <row r="1989" spans="2:4" ht="16" thickBot="1" x14ac:dyDescent="0.25">
      <c r="B1989" s="5">
        <v>1984</v>
      </c>
      <c r="C1989" s="11">
        <v>283.48952114763671</v>
      </c>
      <c r="D1989" s="42"/>
    </row>
    <row r="1990" spans="2:4" ht="16" thickBot="1" x14ac:dyDescent="0.25">
      <c r="B1990" s="4">
        <v>1985</v>
      </c>
      <c r="C1990" s="10">
        <v>478.75613660641534</v>
      </c>
      <c r="D1990" s="42"/>
    </row>
    <row r="1991" spans="2:4" ht="16" thickBot="1" x14ac:dyDescent="0.25">
      <c r="B1991" s="5">
        <v>1986</v>
      </c>
      <c r="C1991" s="11">
        <v>157.98164111624175</v>
      </c>
      <c r="D1991" s="42"/>
    </row>
    <row r="1992" spans="2:4" ht="16" thickBot="1" x14ac:dyDescent="0.25">
      <c r="B1992" s="4">
        <v>1987</v>
      </c>
      <c r="C1992" s="10">
        <v>747.75409340930878</v>
      </c>
      <c r="D1992" s="42"/>
    </row>
    <row r="1993" spans="2:4" ht="16" thickBot="1" x14ac:dyDescent="0.25">
      <c r="B1993" s="5">
        <v>1988</v>
      </c>
      <c r="C1993" s="11">
        <v>307.60740186455104</v>
      </c>
      <c r="D1993" s="42"/>
    </row>
    <row r="1994" spans="2:4" ht="16" thickBot="1" x14ac:dyDescent="0.25">
      <c r="B1994" s="4">
        <v>1989</v>
      </c>
      <c r="C1994" s="10">
        <v>227.77117826420917</v>
      </c>
      <c r="D1994" s="42"/>
    </row>
    <row r="1995" spans="2:4" ht="16" thickBot="1" x14ac:dyDescent="0.25">
      <c r="B1995" s="5">
        <v>1990</v>
      </c>
      <c r="C1995" s="11">
        <v>241.04730912436744</v>
      </c>
      <c r="D1995" s="42"/>
    </row>
    <row r="1996" spans="2:4" ht="16" thickBot="1" x14ac:dyDescent="0.25">
      <c r="B1996" s="4">
        <v>1991</v>
      </c>
      <c r="C1996" s="10">
        <v>233.41987117828111</v>
      </c>
      <c r="D1996" s="42"/>
    </row>
    <row r="1997" spans="2:4" ht="16" thickBot="1" x14ac:dyDescent="0.25">
      <c r="B1997" s="5">
        <v>1992</v>
      </c>
      <c r="C1997" s="11">
        <v>294.41417589384668</v>
      </c>
      <c r="D1997" s="42"/>
    </row>
    <row r="1998" spans="2:4" ht="16" thickBot="1" x14ac:dyDescent="0.25">
      <c r="B1998" s="4">
        <v>1993</v>
      </c>
      <c r="C1998" s="10">
        <v>73.945329592557343</v>
      </c>
      <c r="D1998" s="42"/>
    </row>
    <row r="1999" spans="2:4" ht="16" thickBot="1" x14ac:dyDescent="0.25">
      <c r="B1999" s="5">
        <v>1994</v>
      </c>
      <c r="C1999" s="11">
        <v>212.68105227316124</v>
      </c>
      <c r="D1999" s="42"/>
    </row>
    <row r="2000" spans="2:4" ht="16" thickBot="1" x14ac:dyDescent="0.25">
      <c r="B2000" s="4">
        <v>1995</v>
      </c>
      <c r="C2000" s="10">
        <v>525.02064367149706</v>
      </c>
      <c r="D2000" s="42"/>
    </row>
    <row r="2001" spans="2:4" ht="16" thickBot="1" x14ac:dyDescent="0.25">
      <c r="B2001" s="5">
        <v>1996</v>
      </c>
      <c r="C2001" s="11">
        <v>425.44969944896826</v>
      </c>
      <c r="D2001" s="42"/>
    </row>
    <row r="2002" spans="2:4" ht="16" thickBot="1" x14ac:dyDescent="0.25">
      <c r="B2002" s="4">
        <v>1997</v>
      </c>
      <c r="C2002" s="10">
        <v>305.62326694226005</v>
      </c>
      <c r="D2002" s="42"/>
    </row>
    <row r="2003" spans="2:4" ht="16" thickBot="1" x14ac:dyDescent="0.25">
      <c r="B2003" s="5">
        <v>1998</v>
      </c>
      <c r="C2003" s="11">
        <v>195.66147191603244</v>
      </c>
      <c r="D2003" s="42"/>
    </row>
    <row r="2004" spans="2:4" ht="16" thickBot="1" x14ac:dyDescent="0.25">
      <c r="B2004" s="4">
        <v>1999</v>
      </c>
      <c r="C2004" s="10">
        <v>276.58445556759096</v>
      </c>
      <c r="D2004" s="42"/>
    </row>
    <row r="2005" spans="2:4" ht="16" thickBot="1" x14ac:dyDescent="0.25">
      <c r="B2005" s="5">
        <v>2000</v>
      </c>
      <c r="C2005" s="11">
        <v>250.79178128566465</v>
      </c>
      <c r="D2005" s="42"/>
    </row>
    <row r="2006" spans="2:4" ht="16" thickBot="1" x14ac:dyDescent="0.25">
      <c r="B2006" s="4">
        <v>2001</v>
      </c>
      <c r="C2006" s="10">
        <v>368.55873499456612</v>
      </c>
      <c r="D2006" s="42"/>
    </row>
    <row r="2007" spans="2:4" ht="16" thickBot="1" x14ac:dyDescent="0.25">
      <c r="B2007" s="5">
        <v>2002</v>
      </c>
      <c r="C2007" s="11">
        <v>173.04058486157876</v>
      </c>
      <c r="D2007" s="42"/>
    </row>
    <row r="2008" spans="2:4" ht="16" thickBot="1" x14ac:dyDescent="0.25">
      <c r="B2008" s="4">
        <v>2003</v>
      </c>
      <c r="C2008" s="10">
        <v>573.8632784802378</v>
      </c>
      <c r="D2008" s="42"/>
    </row>
    <row r="2009" spans="2:4" ht="16" thickBot="1" x14ac:dyDescent="0.25">
      <c r="B2009" s="5">
        <v>2004</v>
      </c>
      <c r="C2009" s="11">
        <v>217.51573321834465</v>
      </c>
      <c r="D2009" s="42"/>
    </row>
    <row r="2010" spans="2:4" ht="16" thickBot="1" x14ac:dyDescent="0.25">
      <c r="B2010" s="4">
        <v>2005</v>
      </c>
      <c r="C2010" s="10">
        <v>313.84776248137598</v>
      </c>
      <c r="D2010" s="42"/>
    </row>
    <row r="2011" spans="2:4" ht="16" thickBot="1" x14ac:dyDescent="0.25">
      <c r="B2011" s="5">
        <v>2006</v>
      </c>
      <c r="C2011" s="11">
        <v>256.07826072119826</v>
      </c>
      <c r="D2011" s="42"/>
    </row>
    <row r="2012" spans="2:4" ht="16" thickBot="1" x14ac:dyDescent="0.25">
      <c r="B2012" s="4">
        <v>2007</v>
      </c>
      <c r="C2012" s="10">
        <v>144.22351636123557</v>
      </c>
      <c r="D2012" s="42"/>
    </row>
    <row r="2013" spans="2:4" ht="16" thickBot="1" x14ac:dyDescent="0.25">
      <c r="B2013" s="5">
        <v>2008</v>
      </c>
      <c r="C2013" s="11">
        <v>655.55070448983645</v>
      </c>
      <c r="D2013" s="42"/>
    </row>
    <row r="2014" spans="2:4" ht="16" thickBot="1" x14ac:dyDescent="0.25">
      <c r="B2014" s="4">
        <v>2009</v>
      </c>
      <c r="C2014" s="10">
        <v>38.231772174322096</v>
      </c>
      <c r="D2014" s="42"/>
    </row>
    <row r="2015" spans="2:4" ht="16" thickBot="1" x14ac:dyDescent="0.25">
      <c r="B2015" s="5">
        <v>2010</v>
      </c>
      <c r="C2015" s="11">
        <v>197.93507608448337</v>
      </c>
      <c r="D2015" s="42"/>
    </row>
    <row r="2016" spans="2:4" ht="16" thickBot="1" x14ac:dyDescent="0.25">
      <c r="B2016" s="4">
        <v>2011</v>
      </c>
      <c r="C2016" s="10">
        <v>92.768976943900839</v>
      </c>
      <c r="D2016" s="42"/>
    </row>
    <row r="2017" spans="2:4" ht="16" thickBot="1" x14ac:dyDescent="0.25">
      <c r="B2017" s="5">
        <v>2012</v>
      </c>
      <c r="C2017" s="11">
        <v>101.59916611522874</v>
      </c>
      <c r="D2017" s="42"/>
    </row>
    <row r="2018" spans="2:4" ht="16" thickBot="1" x14ac:dyDescent="0.25">
      <c r="B2018" s="4">
        <v>2013</v>
      </c>
      <c r="C2018" s="10">
        <v>279.98882997219698</v>
      </c>
      <c r="D2018" s="42"/>
    </row>
    <row r="2019" spans="2:4" ht="16" thickBot="1" x14ac:dyDescent="0.25">
      <c r="B2019" s="5">
        <v>2014</v>
      </c>
      <c r="C2019" s="11">
        <v>548.21512348842623</v>
      </c>
      <c r="D2019" s="42"/>
    </row>
    <row r="2020" spans="2:4" ht="16" thickBot="1" x14ac:dyDescent="0.25">
      <c r="B2020" s="4">
        <v>2015</v>
      </c>
      <c r="C2020" s="10">
        <v>114.16930222686494</v>
      </c>
      <c r="D2020" s="42"/>
    </row>
    <row r="2021" spans="2:4" ht="16" thickBot="1" x14ac:dyDescent="0.25">
      <c r="B2021" s="5">
        <v>2016</v>
      </c>
      <c r="C2021" s="11">
        <v>320.80483621445512</v>
      </c>
      <c r="D2021" s="42"/>
    </row>
    <row r="2022" spans="2:4" ht="16" thickBot="1" x14ac:dyDescent="0.25">
      <c r="B2022" s="4">
        <v>2017</v>
      </c>
      <c r="C2022" s="10">
        <v>501.26192745671847</v>
      </c>
      <c r="D2022" s="42"/>
    </row>
    <row r="2023" spans="2:4" ht="16" thickBot="1" x14ac:dyDescent="0.25">
      <c r="B2023" s="5">
        <v>2018</v>
      </c>
      <c r="C2023" s="11">
        <v>393.99959921974471</v>
      </c>
      <c r="D2023" s="42"/>
    </row>
    <row r="2024" spans="2:4" ht="16" thickBot="1" x14ac:dyDescent="0.25">
      <c r="B2024" s="4">
        <v>2019</v>
      </c>
      <c r="C2024" s="10">
        <v>137.72546163038888</v>
      </c>
      <c r="D2024" s="42"/>
    </row>
    <row r="2025" spans="2:4" ht="16" thickBot="1" x14ac:dyDescent="0.25">
      <c r="B2025" s="5">
        <v>2020</v>
      </c>
      <c r="C2025" s="11">
        <v>102.46683090668009</v>
      </c>
      <c r="D2025" s="42"/>
    </row>
    <row r="2026" spans="2:4" ht="16" thickBot="1" x14ac:dyDescent="0.25">
      <c r="B2026" s="4">
        <v>2021</v>
      </c>
      <c r="C2026" s="10">
        <v>91.560987888061064</v>
      </c>
      <c r="D2026" s="42"/>
    </row>
    <row r="2027" spans="2:4" ht="16" thickBot="1" x14ac:dyDescent="0.25">
      <c r="B2027" s="5">
        <v>2022</v>
      </c>
      <c r="C2027" s="11">
        <v>302.762513740629</v>
      </c>
      <c r="D2027" s="42"/>
    </row>
    <row r="2028" spans="2:4" ht="16" thickBot="1" x14ac:dyDescent="0.25">
      <c r="B2028" s="4">
        <v>2023</v>
      </c>
      <c r="C2028" s="10">
        <v>88.499194782677748</v>
      </c>
      <c r="D2028" s="42"/>
    </row>
    <row r="2029" spans="2:4" ht="16" thickBot="1" x14ac:dyDescent="0.25">
      <c r="B2029" s="5">
        <v>2024</v>
      </c>
      <c r="C2029" s="11">
        <v>277.74124552055531</v>
      </c>
      <c r="D2029" s="42"/>
    </row>
    <row r="2030" spans="2:4" ht="16" thickBot="1" x14ac:dyDescent="0.25">
      <c r="B2030" s="4">
        <v>2025</v>
      </c>
      <c r="C2030" s="10">
        <v>207.5883956101313</v>
      </c>
      <c r="D2030" s="42"/>
    </row>
    <row r="2031" spans="2:4" ht="16" thickBot="1" x14ac:dyDescent="0.25">
      <c r="B2031" s="5">
        <v>2026</v>
      </c>
      <c r="C2031" s="11">
        <v>86.839642910436325</v>
      </c>
      <c r="D2031" s="42"/>
    </row>
    <row r="2032" spans="2:4" ht="16" thickBot="1" x14ac:dyDescent="0.25">
      <c r="B2032" s="4">
        <v>2027</v>
      </c>
      <c r="C2032" s="10">
        <v>84.896655452615619</v>
      </c>
      <c r="D2032" s="42"/>
    </row>
    <row r="2033" spans="2:4" ht="16" thickBot="1" x14ac:dyDescent="0.25">
      <c r="B2033" s="5">
        <v>2028</v>
      </c>
      <c r="C2033" s="11">
        <v>190.48031415617908</v>
      </c>
      <c r="D2033" s="42"/>
    </row>
    <row r="2034" spans="2:4" ht="16" thickBot="1" x14ac:dyDescent="0.25">
      <c r="B2034" s="4">
        <v>2029</v>
      </c>
      <c r="C2034" s="10">
        <v>200.22010157941665</v>
      </c>
      <c r="D2034" s="42"/>
    </row>
    <row r="2035" spans="2:4" ht="16" thickBot="1" x14ac:dyDescent="0.25">
      <c r="B2035" s="5">
        <v>2030</v>
      </c>
      <c r="C2035" s="11">
        <v>239.22554244790254</v>
      </c>
      <c r="D2035" s="42"/>
    </row>
    <row r="2036" spans="2:4" ht="16" thickBot="1" x14ac:dyDescent="0.25">
      <c r="B2036" s="4">
        <v>2031</v>
      </c>
      <c r="C2036" s="10">
        <v>973.14788545535953</v>
      </c>
      <c r="D2036" s="42"/>
    </row>
    <row r="2037" spans="2:4" ht="16" thickBot="1" x14ac:dyDescent="0.25">
      <c r="B2037" s="5">
        <v>2032</v>
      </c>
      <c r="C2037" s="11">
        <v>418.57820240094111</v>
      </c>
      <c r="D2037" s="42"/>
    </row>
    <row r="2038" spans="2:4" ht="16" thickBot="1" x14ac:dyDescent="0.25">
      <c r="B2038" s="4">
        <v>2033</v>
      </c>
      <c r="C2038" s="10">
        <v>235.37133435348889</v>
      </c>
      <c r="D2038" s="42"/>
    </row>
    <row r="2039" spans="2:4" ht="16" thickBot="1" x14ac:dyDescent="0.25">
      <c r="B2039" s="5">
        <v>2034</v>
      </c>
      <c r="C2039" s="11">
        <v>199.68208943963262</v>
      </c>
      <c r="D2039" s="42"/>
    </row>
    <row r="2040" spans="2:4" ht="16" thickBot="1" x14ac:dyDescent="0.25">
      <c r="B2040" s="4">
        <v>2035</v>
      </c>
      <c r="C2040" s="10">
        <v>187.57775066465348</v>
      </c>
      <c r="D2040" s="42"/>
    </row>
    <row r="2041" spans="2:4" ht="16" thickBot="1" x14ac:dyDescent="0.25">
      <c r="B2041" s="5">
        <v>2036</v>
      </c>
      <c r="C2041" s="11">
        <v>241.96693709553688</v>
      </c>
      <c r="D2041" s="42"/>
    </row>
    <row r="2042" spans="2:4" ht="16" thickBot="1" x14ac:dyDescent="0.25">
      <c r="B2042" s="4">
        <v>2037</v>
      </c>
      <c r="C2042" s="10">
        <v>425.09558310311149</v>
      </c>
      <c r="D2042" s="42"/>
    </row>
    <row r="2043" spans="2:4" ht="16" thickBot="1" x14ac:dyDescent="0.25">
      <c r="B2043" s="5">
        <v>2038</v>
      </c>
      <c r="C2043" s="11">
        <v>373.49202451575627</v>
      </c>
      <c r="D2043" s="42"/>
    </row>
    <row r="2044" spans="2:4" ht="16" thickBot="1" x14ac:dyDescent="0.25">
      <c r="B2044" s="4">
        <v>2039</v>
      </c>
      <c r="C2044" s="10">
        <v>378.25055350844411</v>
      </c>
      <c r="D2044" s="42"/>
    </row>
    <row r="2045" spans="2:4" ht="16" thickBot="1" x14ac:dyDescent="0.25">
      <c r="B2045" s="5">
        <v>2040</v>
      </c>
      <c r="C2045" s="11">
        <v>312.86654591676097</v>
      </c>
      <c r="D2045" s="42"/>
    </row>
    <row r="2046" spans="2:4" ht="16" thickBot="1" x14ac:dyDescent="0.25">
      <c r="B2046" s="4">
        <v>2041</v>
      </c>
      <c r="C2046" s="10">
        <v>54.473150801192375</v>
      </c>
      <c r="D2046" s="42"/>
    </row>
    <row r="2047" spans="2:4" ht="16" thickBot="1" x14ac:dyDescent="0.25">
      <c r="B2047" s="5">
        <v>2042</v>
      </c>
      <c r="C2047" s="11">
        <v>682.31770335967428</v>
      </c>
      <c r="D2047" s="42"/>
    </row>
    <row r="2048" spans="2:4" ht="16" thickBot="1" x14ac:dyDescent="0.25">
      <c r="B2048" s="4">
        <v>2043</v>
      </c>
      <c r="C2048" s="10">
        <v>253.55445908731562</v>
      </c>
      <c r="D2048" s="42"/>
    </row>
    <row r="2049" spans="2:4" ht="16" thickBot="1" x14ac:dyDescent="0.25">
      <c r="B2049" s="5">
        <v>2044</v>
      </c>
      <c r="C2049" s="11">
        <v>521.56975187398768</v>
      </c>
      <c r="D2049" s="42"/>
    </row>
    <row r="2050" spans="2:4" ht="16" thickBot="1" x14ac:dyDescent="0.25">
      <c r="B2050" s="4">
        <v>2045</v>
      </c>
      <c r="C2050" s="10">
        <v>313.07441768594549</v>
      </c>
      <c r="D2050" s="42"/>
    </row>
    <row r="2051" spans="2:4" ht="16" thickBot="1" x14ac:dyDescent="0.25">
      <c r="B2051" s="5">
        <v>2046</v>
      </c>
      <c r="C2051" s="11">
        <v>454.18384819685576</v>
      </c>
      <c r="D2051" s="42"/>
    </row>
    <row r="2052" spans="2:4" ht="16" thickBot="1" x14ac:dyDescent="0.25">
      <c r="B2052" s="4">
        <v>2047</v>
      </c>
      <c r="C2052" s="10">
        <v>515.16848519634323</v>
      </c>
      <c r="D2052" s="42"/>
    </row>
    <row r="2053" spans="2:4" ht="16" thickBot="1" x14ac:dyDescent="0.25">
      <c r="B2053" s="5">
        <v>2048</v>
      </c>
      <c r="C2053" s="11">
        <v>418.34793590065283</v>
      </c>
      <c r="D2053" s="42"/>
    </row>
    <row r="2054" spans="2:4" ht="16" thickBot="1" x14ac:dyDescent="0.25">
      <c r="B2054" s="4">
        <v>2049</v>
      </c>
      <c r="C2054" s="10">
        <v>395.82991152321529</v>
      </c>
      <c r="D2054" s="42"/>
    </row>
    <row r="2055" spans="2:4" ht="16" thickBot="1" x14ac:dyDescent="0.25">
      <c r="B2055" s="5">
        <v>2050</v>
      </c>
      <c r="C2055" s="11">
        <v>151.70786573655681</v>
      </c>
      <c r="D2055" s="42"/>
    </row>
    <row r="2056" spans="2:4" ht="16" thickBot="1" x14ac:dyDescent="0.25">
      <c r="B2056" s="4">
        <v>2051</v>
      </c>
      <c r="C2056" s="10">
        <v>374.69570732851315</v>
      </c>
      <c r="D2056" s="42"/>
    </row>
    <row r="2057" spans="2:4" ht="16" thickBot="1" x14ac:dyDescent="0.25">
      <c r="B2057" s="5">
        <v>2052</v>
      </c>
      <c r="C2057" s="11">
        <v>71.510960112635573</v>
      </c>
      <c r="D2057" s="42"/>
    </row>
    <row r="2058" spans="2:4" ht="16" thickBot="1" x14ac:dyDescent="0.25">
      <c r="B2058" s="4">
        <v>2053</v>
      </c>
      <c r="C2058" s="10">
        <v>435.97581541533788</v>
      </c>
      <c r="D2058" s="42"/>
    </row>
    <row r="2059" spans="2:4" ht="16" thickBot="1" x14ac:dyDescent="0.25">
      <c r="B2059" s="5">
        <v>2054</v>
      </c>
      <c r="C2059" s="11">
        <v>334.69782040042435</v>
      </c>
      <c r="D2059" s="42"/>
    </row>
    <row r="2060" spans="2:4" ht="16" thickBot="1" x14ac:dyDescent="0.25">
      <c r="B2060" s="4">
        <v>2055</v>
      </c>
      <c r="C2060" s="10">
        <v>232.82369653275194</v>
      </c>
      <c r="D2060" s="42"/>
    </row>
    <row r="2061" spans="2:4" ht="16" thickBot="1" x14ac:dyDescent="0.25">
      <c r="B2061" s="5">
        <v>2056</v>
      </c>
      <c r="C2061" s="11">
        <v>567.89591239424556</v>
      </c>
      <c r="D2061" s="42"/>
    </row>
    <row r="2062" spans="2:4" ht="16" thickBot="1" x14ac:dyDescent="0.25">
      <c r="B2062" s="4">
        <v>2057</v>
      </c>
      <c r="C2062" s="10">
        <v>563.15167291381329</v>
      </c>
      <c r="D2062" s="42"/>
    </row>
    <row r="2063" spans="2:4" ht="16" thickBot="1" x14ac:dyDescent="0.25">
      <c r="B2063" s="5">
        <v>2058</v>
      </c>
      <c r="C2063" s="11">
        <v>155.17426625490009</v>
      </c>
      <c r="D2063" s="42"/>
    </row>
    <row r="2064" spans="2:4" ht="16" thickBot="1" x14ac:dyDescent="0.25">
      <c r="B2064" s="4">
        <v>2059</v>
      </c>
      <c r="C2064" s="10">
        <v>278.39612644633894</v>
      </c>
      <c r="D2064" s="42"/>
    </row>
    <row r="2065" spans="2:4" ht="16" thickBot="1" x14ac:dyDescent="0.25">
      <c r="B2065" s="5">
        <v>2060</v>
      </c>
      <c r="C2065" s="11">
        <v>89.509173444458639</v>
      </c>
      <c r="D2065" s="42"/>
    </row>
    <row r="2066" spans="2:4" ht="16" thickBot="1" x14ac:dyDescent="0.25">
      <c r="B2066" s="4">
        <v>2061</v>
      </c>
      <c r="C2066" s="10">
        <v>88.251444501657389</v>
      </c>
      <c r="D2066" s="42"/>
    </row>
    <row r="2067" spans="2:4" ht="16" thickBot="1" x14ac:dyDescent="0.25">
      <c r="B2067" s="5">
        <v>2062</v>
      </c>
      <c r="C2067" s="11">
        <v>209.34560104500136</v>
      </c>
      <c r="D2067" s="42"/>
    </row>
    <row r="2068" spans="2:4" ht="16" thickBot="1" x14ac:dyDescent="0.25">
      <c r="B2068" s="4">
        <v>2063</v>
      </c>
      <c r="C2068" s="10">
        <v>183.46038514200461</v>
      </c>
      <c r="D2068" s="42"/>
    </row>
    <row r="2069" spans="2:4" ht="16" thickBot="1" x14ac:dyDescent="0.25">
      <c r="B2069" s="5">
        <v>2064</v>
      </c>
      <c r="C2069" s="11">
        <v>49.477037973624689</v>
      </c>
      <c r="D2069" s="42"/>
    </row>
    <row r="2070" spans="2:4" ht="16" thickBot="1" x14ac:dyDescent="0.25">
      <c r="B2070" s="4">
        <v>2065</v>
      </c>
      <c r="C2070" s="10">
        <v>295.56045651509811</v>
      </c>
      <c r="D2070" s="42"/>
    </row>
    <row r="2071" spans="2:4" ht="16" thickBot="1" x14ac:dyDescent="0.25">
      <c r="B2071" s="5">
        <v>2066</v>
      </c>
      <c r="C2071" s="11">
        <v>487.87216564840747</v>
      </c>
      <c r="D2071" s="42"/>
    </row>
    <row r="2072" spans="2:4" ht="16" thickBot="1" x14ac:dyDescent="0.25">
      <c r="B2072" s="4">
        <v>2067</v>
      </c>
      <c r="C2072" s="10">
        <v>428.99203239230167</v>
      </c>
      <c r="D2072" s="42"/>
    </row>
    <row r="2073" spans="2:4" ht="16" thickBot="1" x14ac:dyDescent="0.25">
      <c r="B2073" s="5">
        <v>2068</v>
      </c>
      <c r="C2073" s="11">
        <v>125.05476532360883</v>
      </c>
      <c r="D2073" s="42"/>
    </row>
    <row r="2074" spans="2:4" ht="16" thickBot="1" x14ac:dyDescent="0.25">
      <c r="B2074" s="4">
        <v>2069</v>
      </c>
      <c r="C2074" s="10">
        <v>148.8621509510763</v>
      </c>
      <c r="D2074" s="42"/>
    </row>
    <row r="2075" spans="2:4" ht="16" thickBot="1" x14ac:dyDescent="0.25">
      <c r="B2075" s="5">
        <v>2070</v>
      </c>
      <c r="C2075" s="11">
        <v>151.65215106482276</v>
      </c>
      <c r="D2075" s="42"/>
    </row>
    <row r="2076" spans="2:4" ht="16" thickBot="1" x14ac:dyDescent="0.25">
      <c r="B2076" s="4">
        <v>2071</v>
      </c>
      <c r="C2076" s="10">
        <v>300.25174833263793</v>
      </c>
      <c r="D2076" s="42"/>
    </row>
    <row r="2077" spans="2:4" ht="16" thickBot="1" x14ac:dyDescent="0.25">
      <c r="B2077" s="5">
        <v>2072</v>
      </c>
      <c r="C2077" s="11">
        <v>269.07515892706738</v>
      </c>
      <c r="D2077" s="42"/>
    </row>
    <row r="2078" spans="2:4" ht="16" thickBot="1" x14ac:dyDescent="0.25">
      <c r="B2078" s="4">
        <v>2073</v>
      </c>
      <c r="C2078" s="10">
        <v>485.10992463826727</v>
      </c>
      <c r="D2078" s="42"/>
    </row>
    <row r="2079" spans="2:4" ht="16" thickBot="1" x14ac:dyDescent="0.25">
      <c r="B2079" s="5">
        <v>2074</v>
      </c>
      <c r="C2079" s="11">
        <v>94.587040992037203</v>
      </c>
      <c r="D2079" s="42"/>
    </row>
    <row r="2080" spans="2:4" ht="16" thickBot="1" x14ac:dyDescent="0.25">
      <c r="B2080" s="4">
        <v>2075</v>
      </c>
      <c r="C2080" s="10">
        <v>244.53993843232888</v>
      </c>
      <c r="D2080" s="42"/>
    </row>
    <row r="2081" spans="2:4" ht="16" thickBot="1" x14ac:dyDescent="0.25">
      <c r="B2081" s="5">
        <v>2076</v>
      </c>
      <c r="C2081" s="11">
        <v>79.076888512414953</v>
      </c>
      <c r="D2081" s="42"/>
    </row>
    <row r="2082" spans="2:4" ht="16" thickBot="1" x14ac:dyDescent="0.25">
      <c r="B2082" s="4">
        <v>2077</v>
      </c>
      <c r="C2082" s="10">
        <v>170.0214097452039</v>
      </c>
      <c r="D2082" s="42"/>
    </row>
    <row r="2083" spans="2:4" ht="16" thickBot="1" x14ac:dyDescent="0.25">
      <c r="B2083" s="5">
        <v>2078</v>
      </c>
      <c r="C2083" s="11">
        <v>424.5932648029106</v>
      </c>
      <c r="D2083" s="42"/>
    </row>
    <row r="2084" spans="2:4" ht="16" thickBot="1" x14ac:dyDescent="0.25">
      <c r="B2084" s="4">
        <v>2079</v>
      </c>
      <c r="C2084" s="10">
        <v>92.777653949520058</v>
      </c>
      <c r="D2084" s="42"/>
    </row>
    <row r="2085" spans="2:4" ht="16" thickBot="1" x14ac:dyDescent="0.25">
      <c r="B2085" s="5">
        <v>2080</v>
      </c>
      <c r="C2085" s="11">
        <v>235.95799192517782</v>
      </c>
      <c r="D2085" s="42"/>
    </row>
    <row r="2086" spans="2:4" ht="16" thickBot="1" x14ac:dyDescent="0.25">
      <c r="B2086" s="4">
        <v>2081</v>
      </c>
      <c r="C2086" s="10">
        <v>356.14611386130781</v>
      </c>
      <c r="D2086" s="42"/>
    </row>
    <row r="2087" spans="2:4" ht="16" thickBot="1" x14ac:dyDescent="0.25">
      <c r="B2087" s="5">
        <v>2082</v>
      </c>
      <c r="C2087" s="11">
        <v>255.54236215906377</v>
      </c>
      <c r="D2087" s="42"/>
    </row>
    <row r="2088" spans="2:4" ht="16" thickBot="1" x14ac:dyDescent="0.25">
      <c r="B2088" s="4">
        <v>2083</v>
      </c>
      <c r="C2088" s="10">
        <v>548.26933352607045</v>
      </c>
      <c r="D2088" s="42"/>
    </row>
    <row r="2089" spans="2:4" ht="16" thickBot="1" x14ac:dyDescent="0.25">
      <c r="B2089" s="5">
        <v>2084</v>
      </c>
      <c r="C2089" s="11">
        <v>361.22380125168121</v>
      </c>
      <c r="D2089" s="42"/>
    </row>
    <row r="2090" spans="2:4" ht="16" thickBot="1" x14ac:dyDescent="0.25">
      <c r="B2090" s="4">
        <v>2085</v>
      </c>
      <c r="C2090" s="10">
        <v>455.93303364170742</v>
      </c>
      <c r="D2090" s="42"/>
    </row>
    <row r="2091" spans="2:4" ht="16" thickBot="1" x14ac:dyDescent="0.25">
      <c r="B2091" s="5">
        <v>2086</v>
      </c>
      <c r="C2091" s="11">
        <v>394.54168875630501</v>
      </c>
      <c r="D2091" s="42"/>
    </row>
    <row r="2092" spans="2:4" ht="16" thickBot="1" x14ac:dyDescent="0.25">
      <c r="B2092" s="4">
        <v>2087</v>
      </c>
      <c r="C2092" s="10">
        <v>168.41925374612907</v>
      </c>
      <c r="D2092" s="42"/>
    </row>
    <row r="2093" spans="2:4" ht="16" thickBot="1" x14ac:dyDescent="0.25">
      <c r="B2093" s="5">
        <v>2088</v>
      </c>
      <c r="C2093" s="11">
        <v>182.09354346965981</v>
      </c>
      <c r="D2093" s="42"/>
    </row>
    <row r="2094" spans="2:4" ht="16" thickBot="1" x14ac:dyDescent="0.25">
      <c r="B2094" s="4">
        <v>2089</v>
      </c>
      <c r="C2094" s="10">
        <v>216.61702222861183</v>
      </c>
      <c r="D2094" s="42"/>
    </row>
    <row r="2095" spans="2:4" ht="16" thickBot="1" x14ac:dyDescent="0.25">
      <c r="B2095" s="5">
        <v>2090</v>
      </c>
      <c r="C2095" s="11">
        <v>45.714244189560723</v>
      </c>
      <c r="D2095" s="42"/>
    </row>
    <row r="2096" spans="2:4" ht="16" thickBot="1" x14ac:dyDescent="0.25">
      <c r="B2096" s="4">
        <v>2091</v>
      </c>
      <c r="C2096" s="10">
        <v>188.81949377977813</v>
      </c>
      <c r="D2096" s="42"/>
    </row>
    <row r="2097" spans="2:4" ht="16" thickBot="1" x14ac:dyDescent="0.25">
      <c r="B2097" s="5">
        <v>2092</v>
      </c>
      <c r="C2097" s="11">
        <v>194.31797740495313</v>
      </c>
      <c r="D2097" s="42"/>
    </row>
    <row r="2098" spans="2:4" ht="16" thickBot="1" x14ac:dyDescent="0.25">
      <c r="B2098" s="4">
        <v>2093</v>
      </c>
      <c r="C2098" s="10">
        <v>205.75520965656057</v>
      </c>
      <c r="D2098" s="42"/>
    </row>
    <row r="2099" spans="2:4" ht="16" thickBot="1" x14ac:dyDescent="0.25">
      <c r="B2099" s="5">
        <v>2094</v>
      </c>
      <c r="C2099" s="11">
        <v>392.43292439427768</v>
      </c>
      <c r="D2099" s="42"/>
    </row>
    <row r="2100" spans="2:4" ht="16" thickBot="1" x14ac:dyDescent="0.25">
      <c r="B2100" s="4">
        <v>2095</v>
      </c>
      <c r="C2100" s="10">
        <v>119.81961040333977</v>
      </c>
      <c r="D2100" s="42"/>
    </row>
    <row r="2101" spans="2:4" ht="16" thickBot="1" x14ac:dyDescent="0.25">
      <c r="B2101" s="5">
        <v>2096</v>
      </c>
      <c r="C2101" s="11">
        <v>312.52579065666743</v>
      </c>
      <c r="D2101" s="42"/>
    </row>
    <row r="2102" spans="2:4" ht="16" thickBot="1" x14ac:dyDescent="0.25">
      <c r="B2102" s="4">
        <v>2097</v>
      </c>
      <c r="C2102" s="10">
        <v>401.97795533371681</v>
      </c>
      <c r="D2102" s="42"/>
    </row>
    <row r="2103" spans="2:4" ht="16" thickBot="1" x14ac:dyDescent="0.25">
      <c r="B2103" s="5">
        <v>2098</v>
      </c>
      <c r="C2103" s="11">
        <v>184.85685131926337</v>
      </c>
      <c r="D2103" s="42"/>
    </row>
    <row r="2104" spans="2:4" ht="16" thickBot="1" x14ac:dyDescent="0.25">
      <c r="B2104" s="4">
        <v>2099</v>
      </c>
      <c r="C2104" s="10">
        <v>407.1370075947533</v>
      </c>
      <c r="D2104" s="42"/>
    </row>
    <row r="2105" spans="2:4" ht="16" thickBot="1" x14ac:dyDescent="0.25">
      <c r="B2105" s="5">
        <v>2100</v>
      </c>
      <c r="C2105" s="11">
        <v>97.827070072596769</v>
      </c>
      <c r="D2105" s="42"/>
    </row>
    <row r="2106" spans="2:4" ht="16" thickBot="1" x14ac:dyDescent="0.25">
      <c r="B2106" s="4">
        <v>2101</v>
      </c>
      <c r="C2106" s="10">
        <v>341.69469909288631</v>
      </c>
      <c r="D2106" s="42"/>
    </row>
    <row r="2107" spans="2:4" ht="16" thickBot="1" x14ac:dyDescent="0.25">
      <c r="B2107" s="5">
        <v>2102</v>
      </c>
      <c r="C2107" s="11">
        <v>690.68537808917222</v>
      </c>
      <c r="D2107" s="42"/>
    </row>
    <row r="2108" spans="2:4" ht="16" thickBot="1" x14ac:dyDescent="0.25">
      <c r="B2108" s="4">
        <v>2103</v>
      </c>
      <c r="C2108" s="10">
        <v>319.92084103028446</v>
      </c>
      <c r="D2108" s="42"/>
    </row>
    <row r="2109" spans="2:4" ht="16" thickBot="1" x14ac:dyDescent="0.25">
      <c r="B2109" s="5">
        <v>2104</v>
      </c>
      <c r="C2109" s="11">
        <v>224.45546588396547</v>
      </c>
      <c r="D2109" s="42"/>
    </row>
    <row r="2110" spans="2:4" ht="16" thickBot="1" x14ac:dyDescent="0.25">
      <c r="B2110" s="4">
        <v>2105</v>
      </c>
      <c r="C2110" s="10">
        <v>313.07580048169552</v>
      </c>
      <c r="D2110" s="42"/>
    </row>
    <row r="2111" spans="2:4" ht="16" thickBot="1" x14ac:dyDescent="0.25">
      <c r="B2111" s="5">
        <v>2106</v>
      </c>
      <c r="C2111" s="11">
        <v>464.90976232749694</v>
      </c>
      <c r="D2111" s="42"/>
    </row>
    <row r="2112" spans="2:4" ht="16" thickBot="1" x14ac:dyDescent="0.25">
      <c r="B2112" s="4">
        <v>2107</v>
      </c>
      <c r="C2112" s="10">
        <v>275.9425434055658</v>
      </c>
      <c r="D2112" s="42"/>
    </row>
    <row r="2113" spans="2:4" ht="16" thickBot="1" x14ac:dyDescent="0.25">
      <c r="B2113" s="5">
        <v>2108</v>
      </c>
      <c r="C2113" s="11">
        <v>194.16773429579504</v>
      </c>
      <c r="D2113" s="42"/>
    </row>
    <row r="2114" spans="2:4" ht="16" thickBot="1" x14ac:dyDescent="0.25">
      <c r="B2114" s="4">
        <v>2109</v>
      </c>
      <c r="C2114" s="10">
        <v>195.28386091538994</v>
      </c>
      <c r="D2114" s="42"/>
    </row>
    <row r="2115" spans="2:4" ht="16" thickBot="1" x14ac:dyDescent="0.25">
      <c r="B2115" s="5">
        <v>2110</v>
      </c>
      <c r="C2115" s="11">
        <v>75.150803452249662</v>
      </c>
      <c r="D2115" s="42"/>
    </row>
    <row r="2116" spans="2:4" ht="16" thickBot="1" x14ac:dyDescent="0.25">
      <c r="B2116" s="4">
        <v>2111</v>
      </c>
      <c r="C2116" s="10">
        <v>308.4339912640458</v>
      </c>
      <c r="D2116" s="42"/>
    </row>
    <row r="2117" spans="2:4" ht="16" thickBot="1" x14ac:dyDescent="0.25">
      <c r="B2117" s="5">
        <v>2112</v>
      </c>
      <c r="C2117" s="11">
        <v>186.0848302373133</v>
      </c>
      <c r="D2117" s="42"/>
    </row>
    <row r="2118" spans="2:4" ht="16" thickBot="1" x14ac:dyDescent="0.25">
      <c r="B2118" s="4">
        <v>2113</v>
      </c>
      <c r="C2118" s="10">
        <v>213.5310124012878</v>
      </c>
      <c r="D2118" s="42"/>
    </row>
    <row r="2119" spans="2:4" ht="16" thickBot="1" x14ac:dyDescent="0.25">
      <c r="B2119" s="5">
        <v>2114</v>
      </c>
      <c r="C2119" s="11">
        <v>136.527019273262</v>
      </c>
      <c r="D2119" s="42"/>
    </row>
    <row r="2120" spans="2:4" ht="16" thickBot="1" x14ac:dyDescent="0.25">
      <c r="B2120" s="4">
        <v>2115</v>
      </c>
      <c r="C2120" s="10">
        <v>270.38901331414803</v>
      </c>
      <c r="D2120" s="42"/>
    </row>
    <row r="2121" spans="2:4" ht="16" thickBot="1" x14ac:dyDescent="0.25">
      <c r="B2121" s="5">
        <v>2116</v>
      </c>
      <c r="C2121" s="11">
        <v>264.4909936691418</v>
      </c>
      <c r="D2121" s="42"/>
    </row>
    <row r="2122" spans="2:4" ht="16" thickBot="1" x14ac:dyDescent="0.25">
      <c r="B2122" s="4">
        <v>2117</v>
      </c>
      <c r="C2122" s="10">
        <v>152.14831627572775</v>
      </c>
      <c r="D2122" s="42"/>
    </row>
    <row r="2123" spans="2:4" ht="16" thickBot="1" x14ac:dyDescent="0.25">
      <c r="B2123" s="5">
        <v>2118</v>
      </c>
      <c r="C2123" s="11">
        <v>150.85987382518306</v>
      </c>
      <c r="D2123" s="42"/>
    </row>
    <row r="2124" spans="2:4" ht="16" thickBot="1" x14ac:dyDescent="0.25">
      <c r="B2124" s="4">
        <v>2119</v>
      </c>
      <c r="C2124" s="10">
        <v>34.81921779695309</v>
      </c>
      <c r="D2124" s="42"/>
    </row>
    <row r="2125" spans="2:4" ht="16" thickBot="1" x14ac:dyDescent="0.25">
      <c r="B2125" s="5">
        <v>2120</v>
      </c>
      <c r="C2125" s="11">
        <v>232.63394760556102</v>
      </c>
      <c r="D2125" s="42"/>
    </row>
    <row r="2126" spans="2:4" ht="16" thickBot="1" x14ac:dyDescent="0.25">
      <c r="B2126" s="4">
        <v>2121</v>
      </c>
      <c r="C2126" s="10">
        <v>427.60606568783851</v>
      </c>
      <c r="D2126" s="42"/>
    </row>
    <row r="2127" spans="2:4" ht="16" thickBot="1" x14ac:dyDescent="0.25">
      <c r="B2127" s="5">
        <v>2122</v>
      </c>
      <c r="C2127" s="11">
        <v>401.51925200353378</v>
      </c>
      <c r="D2127" s="42"/>
    </row>
    <row r="2128" spans="2:4" ht="16" thickBot="1" x14ac:dyDescent="0.25">
      <c r="B2128" s="4">
        <v>2123</v>
      </c>
      <c r="C2128" s="10">
        <v>191.43475632251511</v>
      </c>
      <c r="D2128" s="42"/>
    </row>
    <row r="2129" spans="2:4" ht="16" thickBot="1" x14ac:dyDescent="0.25">
      <c r="B2129" s="5">
        <v>2124</v>
      </c>
      <c r="C2129" s="11">
        <v>457.95663610630498</v>
      </c>
      <c r="D2129" s="42"/>
    </row>
    <row r="2130" spans="2:4" ht="16" thickBot="1" x14ac:dyDescent="0.25">
      <c r="B2130" s="4">
        <v>2125</v>
      </c>
      <c r="C2130" s="10">
        <v>242.55469638284876</v>
      </c>
      <c r="D2130" s="42"/>
    </row>
    <row r="2131" spans="2:4" ht="16" thickBot="1" x14ac:dyDescent="0.25">
      <c r="B2131" s="5">
        <v>2126</v>
      </c>
      <c r="C2131" s="11">
        <v>454.23877228634018</v>
      </c>
      <c r="D2131" s="42"/>
    </row>
    <row r="2132" spans="2:4" ht="16" thickBot="1" x14ac:dyDescent="0.25">
      <c r="B2132" s="4">
        <v>2127</v>
      </c>
      <c r="C2132" s="10">
        <v>144.19464259496937</v>
      </c>
      <c r="D2132" s="42"/>
    </row>
    <row r="2133" spans="2:4" ht="16" thickBot="1" x14ac:dyDescent="0.25">
      <c r="B2133" s="5">
        <v>2128</v>
      </c>
      <c r="C2133" s="11">
        <v>322.83364130439219</v>
      </c>
      <c r="D2133" s="42"/>
    </row>
    <row r="2134" spans="2:4" ht="16" thickBot="1" x14ac:dyDescent="0.25">
      <c r="B2134" s="4">
        <v>2129</v>
      </c>
      <c r="C2134" s="10">
        <v>229.23717867554117</v>
      </c>
      <c r="D2134" s="42"/>
    </row>
    <row r="2135" spans="2:4" ht="16" thickBot="1" x14ac:dyDescent="0.25">
      <c r="B2135" s="5">
        <v>2130</v>
      </c>
      <c r="C2135" s="11">
        <v>502.21391213219448</v>
      </c>
      <c r="D2135" s="42"/>
    </row>
    <row r="2136" spans="2:4" ht="16" thickBot="1" x14ac:dyDescent="0.25">
      <c r="B2136" s="4">
        <v>2131</v>
      </c>
      <c r="C2136" s="10">
        <v>328.46571637638084</v>
      </c>
      <c r="D2136" s="42"/>
    </row>
    <row r="2137" spans="2:4" ht="16" thickBot="1" x14ac:dyDescent="0.25">
      <c r="B2137" s="5">
        <v>2132</v>
      </c>
      <c r="C2137" s="11">
        <v>202.63568094194025</v>
      </c>
      <c r="D2137" s="42"/>
    </row>
    <row r="2138" spans="2:4" ht="16" thickBot="1" x14ac:dyDescent="0.25">
      <c r="B2138" s="4">
        <v>2133</v>
      </c>
      <c r="C2138" s="10">
        <v>156.09880640130453</v>
      </c>
      <c r="D2138" s="42"/>
    </row>
    <row r="2139" spans="2:4" ht="16" thickBot="1" x14ac:dyDescent="0.25">
      <c r="B2139" s="5">
        <v>2134</v>
      </c>
      <c r="C2139" s="11">
        <v>157.46433702753578</v>
      </c>
      <c r="D2139" s="42"/>
    </row>
    <row r="2140" spans="2:4" ht="16" thickBot="1" x14ac:dyDescent="0.25">
      <c r="B2140" s="4">
        <v>2135</v>
      </c>
      <c r="C2140" s="10">
        <v>153.77850200423129</v>
      </c>
      <c r="D2140" s="42"/>
    </row>
    <row r="2141" spans="2:4" ht="16" thickBot="1" x14ac:dyDescent="0.25">
      <c r="B2141" s="5">
        <v>2136</v>
      </c>
      <c r="C2141" s="11">
        <v>340.50300522447873</v>
      </c>
      <c r="D2141" s="42"/>
    </row>
    <row r="2142" spans="2:4" ht="16" thickBot="1" x14ac:dyDescent="0.25">
      <c r="B2142" s="4">
        <v>2137</v>
      </c>
      <c r="C2142" s="10">
        <v>408.46654293276333</v>
      </c>
      <c r="D2142" s="42"/>
    </row>
    <row r="2143" spans="2:4" ht="16" thickBot="1" x14ac:dyDescent="0.25">
      <c r="B2143" s="5">
        <v>2138</v>
      </c>
      <c r="C2143" s="11">
        <v>276.38735511148229</v>
      </c>
      <c r="D2143" s="42"/>
    </row>
    <row r="2144" spans="2:4" ht="16" thickBot="1" x14ac:dyDescent="0.25">
      <c r="B2144" s="4">
        <v>2139</v>
      </c>
      <c r="C2144" s="10">
        <v>207.02497047835223</v>
      </c>
      <c r="D2144" s="42"/>
    </row>
    <row r="2145" spans="2:4" ht="16" thickBot="1" x14ac:dyDescent="0.25">
      <c r="B2145" s="5">
        <v>2140</v>
      </c>
      <c r="C2145" s="11">
        <v>603.23604074385094</v>
      </c>
      <c r="D2145" s="42"/>
    </row>
    <row r="2146" spans="2:4" ht="16" thickBot="1" x14ac:dyDescent="0.25">
      <c r="B2146" s="4">
        <v>2141</v>
      </c>
      <c r="C2146" s="10">
        <v>241.06666549328543</v>
      </c>
      <c r="D2146" s="42"/>
    </row>
    <row r="2147" spans="2:4" ht="16" thickBot="1" x14ac:dyDescent="0.25">
      <c r="B2147" s="5">
        <v>2142</v>
      </c>
      <c r="C2147" s="11">
        <v>432.85862147027638</v>
      </c>
      <c r="D2147" s="42"/>
    </row>
    <row r="2148" spans="2:4" ht="16" thickBot="1" x14ac:dyDescent="0.25">
      <c r="B2148" s="4">
        <v>2143</v>
      </c>
      <c r="C2148" s="10">
        <v>117.60382045696207</v>
      </c>
      <c r="D2148" s="42"/>
    </row>
    <row r="2149" spans="2:4" ht="16" thickBot="1" x14ac:dyDescent="0.25">
      <c r="B2149" s="5">
        <v>2144</v>
      </c>
      <c r="C2149" s="11">
        <v>271.95464836852614</v>
      </c>
      <c r="D2149" s="42"/>
    </row>
    <row r="2150" spans="2:4" ht="16" thickBot="1" x14ac:dyDescent="0.25">
      <c r="B2150" s="4">
        <v>2145</v>
      </c>
      <c r="C2150" s="10">
        <v>270.32206680260629</v>
      </c>
      <c r="D2150" s="42"/>
    </row>
    <row r="2151" spans="2:4" ht="16" thickBot="1" x14ac:dyDescent="0.25">
      <c r="B2151" s="5">
        <v>2146</v>
      </c>
      <c r="C2151" s="11">
        <v>260.88314307788028</v>
      </c>
      <c r="D2151" s="42"/>
    </row>
    <row r="2152" spans="2:4" ht="16" thickBot="1" x14ac:dyDescent="0.25">
      <c r="B2152" s="4">
        <v>2147</v>
      </c>
      <c r="C2152" s="10">
        <v>502.21432493887971</v>
      </c>
      <c r="D2152" s="42"/>
    </row>
    <row r="2153" spans="2:4" ht="16" thickBot="1" x14ac:dyDescent="0.25">
      <c r="B2153" s="5">
        <v>2148</v>
      </c>
      <c r="C2153" s="11">
        <v>240.68376135390398</v>
      </c>
      <c r="D2153" s="42"/>
    </row>
    <row r="2154" spans="2:4" ht="16" thickBot="1" x14ac:dyDescent="0.25">
      <c r="B2154" s="4">
        <v>2149</v>
      </c>
      <c r="C2154" s="10">
        <v>141.02017476789425</v>
      </c>
      <c r="D2154" s="42"/>
    </row>
    <row r="2155" spans="2:4" ht="16" thickBot="1" x14ac:dyDescent="0.25">
      <c r="B2155" s="5">
        <v>2150</v>
      </c>
      <c r="C2155" s="11">
        <v>183.53829704271871</v>
      </c>
      <c r="D2155" s="42"/>
    </row>
    <row r="2156" spans="2:4" ht="16" thickBot="1" x14ac:dyDescent="0.25">
      <c r="B2156" s="4">
        <v>2151</v>
      </c>
      <c r="C2156" s="10">
        <v>247.66654853981706</v>
      </c>
      <c r="D2156" s="42"/>
    </row>
    <row r="2157" spans="2:4" ht="16" thickBot="1" x14ac:dyDescent="0.25">
      <c r="B2157" s="5">
        <v>2152</v>
      </c>
      <c r="C2157" s="11">
        <v>510.08200180877799</v>
      </c>
      <c r="D2157" s="42"/>
    </row>
    <row r="2158" spans="2:4" ht="16" thickBot="1" x14ac:dyDescent="0.25">
      <c r="B2158" s="4">
        <v>2153</v>
      </c>
      <c r="C2158" s="10">
        <v>208.3481928245657</v>
      </c>
      <c r="D2158" s="42"/>
    </row>
    <row r="2159" spans="2:4" ht="16" thickBot="1" x14ac:dyDescent="0.25">
      <c r="B2159" s="5">
        <v>2154</v>
      </c>
      <c r="C2159" s="11">
        <v>44.372221572700596</v>
      </c>
      <c r="D2159" s="42"/>
    </row>
    <row r="2160" spans="2:4" ht="16" thickBot="1" x14ac:dyDescent="0.25">
      <c r="B2160" s="4">
        <v>2155</v>
      </c>
      <c r="C2160" s="10">
        <v>536.29702717177383</v>
      </c>
      <c r="D2160" s="42"/>
    </row>
    <row r="2161" spans="2:4" ht="16" thickBot="1" x14ac:dyDescent="0.25">
      <c r="B2161" s="5">
        <v>2156</v>
      </c>
      <c r="C2161" s="11">
        <v>237.72053766424</v>
      </c>
      <c r="D2161" s="42"/>
    </row>
    <row r="2162" spans="2:4" ht="16" thickBot="1" x14ac:dyDescent="0.25">
      <c r="B2162" s="4">
        <v>2157</v>
      </c>
      <c r="C2162" s="10">
        <v>339.45718455623177</v>
      </c>
      <c r="D2162" s="42"/>
    </row>
    <row r="2163" spans="2:4" ht="16" thickBot="1" x14ac:dyDescent="0.25">
      <c r="B2163" s="5">
        <v>2158</v>
      </c>
      <c r="C2163" s="11">
        <v>25.672282354444651</v>
      </c>
      <c r="D2163" s="42"/>
    </row>
    <row r="2164" spans="2:4" ht="16" thickBot="1" x14ac:dyDescent="0.25">
      <c r="B2164" s="4">
        <v>2159</v>
      </c>
      <c r="C2164" s="10">
        <v>410.37146173791086</v>
      </c>
      <c r="D2164" s="42"/>
    </row>
    <row r="2165" spans="2:4" ht="16" thickBot="1" x14ac:dyDescent="0.25">
      <c r="B2165" s="5">
        <v>2160</v>
      </c>
      <c r="C2165" s="11">
        <v>334.31884942059691</v>
      </c>
      <c r="D2165" s="42"/>
    </row>
    <row r="2166" spans="2:4" ht="16" thickBot="1" x14ac:dyDescent="0.25">
      <c r="B2166" s="4">
        <v>2161</v>
      </c>
      <c r="C2166" s="10">
        <v>354.09818531452265</v>
      </c>
      <c r="D2166" s="42"/>
    </row>
    <row r="2167" spans="2:4" ht="16" thickBot="1" x14ac:dyDescent="0.25">
      <c r="B2167" s="5">
        <v>2162</v>
      </c>
      <c r="C2167" s="11">
        <v>830.85382140170043</v>
      </c>
      <c r="D2167" s="42"/>
    </row>
    <row r="2168" spans="2:4" ht="16" thickBot="1" x14ac:dyDescent="0.25">
      <c r="B2168" s="4">
        <v>2163</v>
      </c>
      <c r="C2168" s="10">
        <v>565.32320772225114</v>
      </c>
      <c r="D2168" s="42"/>
    </row>
    <row r="2169" spans="2:4" ht="16" thickBot="1" x14ac:dyDescent="0.25">
      <c r="B2169" s="5">
        <v>2164</v>
      </c>
      <c r="C2169" s="11">
        <v>208.68428563231657</v>
      </c>
      <c r="D2169" s="42"/>
    </row>
    <row r="2170" spans="2:4" ht="16" thickBot="1" x14ac:dyDescent="0.25">
      <c r="B2170" s="4">
        <v>2165</v>
      </c>
      <c r="C2170" s="10">
        <v>274.97766013773764</v>
      </c>
      <c r="D2170" s="42"/>
    </row>
    <row r="2171" spans="2:4" ht="16" thickBot="1" x14ac:dyDescent="0.25">
      <c r="B2171" s="5">
        <v>2166</v>
      </c>
      <c r="C2171" s="11">
        <v>179.74072505060775</v>
      </c>
      <c r="D2171" s="42"/>
    </row>
    <row r="2172" spans="2:4" ht="16" thickBot="1" x14ac:dyDescent="0.25">
      <c r="B2172" s="4">
        <v>2167</v>
      </c>
      <c r="C2172" s="10">
        <v>101.00427893866559</v>
      </c>
      <c r="D2172" s="42"/>
    </row>
    <row r="2173" spans="2:4" ht="16" thickBot="1" x14ac:dyDescent="0.25">
      <c r="B2173" s="5">
        <v>2168</v>
      </c>
      <c r="C2173" s="11">
        <v>192.90548396113081</v>
      </c>
      <c r="D2173" s="42"/>
    </row>
    <row r="2174" spans="2:4" ht="16" thickBot="1" x14ac:dyDescent="0.25">
      <c r="B2174" s="4">
        <v>2169</v>
      </c>
      <c r="C2174" s="10">
        <v>225.63835222789251</v>
      </c>
      <c r="D2174" s="42"/>
    </row>
    <row r="2175" spans="2:4" ht="16" thickBot="1" x14ac:dyDescent="0.25">
      <c r="B2175" s="5">
        <v>2170</v>
      </c>
      <c r="C2175" s="11">
        <v>174.70053648369498</v>
      </c>
      <c r="D2175" s="42"/>
    </row>
    <row r="2176" spans="2:4" ht="16" thickBot="1" x14ac:dyDescent="0.25">
      <c r="B2176" s="4">
        <v>2171</v>
      </c>
      <c r="C2176" s="10">
        <v>318.15788972373991</v>
      </c>
      <c r="D2176" s="42"/>
    </row>
    <row r="2177" spans="2:4" ht="16" thickBot="1" x14ac:dyDescent="0.25">
      <c r="B2177" s="5">
        <v>2172</v>
      </c>
      <c r="C2177" s="11">
        <v>164.52555033375759</v>
      </c>
      <c r="D2177" s="42"/>
    </row>
    <row r="2178" spans="2:4" ht="16" thickBot="1" x14ac:dyDescent="0.25">
      <c r="B2178" s="4">
        <v>2173</v>
      </c>
      <c r="C2178" s="10">
        <v>181.04527233794346</v>
      </c>
      <c r="D2178" s="42"/>
    </row>
    <row r="2179" spans="2:4" ht="16" thickBot="1" x14ac:dyDescent="0.25">
      <c r="B2179" s="5">
        <v>2174</v>
      </c>
      <c r="C2179" s="11">
        <v>193.15650531250824</v>
      </c>
      <c r="D2179" s="42"/>
    </row>
    <row r="2180" spans="2:4" ht="16" thickBot="1" x14ac:dyDescent="0.25">
      <c r="B2180" s="4">
        <v>2175</v>
      </c>
      <c r="C2180" s="10">
        <v>391.11159411069053</v>
      </c>
      <c r="D2180" s="42"/>
    </row>
    <row r="2181" spans="2:4" ht="16" thickBot="1" x14ac:dyDescent="0.25">
      <c r="B2181" s="5">
        <v>2176</v>
      </c>
      <c r="C2181" s="11">
        <v>58.710925404011746</v>
      </c>
      <c r="D2181" s="42"/>
    </row>
    <row r="2182" spans="2:4" ht="16" thickBot="1" x14ac:dyDescent="0.25">
      <c r="B2182" s="4">
        <v>2177</v>
      </c>
      <c r="C2182" s="10">
        <v>396.21040505462099</v>
      </c>
      <c r="D2182" s="42"/>
    </row>
    <row r="2183" spans="2:4" ht="16" thickBot="1" x14ac:dyDescent="0.25">
      <c r="B2183" s="5">
        <v>2178</v>
      </c>
      <c r="C2183" s="11">
        <v>636.34825127371835</v>
      </c>
      <c r="D2183" s="42"/>
    </row>
    <row r="2184" spans="2:4" ht="16" thickBot="1" x14ac:dyDescent="0.25">
      <c r="B2184" s="4">
        <v>2179</v>
      </c>
      <c r="C2184" s="10">
        <v>555.59394917934867</v>
      </c>
      <c r="D2184" s="42"/>
    </row>
    <row r="2185" spans="2:4" ht="16" thickBot="1" x14ac:dyDescent="0.25">
      <c r="B2185" s="5">
        <v>2180</v>
      </c>
      <c r="C2185" s="11">
        <v>93.182119767694545</v>
      </c>
      <c r="D2185" s="42"/>
    </row>
    <row r="2186" spans="2:4" ht="16" thickBot="1" x14ac:dyDescent="0.25">
      <c r="B2186" s="4">
        <v>2181</v>
      </c>
      <c r="C2186" s="10">
        <v>217.44097989617453</v>
      </c>
      <c r="D2186" s="42"/>
    </row>
    <row r="2187" spans="2:4" ht="16" thickBot="1" x14ac:dyDescent="0.25">
      <c r="B2187" s="5">
        <v>2182</v>
      </c>
      <c r="C2187" s="11">
        <v>465.00436044893081</v>
      </c>
      <c r="D2187" s="42"/>
    </row>
    <row r="2188" spans="2:4" ht="16" thickBot="1" x14ac:dyDescent="0.25">
      <c r="B2188" s="4">
        <v>2183</v>
      </c>
      <c r="C2188" s="10">
        <v>210.17214982133467</v>
      </c>
      <c r="D2188" s="42"/>
    </row>
    <row r="2189" spans="2:4" ht="16" thickBot="1" x14ac:dyDescent="0.25">
      <c r="B2189" s="5">
        <v>2184</v>
      </c>
      <c r="C2189" s="11">
        <v>79.775732871884514</v>
      </c>
      <c r="D2189" s="42"/>
    </row>
    <row r="2190" spans="2:4" ht="16" thickBot="1" x14ac:dyDescent="0.25">
      <c r="B2190" s="4">
        <v>2185</v>
      </c>
      <c r="C2190" s="10">
        <v>257.37347558265196</v>
      </c>
      <c r="D2190" s="42"/>
    </row>
    <row r="2191" spans="2:4" ht="16" thickBot="1" x14ac:dyDescent="0.25">
      <c r="B2191" s="5">
        <v>2186</v>
      </c>
      <c r="C2191" s="11">
        <v>481.04611843043972</v>
      </c>
      <c r="D2191" s="42"/>
    </row>
    <row r="2192" spans="2:4" ht="16" thickBot="1" x14ac:dyDescent="0.25">
      <c r="B2192" s="4">
        <v>2187</v>
      </c>
      <c r="C2192" s="10">
        <v>162.59488533698615</v>
      </c>
      <c r="D2192" s="42"/>
    </row>
    <row r="2193" spans="2:4" ht="16" thickBot="1" x14ac:dyDescent="0.25">
      <c r="B2193" s="5">
        <v>2188</v>
      </c>
      <c r="C2193" s="11">
        <v>324.02057452193498</v>
      </c>
      <c r="D2193" s="42"/>
    </row>
    <row r="2194" spans="2:4" ht="16" thickBot="1" x14ac:dyDescent="0.25">
      <c r="B2194" s="4">
        <v>2189</v>
      </c>
      <c r="C2194" s="10">
        <v>89.778459072048165</v>
      </c>
      <c r="D2194" s="42"/>
    </row>
    <row r="2195" spans="2:4" ht="16" thickBot="1" x14ac:dyDescent="0.25">
      <c r="B2195" s="5">
        <v>2190</v>
      </c>
      <c r="C2195" s="11">
        <v>276.87396549497356</v>
      </c>
      <c r="D2195" s="42"/>
    </row>
    <row r="2196" spans="2:4" ht="16" thickBot="1" x14ac:dyDescent="0.25">
      <c r="B2196" s="4">
        <v>2191</v>
      </c>
      <c r="C2196" s="10">
        <v>249.07443771358413</v>
      </c>
      <c r="D2196" s="42"/>
    </row>
    <row r="2197" spans="2:4" ht="16" thickBot="1" x14ac:dyDescent="0.25">
      <c r="B2197" s="5">
        <v>2192</v>
      </c>
      <c r="C2197" s="11">
        <v>386.43540133973039</v>
      </c>
      <c r="D2197" s="42"/>
    </row>
    <row r="2198" spans="2:4" ht="16" thickBot="1" x14ac:dyDescent="0.25">
      <c r="B2198" s="4">
        <v>2193</v>
      </c>
      <c r="C2198" s="10">
        <v>390.55905132233426</v>
      </c>
      <c r="D2198" s="42"/>
    </row>
    <row r="2199" spans="2:4" ht="16" thickBot="1" x14ac:dyDescent="0.25">
      <c r="B2199" s="5">
        <v>2194</v>
      </c>
      <c r="C2199" s="11">
        <v>105.22818064491892</v>
      </c>
      <c r="D2199" s="42"/>
    </row>
    <row r="2200" spans="2:4" ht="16" thickBot="1" x14ac:dyDescent="0.25">
      <c r="B2200" s="4">
        <v>2195</v>
      </c>
      <c r="C2200" s="10">
        <v>148.93420403574689</v>
      </c>
      <c r="D2200" s="42"/>
    </row>
    <row r="2201" spans="2:4" ht="16" thickBot="1" x14ac:dyDescent="0.25">
      <c r="B2201" s="5">
        <v>2196</v>
      </c>
      <c r="C2201" s="11">
        <v>587.47919797843485</v>
      </c>
      <c r="D2201" s="42"/>
    </row>
    <row r="2202" spans="2:4" ht="16" thickBot="1" x14ac:dyDescent="0.25">
      <c r="B2202" s="4">
        <v>2197</v>
      </c>
      <c r="C2202" s="10">
        <v>353.08818423933587</v>
      </c>
      <c r="D2202" s="42"/>
    </row>
    <row r="2203" spans="2:4" ht="16" thickBot="1" x14ac:dyDescent="0.25">
      <c r="B2203" s="5">
        <v>2198</v>
      </c>
      <c r="C2203" s="11">
        <v>194.2484098842703</v>
      </c>
      <c r="D2203" s="42"/>
    </row>
    <row r="2204" spans="2:4" ht="16" thickBot="1" x14ac:dyDescent="0.25">
      <c r="B2204" s="4">
        <v>2199</v>
      </c>
      <c r="C2204" s="10">
        <v>219.21053404571444</v>
      </c>
      <c r="D2204" s="42"/>
    </row>
    <row r="2205" spans="2:4" ht="16" thickBot="1" x14ac:dyDescent="0.25">
      <c r="B2205" s="5">
        <v>2200</v>
      </c>
      <c r="C2205" s="11">
        <v>228.91144361898986</v>
      </c>
      <c r="D2205" s="42"/>
    </row>
    <row r="2206" spans="2:4" ht="16" thickBot="1" x14ac:dyDescent="0.25">
      <c r="B2206" s="4">
        <v>2201</v>
      </c>
      <c r="C2206" s="10">
        <v>424.08697575191633</v>
      </c>
      <c r="D2206" s="42"/>
    </row>
    <row r="2207" spans="2:4" ht="16" thickBot="1" x14ac:dyDescent="0.25">
      <c r="B2207" s="5">
        <v>2202</v>
      </c>
      <c r="C2207" s="11">
        <v>484.70156643877988</v>
      </c>
      <c r="D2207" s="42"/>
    </row>
    <row r="2208" spans="2:4" ht="16" thickBot="1" x14ac:dyDescent="0.25">
      <c r="B2208" s="4">
        <v>2203</v>
      </c>
      <c r="C2208" s="10">
        <v>334.66823813149438</v>
      </c>
      <c r="D2208" s="42"/>
    </row>
    <row r="2209" spans="2:4" ht="16" thickBot="1" x14ac:dyDescent="0.25">
      <c r="B2209" s="5">
        <v>2204</v>
      </c>
      <c r="C2209" s="11">
        <v>44.648665810301168</v>
      </c>
      <c r="D2209" s="42"/>
    </row>
    <row r="2210" spans="2:4" ht="16" thickBot="1" x14ac:dyDescent="0.25">
      <c r="B2210" s="4">
        <v>2205</v>
      </c>
      <c r="C2210" s="10">
        <v>321.47417866242336</v>
      </c>
      <c r="D2210" s="42"/>
    </row>
    <row r="2211" spans="2:4" ht="16" thickBot="1" x14ac:dyDescent="0.25">
      <c r="B2211" s="5">
        <v>2206</v>
      </c>
      <c r="C2211" s="11">
        <v>249.87585721346977</v>
      </c>
      <c r="D2211" s="42"/>
    </row>
    <row r="2212" spans="2:4" ht="16" thickBot="1" x14ac:dyDescent="0.25">
      <c r="B2212" s="4">
        <v>2207</v>
      </c>
      <c r="C2212" s="10">
        <v>123.43668421272855</v>
      </c>
      <c r="D2212" s="42"/>
    </row>
    <row r="2213" spans="2:4" ht="16" thickBot="1" x14ac:dyDescent="0.25">
      <c r="B2213" s="5">
        <v>2208</v>
      </c>
      <c r="C2213" s="11">
        <v>62.109087280829499</v>
      </c>
      <c r="D2213" s="42"/>
    </row>
    <row r="2214" spans="2:4" ht="16" thickBot="1" x14ac:dyDescent="0.25">
      <c r="B2214" s="4">
        <v>2209</v>
      </c>
      <c r="C2214" s="10">
        <v>314.88189220256652</v>
      </c>
      <c r="D2214" s="42"/>
    </row>
    <row r="2215" spans="2:4" ht="16" thickBot="1" x14ac:dyDescent="0.25">
      <c r="B2215" s="5">
        <v>2210</v>
      </c>
      <c r="C2215" s="11">
        <v>374.6949908143776</v>
      </c>
      <c r="D2215" s="42"/>
    </row>
    <row r="2216" spans="2:4" ht="16" thickBot="1" x14ac:dyDescent="0.25">
      <c r="B2216" s="4">
        <v>2211</v>
      </c>
      <c r="C2216" s="10">
        <v>297.18628413892941</v>
      </c>
      <c r="D2216" s="42"/>
    </row>
    <row r="2217" spans="2:4" ht="16" thickBot="1" x14ac:dyDescent="0.25">
      <c r="B2217" s="5">
        <v>2212</v>
      </c>
      <c r="C2217" s="11">
        <v>141.74422587340158</v>
      </c>
      <c r="D2217" s="42"/>
    </row>
    <row r="2218" spans="2:4" ht="16" thickBot="1" x14ac:dyDescent="0.25">
      <c r="B2218" s="4">
        <v>2213</v>
      </c>
      <c r="C2218" s="10">
        <v>257.33772047472877</v>
      </c>
      <c r="D2218" s="42"/>
    </row>
    <row r="2219" spans="2:4" ht="16" thickBot="1" x14ac:dyDescent="0.25">
      <c r="B2219" s="5">
        <v>2214</v>
      </c>
      <c r="C2219" s="11">
        <v>238.94108943163229</v>
      </c>
      <c r="D2219" s="42"/>
    </row>
    <row r="2220" spans="2:4" ht="16" thickBot="1" x14ac:dyDescent="0.25">
      <c r="B2220" s="4">
        <v>2215</v>
      </c>
      <c r="C2220" s="10">
        <v>422.29728584374112</v>
      </c>
      <c r="D2220" s="42"/>
    </row>
    <row r="2221" spans="2:4" ht="16" thickBot="1" x14ac:dyDescent="0.25">
      <c r="B2221" s="5">
        <v>2216</v>
      </c>
      <c r="C2221" s="11">
        <v>232.13466057294832</v>
      </c>
      <c r="D2221" s="42"/>
    </row>
    <row r="2222" spans="2:4" ht="16" thickBot="1" x14ac:dyDescent="0.25">
      <c r="B2222" s="4">
        <v>2217</v>
      </c>
      <c r="C2222" s="10">
        <v>281.31792712305059</v>
      </c>
      <c r="D2222" s="42"/>
    </row>
    <row r="2223" spans="2:4" ht="16" thickBot="1" x14ac:dyDescent="0.25">
      <c r="B2223" s="5">
        <v>2218</v>
      </c>
      <c r="C2223" s="11">
        <v>182.78648328419303</v>
      </c>
      <c r="D2223" s="42"/>
    </row>
    <row r="2224" spans="2:4" ht="16" thickBot="1" x14ac:dyDescent="0.25">
      <c r="B2224" s="4">
        <v>2219</v>
      </c>
      <c r="C2224" s="10">
        <v>110.76640613127476</v>
      </c>
      <c r="D2224" s="42"/>
    </row>
    <row r="2225" spans="2:4" ht="16" thickBot="1" x14ac:dyDescent="0.25">
      <c r="B2225" s="5">
        <v>2220</v>
      </c>
      <c r="C2225" s="11">
        <v>238.745843048919</v>
      </c>
      <c r="D2225" s="42"/>
    </row>
    <row r="2226" spans="2:4" ht="16" thickBot="1" x14ac:dyDescent="0.25">
      <c r="B2226" s="4">
        <v>2221</v>
      </c>
      <c r="C2226" s="10">
        <v>176.9437331378052</v>
      </c>
      <c r="D2226" s="42"/>
    </row>
    <row r="2227" spans="2:4" ht="16" thickBot="1" x14ac:dyDescent="0.25">
      <c r="B2227" s="5">
        <v>2222</v>
      </c>
      <c r="C2227" s="11">
        <v>335.54491828460596</v>
      </c>
      <c r="D2227" s="42"/>
    </row>
    <row r="2228" spans="2:4" ht="16" thickBot="1" x14ac:dyDescent="0.25">
      <c r="B2228" s="4">
        <v>2223</v>
      </c>
      <c r="C2228" s="10">
        <v>403.63779090745163</v>
      </c>
      <c r="D2228" s="42"/>
    </row>
    <row r="2229" spans="2:4" ht="16" thickBot="1" x14ac:dyDescent="0.25">
      <c r="B2229" s="5">
        <v>2224</v>
      </c>
      <c r="C2229" s="11">
        <v>92.295786004853269</v>
      </c>
      <c r="D2229" s="42"/>
    </row>
    <row r="2230" spans="2:4" ht="16" thickBot="1" x14ac:dyDescent="0.25">
      <c r="B2230" s="4">
        <v>2225</v>
      </c>
      <c r="C2230" s="10">
        <v>278.53981285403182</v>
      </c>
      <c r="D2230" s="42"/>
    </row>
    <row r="2231" spans="2:4" ht="16" thickBot="1" x14ac:dyDescent="0.25">
      <c r="B2231" s="5">
        <v>2226</v>
      </c>
      <c r="C2231" s="11">
        <v>344.6434626019157</v>
      </c>
      <c r="D2231" s="42"/>
    </row>
    <row r="2232" spans="2:4" ht="16" thickBot="1" x14ac:dyDescent="0.25">
      <c r="B2232" s="4">
        <v>2227</v>
      </c>
      <c r="C2232" s="10">
        <v>36.697479955915135</v>
      </c>
      <c r="D2232" s="42"/>
    </row>
    <row r="2233" spans="2:4" ht="16" thickBot="1" x14ac:dyDescent="0.25">
      <c r="B2233" s="5">
        <v>2228</v>
      </c>
      <c r="C2233" s="11">
        <v>218.25900073654091</v>
      </c>
      <c r="D2233" s="42"/>
    </row>
    <row r="2234" spans="2:4" ht="16" thickBot="1" x14ac:dyDescent="0.25">
      <c r="B2234" s="4">
        <v>2229</v>
      </c>
      <c r="C2234" s="10">
        <v>110.99697726469174</v>
      </c>
      <c r="D2234" s="42"/>
    </row>
    <row r="2235" spans="2:4" ht="16" thickBot="1" x14ac:dyDescent="0.25">
      <c r="B2235" s="5">
        <v>2230</v>
      </c>
      <c r="C2235" s="11">
        <v>176.30707838797781</v>
      </c>
      <c r="D2235" s="42"/>
    </row>
    <row r="2236" spans="2:4" ht="16" thickBot="1" x14ac:dyDescent="0.25">
      <c r="B2236" s="4">
        <v>2231</v>
      </c>
      <c r="C2236" s="10">
        <v>91.509386690795679</v>
      </c>
      <c r="D2236" s="42"/>
    </row>
    <row r="2237" spans="2:4" ht="16" thickBot="1" x14ac:dyDescent="0.25">
      <c r="B2237" s="5">
        <v>2232</v>
      </c>
      <c r="C2237" s="11">
        <v>148.64702234037696</v>
      </c>
      <c r="D2237" s="42"/>
    </row>
    <row r="2238" spans="2:4" ht="16" thickBot="1" x14ac:dyDescent="0.25">
      <c r="B2238" s="4">
        <v>2233</v>
      </c>
      <c r="C2238" s="10">
        <v>398.06995747585529</v>
      </c>
      <c r="D2238" s="42"/>
    </row>
    <row r="2239" spans="2:4" ht="16" thickBot="1" x14ac:dyDescent="0.25">
      <c r="B2239" s="5">
        <v>2234</v>
      </c>
      <c r="C2239" s="11">
        <v>125.76077560989953</v>
      </c>
      <c r="D2239" s="42"/>
    </row>
    <row r="2240" spans="2:4" ht="16" thickBot="1" x14ac:dyDescent="0.25">
      <c r="B2240" s="4">
        <v>2235</v>
      </c>
      <c r="C2240" s="10">
        <v>577.77105187205404</v>
      </c>
      <c r="D2240" s="42"/>
    </row>
    <row r="2241" spans="2:4" ht="16" thickBot="1" x14ac:dyDescent="0.25">
      <c r="B2241" s="5">
        <v>2236</v>
      </c>
      <c r="C2241" s="11">
        <v>303.91080027297022</v>
      </c>
      <c r="D2241" s="42"/>
    </row>
    <row r="2242" spans="2:4" ht="16" thickBot="1" x14ac:dyDescent="0.25">
      <c r="B2242" s="4">
        <v>2237</v>
      </c>
      <c r="C2242" s="10">
        <v>429.30806135539677</v>
      </c>
      <c r="D2242" s="42"/>
    </row>
    <row r="2243" spans="2:4" ht="16" thickBot="1" x14ac:dyDescent="0.25">
      <c r="B2243" s="5">
        <v>2238</v>
      </c>
      <c r="C2243" s="11">
        <v>367.18449841833018</v>
      </c>
      <c r="D2243" s="42"/>
    </row>
    <row r="2244" spans="2:4" ht="16" thickBot="1" x14ac:dyDescent="0.25">
      <c r="B2244" s="4">
        <v>2239</v>
      </c>
      <c r="C2244" s="10">
        <v>372.05945533506662</v>
      </c>
      <c r="D2244" s="42"/>
    </row>
    <row r="2245" spans="2:4" ht="16" thickBot="1" x14ac:dyDescent="0.25">
      <c r="B2245" s="5">
        <v>2240</v>
      </c>
      <c r="C2245" s="11">
        <v>502.08864542599622</v>
      </c>
      <c r="D2245" s="42"/>
    </row>
    <row r="2246" spans="2:4" ht="16" thickBot="1" x14ac:dyDescent="0.25">
      <c r="B2246" s="4">
        <v>2241</v>
      </c>
      <c r="C2246" s="10">
        <v>113.54685458793594</v>
      </c>
      <c r="D2246" s="42"/>
    </row>
    <row r="2247" spans="2:4" ht="16" thickBot="1" x14ac:dyDescent="0.25">
      <c r="B2247" s="5">
        <v>2242</v>
      </c>
      <c r="C2247" s="11">
        <v>139.77064537721552</v>
      </c>
      <c r="D2247" s="42"/>
    </row>
    <row r="2248" spans="2:4" ht="16" thickBot="1" x14ac:dyDescent="0.25">
      <c r="B2248" s="4">
        <v>2243</v>
      </c>
      <c r="C2248" s="10">
        <v>528.02920789159589</v>
      </c>
      <c r="D2248" s="42"/>
    </row>
    <row r="2249" spans="2:4" ht="16" thickBot="1" x14ac:dyDescent="0.25">
      <c r="B2249" s="5">
        <v>2244</v>
      </c>
      <c r="C2249" s="11">
        <v>381.11653461154094</v>
      </c>
      <c r="D2249" s="42"/>
    </row>
    <row r="2250" spans="2:4" ht="16" thickBot="1" x14ac:dyDescent="0.25">
      <c r="B2250" s="4">
        <v>2245</v>
      </c>
      <c r="C2250" s="10">
        <v>195.75353862485383</v>
      </c>
      <c r="D2250" s="42"/>
    </row>
    <row r="2251" spans="2:4" ht="16" thickBot="1" x14ac:dyDescent="0.25">
      <c r="B2251" s="5">
        <v>2246</v>
      </c>
      <c r="C2251" s="11">
        <v>461.69506154703816</v>
      </c>
      <c r="D2251" s="42"/>
    </row>
    <row r="2252" spans="2:4" ht="16" thickBot="1" x14ac:dyDescent="0.25">
      <c r="B2252" s="4">
        <v>2247</v>
      </c>
      <c r="C2252" s="10">
        <v>327.80421505564993</v>
      </c>
      <c r="D2252" s="42"/>
    </row>
    <row r="2253" spans="2:4" ht="16" thickBot="1" x14ac:dyDescent="0.25">
      <c r="B2253" s="5">
        <v>2248</v>
      </c>
      <c r="C2253" s="11">
        <v>456.89089593723196</v>
      </c>
      <c r="D2253" s="42"/>
    </row>
    <row r="2254" spans="2:4" ht="16" thickBot="1" x14ac:dyDescent="0.25">
      <c r="B2254" s="4">
        <v>2249</v>
      </c>
      <c r="C2254" s="10">
        <v>374.13371133178191</v>
      </c>
      <c r="D2254" s="42"/>
    </row>
    <row r="2255" spans="2:4" ht="16" thickBot="1" x14ac:dyDescent="0.25">
      <c r="B2255" s="5">
        <v>2250</v>
      </c>
      <c r="C2255" s="11">
        <v>265.69562616202023</v>
      </c>
      <c r="D2255" s="42"/>
    </row>
    <row r="2256" spans="2:4" ht="16" thickBot="1" x14ac:dyDescent="0.25">
      <c r="B2256" s="4">
        <v>2251</v>
      </c>
      <c r="C2256" s="10">
        <v>187.86039567808587</v>
      </c>
      <c r="D2256" s="42"/>
    </row>
    <row r="2257" spans="2:4" ht="16" thickBot="1" x14ac:dyDescent="0.25">
      <c r="B2257" s="5">
        <v>2252</v>
      </c>
      <c r="C2257" s="11">
        <v>119.92875328533269</v>
      </c>
      <c r="D2257" s="42"/>
    </row>
    <row r="2258" spans="2:4" ht="16" thickBot="1" x14ac:dyDescent="0.25">
      <c r="B2258" s="4">
        <v>2253</v>
      </c>
      <c r="C2258" s="10">
        <v>324.45825128027974</v>
      </c>
      <c r="D2258" s="42"/>
    </row>
    <row r="2259" spans="2:4" ht="16" thickBot="1" x14ac:dyDescent="0.25">
      <c r="B2259" s="5">
        <v>2254</v>
      </c>
      <c r="C2259" s="11">
        <v>89.196148845270784</v>
      </c>
      <c r="D2259" s="42"/>
    </row>
    <row r="2260" spans="2:4" ht="16" thickBot="1" x14ac:dyDescent="0.25">
      <c r="B2260" s="4">
        <v>2255</v>
      </c>
      <c r="C2260" s="10">
        <v>324.81630014846644</v>
      </c>
      <c r="D2260" s="42"/>
    </row>
    <row r="2261" spans="2:4" ht="16" thickBot="1" x14ac:dyDescent="0.25">
      <c r="B2261" s="5">
        <v>2256</v>
      </c>
      <c r="C2261" s="11">
        <v>267.61896765506799</v>
      </c>
      <c r="D2261" s="42"/>
    </row>
    <row r="2262" spans="2:4" ht="16" thickBot="1" x14ac:dyDescent="0.25">
      <c r="B2262" s="4">
        <v>2257</v>
      </c>
      <c r="C2262" s="10">
        <v>546.61389097420954</v>
      </c>
      <c r="D2262" s="42"/>
    </row>
    <row r="2263" spans="2:4" ht="16" thickBot="1" x14ac:dyDescent="0.25">
      <c r="B2263" s="5">
        <v>2258</v>
      </c>
      <c r="C2263" s="11">
        <v>284.36922424160394</v>
      </c>
      <c r="D2263" s="42"/>
    </row>
    <row r="2264" spans="2:4" ht="16" thickBot="1" x14ac:dyDescent="0.25">
      <c r="B2264" s="4">
        <v>2259</v>
      </c>
      <c r="C2264" s="10">
        <v>369.03915371810871</v>
      </c>
      <c r="D2264" s="42"/>
    </row>
    <row r="2265" spans="2:4" ht="16" thickBot="1" x14ac:dyDescent="0.25">
      <c r="B2265" s="5">
        <v>2260</v>
      </c>
      <c r="C2265" s="11">
        <v>316.30766217363555</v>
      </c>
      <c r="D2265" s="42"/>
    </row>
    <row r="2266" spans="2:4" ht="16" thickBot="1" x14ac:dyDescent="0.25">
      <c r="B2266" s="4">
        <v>2261</v>
      </c>
      <c r="C2266" s="10">
        <v>157.87732645111691</v>
      </c>
      <c r="D2266" s="42"/>
    </row>
    <row r="2267" spans="2:4" ht="16" thickBot="1" x14ac:dyDescent="0.25">
      <c r="B2267" s="5">
        <v>2262</v>
      </c>
      <c r="C2267" s="11">
        <v>120.52000245146301</v>
      </c>
      <c r="D2267" s="42"/>
    </row>
    <row r="2268" spans="2:4" ht="16" thickBot="1" x14ac:dyDescent="0.25">
      <c r="B2268" s="4">
        <v>2263</v>
      </c>
      <c r="C2268" s="10">
        <v>397.70413802713284</v>
      </c>
      <c r="D2268" s="42"/>
    </row>
    <row r="2269" spans="2:4" ht="16" thickBot="1" x14ac:dyDescent="0.25">
      <c r="B2269" s="5">
        <v>2264</v>
      </c>
      <c r="C2269" s="11">
        <v>146.4887511385399</v>
      </c>
      <c r="D2269" s="42"/>
    </row>
    <row r="2270" spans="2:4" ht="16" thickBot="1" x14ac:dyDescent="0.25">
      <c r="B2270" s="4">
        <v>2265</v>
      </c>
      <c r="C2270" s="10">
        <v>212.03075434709828</v>
      </c>
      <c r="D2270" s="42"/>
    </row>
    <row r="2271" spans="2:4" ht="16" thickBot="1" x14ac:dyDescent="0.25">
      <c r="B2271" s="5">
        <v>2266</v>
      </c>
      <c r="C2271" s="11">
        <v>492.10598092336005</v>
      </c>
      <c r="D2271" s="42"/>
    </row>
    <row r="2272" spans="2:4" ht="16" thickBot="1" x14ac:dyDescent="0.25">
      <c r="B2272" s="4">
        <v>2267</v>
      </c>
      <c r="C2272" s="10">
        <v>114.8286572856446</v>
      </c>
      <c r="D2272" s="42"/>
    </row>
    <row r="2273" spans="2:4" ht="16" thickBot="1" x14ac:dyDescent="0.25">
      <c r="B2273" s="5">
        <v>2268</v>
      </c>
      <c r="C2273" s="11">
        <v>263.47804572959808</v>
      </c>
      <c r="D2273" s="42"/>
    </row>
    <row r="2274" spans="2:4" ht="16" thickBot="1" x14ac:dyDescent="0.25">
      <c r="B2274" s="4">
        <v>2269</v>
      </c>
      <c r="C2274" s="10">
        <v>730.16937393395676</v>
      </c>
      <c r="D2274" s="42"/>
    </row>
    <row r="2275" spans="2:4" ht="16" thickBot="1" x14ac:dyDescent="0.25">
      <c r="B2275" s="5">
        <v>2270</v>
      </c>
      <c r="C2275" s="11">
        <v>158.25941049408047</v>
      </c>
      <c r="D2275" s="42"/>
    </row>
    <row r="2276" spans="2:4" ht="16" thickBot="1" x14ac:dyDescent="0.25">
      <c r="B2276" s="4">
        <v>2271</v>
      </c>
      <c r="C2276" s="10">
        <v>159.90658995558042</v>
      </c>
      <c r="D2276" s="42"/>
    </row>
    <row r="2277" spans="2:4" ht="16" thickBot="1" x14ac:dyDescent="0.25">
      <c r="B2277" s="5">
        <v>2272</v>
      </c>
      <c r="C2277" s="11">
        <v>339.22578555071777</v>
      </c>
      <c r="D2277" s="42"/>
    </row>
    <row r="2278" spans="2:4" ht="16" thickBot="1" x14ac:dyDescent="0.25">
      <c r="B2278" s="4">
        <v>2273</v>
      </c>
      <c r="C2278" s="10">
        <v>101.91011827773701</v>
      </c>
      <c r="D2278" s="42"/>
    </row>
    <row r="2279" spans="2:4" ht="16" thickBot="1" x14ac:dyDescent="0.25">
      <c r="B2279" s="5">
        <v>2274</v>
      </c>
      <c r="C2279" s="11">
        <v>248.18582447806256</v>
      </c>
      <c r="D2279" s="42"/>
    </row>
    <row r="2280" spans="2:4" ht="16" thickBot="1" x14ac:dyDescent="0.25">
      <c r="B2280" s="4">
        <v>2275</v>
      </c>
      <c r="C2280" s="10">
        <v>240.69002254763632</v>
      </c>
      <c r="D2280" s="42"/>
    </row>
    <row r="2281" spans="2:4" ht="16" thickBot="1" x14ac:dyDescent="0.25">
      <c r="B2281" s="5">
        <v>2276</v>
      </c>
      <c r="C2281" s="11">
        <v>134.81907249471493</v>
      </c>
      <c r="D2281" s="42"/>
    </row>
    <row r="2282" spans="2:4" ht="16" thickBot="1" x14ac:dyDescent="0.25">
      <c r="B2282" s="4">
        <v>2277</v>
      </c>
      <c r="C2282" s="10">
        <v>118.94308252357362</v>
      </c>
      <c r="D2282" s="42"/>
    </row>
    <row r="2283" spans="2:4" ht="16" thickBot="1" x14ac:dyDescent="0.25">
      <c r="B2283" s="5">
        <v>2278</v>
      </c>
      <c r="C2283" s="11">
        <v>303.09781095296256</v>
      </c>
      <c r="D2283" s="42"/>
    </row>
    <row r="2284" spans="2:4" ht="16" thickBot="1" x14ac:dyDescent="0.25">
      <c r="B2284" s="4">
        <v>2279</v>
      </c>
      <c r="C2284" s="10">
        <v>93.625509429072167</v>
      </c>
      <c r="D2284" s="42"/>
    </row>
    <row r="2285" spans="2:4" ht="16" thickBot="1" x14ac:dyDescent="0.25">
      <c r="B2285" s="5">
        <v>2280</v>
      </c>
      <c r="C2285" s="11">
        <v>81.934736611052315</v>
      </c>
      <c r="D2285" s="42"/>
    </row>
    <row r="2286" spans="2:4" ht="16" thickBot="1" x14ac:dyDescent="0.25">
      <c r="B2286" s="4">
        <v>2281</v>
      </c>
      <c r="C2286" s="10">
        <v>182.00091196927332</v>
      </c>
      <c r="D2286" s="42"/>
    </row>
    <row r="2287" spans="2:4" ht="16" thickBot="1" x14ac:dyDescent="0.25">
      <c r="B2287" s="5">
        <v>2282</v>
      </c>
      <c r="C2287" s="11">
        <v>158.71772629236489</v>
      </c>
      <c r="D2287" s="42"/>
    </row>
    <row r="2288" spans="2:4" ht="16" thickBot="1" x14ac:dyDescent="0.25">
      <c r="B2288" s="4">
        <v>2283</v>
      </c>
      <c r="C2288" s="10">
        <v>326.72812425214624</v>
      </c>
      <c r="D2288" s="42"/>
    </row>
    <row r="2289" spans="2:4" ht="16" thickBot="1" x14ac:dyDescent="0.25">
      <c r="B2289" s="5">
        <v>2284</v>
      </c>
      <c r="C2289" s="11">
        <v>519.63260292449934</v>
      </c>
      <c r="D2289" s="42"/>
    </row>
    <row r="2290" spans="2:4" ht="16" thickBot="1" x14ac:dyDescent="0.25">
      <c r="B2290" s="4">
        <v>2285</v>
      </c>
      <c r="C2290" s="10">
        <v>261.50115384898265</v>
      </c>
      <c r="D2290" s="42"/>
    </row>
    <row r="2291" spans="2:4" ht="16" thickBot="1" x14ac:dyDescent="0.25">
      <c r="B2291" s="5">
        <v>2286</v>
      </c>
      <c r="C2291" s="11">
        <v>449.67488125947119</v>
      </c>
      <c r="D2291" s="42"/>
    </row>
    <row r="2292" spans="2:4" ht="16" thickBot="1" x14ac:dyDescent="0.25">
      <c r="B2292" s="4">
        <v>2287</v>
      </c>
      <c r="C2292" s="10">
        <v>111.88688220717492</v>
      </c>
      <c r="D2292" s="42"/>
    </row>
    <row r="2293" spans="2:4" ht="16" thickBot="1" x14ac:dyDescent="0.25">
      <c r="B2293" s="5">
        <v>2288</v>
      </c>
      <c r="C2293" s="11">
        <v>176.35364520919373</v>
      </c>
      <c r="D2293" s="42"/>
    </row>
    <row r="2294" spans="2:4" ht="16" thickBot="1" x14ac:dyDescent="0.25">
      <c r="B2294" s="4">
        <v>2289</v>
      </c>
      <c r="C2294" s="10">
        <v>156.42428837339372</v>
      </c>
      <c r="D2294" s="42"/>
    </row>
    <row r="2295" spans="2:4" ht="16" thickBot="1" x14ac:dyDescent="0.25">
      <c r="B2295" s="5">
        <v>2290</v>
      </c>
      <c r="C2295" s="11">
        <v>434.75400908748759</v>
      </c>
      <c r="D2295" s="42"/>
    </row>
    <row r="2296" spans="2:4" ht="16" thickBot="1" x14ac:dyDescent="0.25">
      <c r="B2296" s="4">
        <v>2291</v>
      </c>
      <c r="C2296" s="10">
        <v>454.83101778291535</v>
      </c>
      <c r="D2296" s="42"/>
    </row>
    <row r="2297" spans="2:4" ht="16" thickBot="1" x14ac:dyDescent="0.25">
      <c r="B2297" s="5">
        <v>2292</v>
      </c>
      <c r="C2297" s="11">
        <v>261.75525801215508</v>
      </c>
      <c r="D2297" s="42"/>
    </row>
    <row r="2298" spans="2:4" ht="16" thickBot="1" x14ac:dyDescent="0.25">
      <c r="B2298" s="4">
        <v>2293</v>
      </c>
      <c r="C2298" s="10">
        <v>430.2689118920776</v>
      </c>
      <c r="D2298" s="42"/>
    </row>
    <row r="2299" spans="2:4" ht="16" thickBot="1" x14ac:dyDescent="0.25">
      <c r="B2299" s="5">
        <v>2294</v>
      </c>
      <c r="C2299" s="11">
        <v>216.22272828550595</v>
      </c>
      <c r="D2299" s="42"/>
    </row>
    <row r="2300" spans="2:4" ht="16" thickBot="1" x14ac:dyDescent="0.25">
      <c r="B2300" s="4">
        <v>2295</v>
      </c>
      <c r="C2300" s="10">
        <v>252.05914867298063</v>
      </c>
      <c r="D2300" s="42"/>
    </row>
    <row r="2301" spans="2:4" ht="16" thickBot="1" x14ac:dyDescent="0.25">
      <c r="B2301" s="5">
        <v>2296</v>
      </c>
      <c r="C2301" s="11">
        <v>175.98934725477673</v>
      </c>
      <c r="D2301" s="42"/>
    </row>
    <row r="2302" spans="2:4" ht="16" thickBot="1" x14ac:dyDescent="0.25">
      <c r="B2302" s="4">
        <v>2297</v>
      </c>
      <c r="C2302" s="10">
        <v>212.11734602284938</v>
      </c>
      <c r="D2302" s="42"/>
    </row>
    <row r="2303" spans="2:4" ht="16" thickBot="1" x14ac:dyDescent="0.25">
      <c r="B2303" s="5">
        <v>2298</v>
      </c>
      <c r="C2303" s="11">
        <v>441.63252387523016</v>
      </c>
      <c r="D2303" s="42"/>
    </row>
    <row r="2304" spans="2:4" ht="16" thickBot="1" x14ac:dyDescent="0.25">
      <c r="B2304" s="4">
        <v>2299</v>
      </c>
      <c r="C2304" s="10">
        <v>310.07543855519509</v>
      </c>
      <c r="D2304" s="42"/>
    </row>
    <row r="2305" spans="2:4" ht="16" thickBot="1" x14ac:dyDescent="0.25">
      <c r="B2305" s="5">
        <v>2300</v>
      </c>
      <c r="C2305" s="11">
        <v>211.77827161803137</v>
      </c>
      <c r="D2305" s="42"/>
    </row>
    <row r="2306" spans="2:4" ht="16" thickBot="1" x14ac:dyDescent="0.25">
      <c r="B2306" s="4">
        <v>2301</v>
      </c>
      <c r="C2306" s="10">
        <v>63.804538908189414</v>
      </c>
      <c r="D2306" s="42"/>
    </row>
    <row r="2307" spans="2:4" ht="16" thickBot="1" x14ac:dyDescent="0.25">
      <c r="B2307" s="5">
        <v>2302</v>
      </c>
      <c r="C2307" s="11">
        <v>352.20862953449222</v>
      </c>
      <c r="D2307" s="42"/>
    </row>
    <row r="2308" spans="2:4" ht="16" thickBot="1" x14ac:dyDescent="0.25">
      <c r="B2308" s="4">
        <v>2303</v>
      </c>
      <c r="C2308" s="10">
        <v>256.43686762047849</v>
      </c>
      <c r="D2308" s="42"/>
    </row>
    <row r="2309" spans="2:4" ht="16" thickBot="1" x14ac:dyDescent="0.25">
      <c r="B2309" s="5">
        <v>2304</v>
      </c>
      <c r="C2309" s="11">
        <v>570.00946348508478</v>
      </c>
      <c r="D2309" s="42"/>
    </row>
    <row r="2310" spans="2:4" ht="16" thickBot="1" x14ac:dyDescent="0.25">
      <c r="B2310" s="4">
        <v>2305</v>
      </c>
      <c r="C2310" s="10">
        <v>92.314136138483335</v>
      </c>
      <c r="D2310" s="42"/>
    </row>
    <row r="2311" spans="2:4" ht="16" thickBot="1" x14ac:dyDescent="0.25">
      <c r="B2311" s="5">
        <v>2306</v>
      </c>
      <c r="C2311" s="11">
        <v>530.46789175984247</v>
      </c>
      <c r="D2311" s="42"/>
    </row>
    <row r="2312" spans="2:4" ht="16" thickBot="1" x14ac:dyDescent="0.25">
      <c r="B2312" s="4">
        <v>2307</v>
      </c>
      <c r="C2312" s="10">
        <v>237.93628347912238</v>
      </c>
      <c r="D2312" s="42"/>
    </row>
    <row r="2313" spans="2:4" ht="16" thickBot="1" x14ac:dyDescent="0.25">
      <c r="B2313" s="5">
        <v>2308</v>
      </c>
      <c r="C2313" s="11">
        <v>927.10350244299696</v>
      </c>
      <c r="D2313" s="42"/>
    </row>
    <row r="2314" spans="2:4" ht="16" thickBot="1" x14ac:dyDescent="0.25">
      <c r="B2314" s="4">
        <v>2309</v>
      </c>
      <c r="C2314" s="10">
        <v>147.18354106966785</v>
      </c>
      <c r="D2314" s="42"/>
    </row>
    <row r="2315" spans="2:4" ht="16" thickBot="1" x14ac:dyDescent="0.25">
      <c r="B2315" s="5">
        <v>2310</v>
      </c>
      <c r="C2315" s="11">
        <v>119.11869290109527</v>
      </c>
      <c r="D2315" s="42"/>
    </row>
    <row r="2316" spans="2:4" ht="16" thickBot="1" x14ac:dyDescent="0.25">
      <c r="B2316" s="4">
        <v>2311</v>
      </c>
      <c r="C2316" s="10">
        <v>239.85054676027215</v>
      </c>
      <c r="D2316" s="42"/>
    </row>
    <row r="2317" spans="2:4" ht="16" thickBot="1" x14ac:dyDescent="0.25">
      <c r="B2317" s="5">
        <v>2312</v>
      </c>
      <c r="C2317" s="11">
        <v>192.47539113334801</v>
      </c>
      <c r="D2317" s="42"/>
    </row>
    <row r="2318" spans="2:4" ht="16" thickBot="1" x14ac:dyDescent="0.25">
      <c r="B2318" s="4">
        <v>2313</v>
      </c>
      <c r="C2318" s="10">
        <v>304.54625976779766</v>
      </c>
      <c r="D2318" s="42"/>
    </row>
    <row r="2319" spans="2:4" ht="16" thickBot="1" x14ac:dyDescent="0.25">
      <c r="B2319" s="5">
        <v>2314</v>
      </c>
      <c r="C2319" s="11">
        <v>456.01310032727616</v>
      </c>
      <c r="D2319" s="42"/>
    </row>
    <row r="2320" spans="2:4" ht="16" thickBot="1" x14ac:dyDescent="0.25">
      <c r="B2320" s="4">
        <v>2315</v>
      </c>
      <c r="C2320" s="10">
        <v>310.97712032247415</v>
      </c>
      <c r="D2320" s="42"/>
    </row>
    <row r="2321" spans="2:4" ht="16" thickBot="1" x14ac:dyDescent="0.25">
      <c r="B2321" s="5">
        <v>2316</v>
      </c>
      <c r="C2321" s="11">
        <v>537.74002005088414</v>
      </c>
      <c r="D2321" s="42"/>
    </row>
    <row r="2322" spans="2:4" ht="16" thickBot="1" x14ac:dyDescent="0.25">
      <c r="B2322" s="4">
        <v>2317</v>
      </c>
      <c r="C2322" s="10">
        <v>134.33184121609503</v>
      </c>
      <c r="D2322" s="42"/>
    </row>
    <row r="2323" spans="2:4" ht="16" thickBot="1" x14ac:dyDescent="0.25">
      <c r="B2323" s="5">
        <v>2318</v>
      </c>
      <c r="C2323" s="11">
        <v>517.19509172209621</v>
      </c>
      <c r="D2323" s="42"/>
    </row>
    <row r="2324" spans="2:4" ht="16" thickBot="1" x14ac:dyDescent="0.25">
      <c r="B2324" s="4">
        <v>2319</v>
      </c>
      <c r="C2324" s="10">
        <v>344.5610157481982</v>
      </c>
      <c r="D2324" s="42"/>
    </row>
    <row r="2325" spans="2:4" ht="16" thickBot="1" x14ac:dyDescent="0.25">
      <c r="B2325" s="5">
        <v>2320</v>
      </c>
      <c r="C2325" s="11">
        <v>276.46389071837604</v>
      </c>
      <c r="D2325" s="42"/>
    </row>
    <row r="2326" spans="2:4" ht="16" thickBot="1" x14ac:dyDescent="0.25">
      <c r="B2326" s="4">
        <v>2321</v>
      </c>
      <c r="C2326" s="10">
        <v>181.82368959603107</v>
      </c>
      <c r="D2326" s="42"/>
    </row>
    <row r="2327" spans="2:4" ht="16" thickBot="1" x14ac:dyDescent="0.25">
      <c r="B2327" s="5">
        <v>2322</v>
      </c>
      <c r="C2327" s="11">
        <v>290.14439056839495</v>
      </c>
      <c r="D2327" s="42"/>
    </row>
    <row r="2328" spans="2:4" ht="16" thickBot="1" x14ac:dyDescent="0.25">
      <c r="B2328" s="4">
        <v>2323</v>
      </c>
      <c r="C2328" s="10">
        <v>136.81479402371468</v>
      </c>
      <c r="D2328" s="42"/>
    </row>
    <row r="2329" spans="2:4" ht="16" thickBot="1" x14ac:dyDescent="0.25">
      <c r="B2329" s="5">
        <v>2324</v>
      </c>
      <c r="C2329" s="11">
        <v>170.39437937820182</v>
      </c>
      <c r="D2329" s="42"/>
    </row>
    <row r="2330" spans="2:4" ht="16" thickBot="1" x14ac:dyDescent="0.25">
      <c r="B2330" s="4">
        <v>2325</v>
      </c>
      <c r="C2330" s="10">
        <v>73.581522748828618</v>
      </c>
      <c r="D2330" s="42"/>
    </row>
    <row r="2331" spans="2:4" ht="16" thickBot="1" x14ac:dyDescent="0.25">
      <c r="B2331" s="5">
        <v>2326</v>
      </c>
      <c r="C2331" s="11">
        <v>253.08923288792596</v>
      </c>
      <c r="D2331" s="42"/>
    </row>
    <row r="2332" spans="2:4" ht="16" thickBot="1" x14ac:dyDescent="0.25">
      <c r="B2332" s="4">
        <v>2327</v>
      </c>
      <c r="C2332" s="10">
        <v>275.67894343136822</v>
      </c>
      <c r="D2332" s="42"/>
    </row>
    <row r="2333" spans="2:4" ht="16" thickBot="1" x14ac:dyDescent="0.25">
      <c r="B2333" s="5">
        <v>2328</v>
      </c>
      <c r="C2333" s="11">
        <v>149.04635470379495</v>
      </c>
      <c r="D2333" s="42"/>
    </row>
    <row r="2334" spans="2:4" ht="16" thickBot="1" x14ac:dyDescent="0.25">
      <c r="B2334" s="4">
        <v>2329</v>
      </c>
      <c r="C2334" s="10">
        <v>376.12255940664852</v>
      </c>
      <c r="D2334" s="42"/>
    </row>
    <row r="2335" spans="2:4" ht="16" thickBot="1" x14ac:dyDescent="0.25">
      <c r="B2335" s="5">
        <v>2330</v>
      </c>
      <c r="C2335" s="11">
        <v>185.21867772961301</v>
      </c>
      <c r="D2335" s="42"/>
    </row>
    <row r="2336" spans="2:4" ht="16" thickBot="1" x14ac:dyDescent="0.25">
      <c r="B2336" s="4">
        <v>2331</v>
      </c>
      <c r="C2336" s="10">
        <v>485.08703148953037</v>
      </c>
      <c r="D2336" s="42"/>
    </row>
    <row r="2337" spans="2:4" ht="16" thickBot="1" x14ac:dyDescent="0.25">
      <c r="B2337" s="5">
        <v>2332</v>
      </c>
      <c r="C2337" s="11">
        <v>213.86381876818783</v>
      </c>
      <c r="D2337" s="42"/>
    </row>
    <row r="2338" spans="2:4" ht="16" thickBot="1" x14ac:dyDescent="0.25">
      <c r="B2338" s="4">
        <v>2333</v>
      </c>
      <c r="C2338" s="10">
        <v>199.48733924087696</v>
      </c>
      <c r="D2338" s="42"/>
    </row>
    <row r="2339" spans="2:4" ht="16" thickBot="1" x14ac:dyDescent="0.25">
      <c r="B2339" s="5">
        <v>2334</v>
      </c>
      <c r="C2339" s="11">
        <v>349.24767233284507</v>
      </c>
      <c r="D2339" s="42"/>
    </row>
    <row r="2340" spans="2:4" ht="16" thickBot="1" x14ac:dyDescent="0.25">
      <c r="B2340" s="4">
        <v>2335</v>
      </c>
      <c r="C2340" s="10">
        <v>100.14961601538077</v>
      </c>
      <c r="D2340" s="42"/>
    </row>
    <row r="2341" spans="2:4" ht="16" thickBot="1" x14ac:dyDescent="0.25">
      <c r="B2341" s="5">
        <v>2336</v>
      </c>
      <c r="C2341" s="11">
        <v>394.86877998088249</v>
      </c>
      <c r="D2341" s="42"/>
    </row>
    <row r="2342" spans="2:4" ht="16" thickBot="1" x14ac:dyDescent="0.25">
      <c r="B2342" s="4">
        <v>2337</v>
      </c>
      <c r="C2342" s="10">
        <v>247.26684086346395</v>
      </c>
      <c r="D2342" s="42"/>
    </row>
    <row r="2343" spans="2:4" ht="16" thickBot="1" x14ac:dyDescent="0.25">
      <c r="B2343" s="5">
        <v>2338</v>
      </c>
      <c r="C2343" s="11">
        <v>319.45258278860865</v>
      </c>
      <c r="D2343" s="42"/>
    </row>
    <row r="2344" spans="2:4" ht="16" thickBot="1" x14ac:dyDescent="0.25">
      <c r="B2344" s="4">
        <v>2339</v>
      </c>
      <c r="C2344" s="10">
        <v>510.33644108262098</v>
      </c>
      <c r="D2344" s="42"/>
    </row>
    <row r="2345" spans="2:4" ht="16" thickBot="1" x14ac:dyDescent="0.25">
      <c r="B2345" s="5">
        <v>2340</v>
      </c>
      <c r="C2345" s="11">
        <v>163.73561629724159</v>
      </c>
      <c r="D2345" s="42"/>
    </row>
    <row r="2346" spans="2:4" ht="16" thickBot="1" x14ac:dyDescent="0.25">
      <c r="B2346" s="4">
        <v>2341</v>
      </c>
      <c r="C2346" s="10">
        <v>393.41345389403534</v>
      </c>
      <c r="D2346" s="42"/>
    </row>
    <row r="2347" spans="2:4" ht="16" thickBot="1" x14ac:dyDescent="0.25">
      <c r="B2347" s="5">
        <v>2342</v>
      </c>
      <c r="C2347" s="11">
        <v>358.63021257541027</v>
      </c>
      <c r="D2347" s="42"/>
    </row>
    <row r="2348" spans="2:4" ht="16" thickBot="1" x14ac:dyDescent="0.25">
      <c r="B2348" s="4">
        <v>2343</v>
      </c>
      <c r="C2348" s="10">
        <v>571.09521000748828</v>
      </c>
      <c r="D2348" s="42"/>
    </row>
    <row r="2349" spans="2:4" ht="16" thickBot="1" x14ac:dyDescent="0.25">
      <c r="B2349" s="5">
        <v>2344</v>
      </c>
      <c r="C2349" s="11">
        <v>110.38724061163599</v>
      </c>
      <c r="D2349" s="42"/>
    </row>
    <row r="2350" spans="2:4" ht="16" thickBot="1" x14ac:dyDescent="0.25">
      <c r="B2350" s="4">
        <v>2345</v>
      </c>
      <c r="C2350" s="10">
        <v>343.38024115733987</v>
      </c>
      <c r="D2350" s="42"/>
    </row>
    <row r="2351" spans="2:4" ht="16" thickBot="1" x14ac:dyDescent="0.25">
      <c r="B2351" s="5">
        <v>2346</v>
      </c>
      <c r="C2351" s="11">
        <v>566.65844352763338</v>
      </c>
      <c r="D2351" s="42"/>
    </row>
    <row r="2352" spans="2:4" ht="16" thickBot="1" x14ac:dyDescent="0.25">
      <c r="B2352" s="4">
        <v>2347</v>
      </c>
      <c r="C2352" s="10">
        <v>377.97429449550111</v>
      </c>
      <c r="D2352" s="42"/>
    </row>
    <row r="2353" spans="2:4" ht="16" thickBot="1" x14ac:dyDescent="0.25">
      <c r="B2353" s="5">
        <v>2348</v>
      </c>
      <c r="C2353" s="11">
        <v>173.91938889992684</v>
      </c>
      <c r="D2353" s="42"/>
    </row>
    <row r="2354" spans="2:4" ht="16" thickBot="1" x14ac:dyDescent="0.25">
      <c r="B2354" s="4">
        <v>2349</v>
      </c>
      <c r="C2354" s="10">
        <v>152.39944522779658</v>
      </c>
      <c r="D2354" s="42"/>
    </row>
    <row r="2355" spans="2:4" ht="16" thickBot="1" x14ac:dyDescent="0.25">
      <c r="B2355" s="5">
        <v>2350</v>
      </c>
      <c r="C2355" s="11">
        <v>633.22346043315588</v>
      </c>
      <c r="D2355" s="42"/>
    </row>
    <row r="2356" spans="2:4" ht="16" thickBot="1" x14ac:dyDescent="0.25">
      <c r="B2356" s="4">
        <v>2351</v>
      </c>
      <c r="C2356" s="10">
        <v>274.24462487296404</v>
      </c>
      <c r="D2356" s="42"/>
    </row>
    <row r="2357" spans="2:4" ht="16" thickBot="1" x14ac:dyDescent="0.25">
      <c r="B2357" s="5">
        <v>2352</v>
      </c>
      <c r="C2357" s="11">
        <v>198.07572840155646</v>
      </c>
      <c r="D2357" s="42"/>
    </row>
    <row r="2358" spans="2:4" ht="16" thickBot="1" x14ac:dyDescent="0.25">
      <c r="B2358" s="4">
        <v>2353</v>
      </c>
      <c r="C2358" s="10">
        <v>154.69211945512157</v>
      </c>
      <c r="D2358" s="42"/>
    </row>
    <row r="2359" spans="2:4" ht="16" thickBot="1" x14ac:dyDescent="0.25">
      <c r="B2359" s="5">
        <v>2354</v>
      </c>
      <c r="C2359" s="11">
        <v>251.61394248229738</v>
      </c>
      <c r="D2359" s="42"/>
    </row>
    <row r="2360" spans="2:4" ht="16" thickBot="1" x14ac:dyDescent="0.25">
      <c r="B2360" s="4">
        <v>2355</v>
      </c>
      <c r="C2360" s="10">
        <v>444.01973527048034</v>
      </c>
      <c r="D2360" s="42"/>
    </row>
    <row r="2361" spans="2:4" ht="16" thickBot="1" x14ac:dyDescent="0.25">
      <c r="B2361" s="5">
        <v>2356</v>
      </c>
      <c r="C2361" s="11">
        <v>256.3343243630448</v>
      </c>
      <c r="D2361" s="42"/>
    </row>
    <row r="2362" spans="2:4" ht="16" thickBot="1" x14ac:dyDescent="0.25">
      <c r="B2362" s="4">
        <v>2357</v>
      </c>
      <c r="C2362" s="10">
        <v>58.338240543865183</v>
      </c>
      <c r="D2362" s="42"/>
    </row>
    <row r="2363" spans="2:4" ht="16" thickBot="1" x14ac:dyDescent="0.25">
      <c r="B2363" s="5">
        <v>2358</v>
      </c>
      <c r="C2363" s="11">
        <v>259.01854087331219</v>
      </c>
      <c r="D2363" s="42"/>
    </row>
    <row r="2364" spans="2:4" ht="16" thickBot="1" x14ac:dyDescent="0.25">
      <c r="B2364" s="4">
        <v>2359</v>
      </c>
      <c r="C2364" s="10">
        <v>556.83265733592634</v>
      </c>
      <c r="D2364" s="42"/>
    </row>
    <row r="2365" spans="2:4" ht="16" thickBot="1" x14ac:dyDescent="0.25">
      <c r="B2365" s="5">
        <v>2360</v>
      </c>
      <c r="C2365" s="11">
        <v>332.60206480951183</v>
      </c>
      <c r="D2365" s="42"/>
    </row>
    <row r="2366" spans="2:4" ht="16" thickBot="1" x14ac:dyDescent="0.25">
      <c r="B2366" s="4">
        <v>2361</v>
      </c>
      <c r="C2366" s="10">
        <v>102.4317039715946</v>
      </c>
      <c r="D2366" s="42"/>
    </row>
    <row r="2367" spans="2:4" ht="16" thickBot="1" x14ac:dyDescent="0.25">
      <c r="B2367" s="5">
        <v>2362</v>
      </c>
      <c r="C2367" s="11">
        <v>179.20853423086334</v>
      </c>
      <c r="D2367" s="42"/>
    </row>
    <row r="2368" spans="2:4" ht="16" thickBot="1" x14ac:dyDescent="0.25">
      <c r="B2368" s="4">
        <v>2363</v>
      </c>
      <c r="C2368" s="10">
        <v>499.82790240620909</v>
      </c>
      <c r="D2368" s="42"/>
    </row>
    <row r="2369" spans="2:4" ht="16" thickBot="1" x14ac:dyDescent="0.25">
      <c r="B2369" s="5">
        <v>2364</v>
      </c>
      <c r="C2369" s="11">
        <v>150.16154047724723</v>
      </c>
      <c r="D2369" s="42"/>
    </row>
    <row r="2370" spans="2:4" ht="16" thickBot="1" x14ac:dyDescent="0.25">
      <c r="B2370" s="4">
        <v>2365</v>
      </c>
      <c r="C2370" s="10">
        <v>283.36796667986607</v>
      </c>
      <c r="D2370" s="42"/>
    </row>
    <row r="2371" spans="2:4" ht="16" thickBot="1" x14ac:dyDescent="0.25">
      <c r="B2371" s="5">
        <v>2366</v>
      </c>
      <c r="C2371" s="11">
        <v>264.48154777816796</v>
      </c>
      <c r="D2371" s="42"/>
    </row>
    <row r="2372" spans="2:4" ht="16" thickBot="1" x14ac:dyDescent="0.25">
      <c r="B2372" s="4">
        <v>2367</v>
      </c>
      <c r="C2372" s="10">
        <v>235.54050231070011</v>
      </c>
      <c r="D2372" s="42"/>
    </row>
    <row r="2373" spans="2:4" ht="16" thickBot="1" x14ac:dyDescent="0.25">
      <c r="B2373" s="5">
        <v>2368</v>
      </c>
      <c r="C2373" s="11">
        <v>286.74061709597299</v>
      </c>
      <c r="D2373" s="42"/>
    </row>
    <row r="2374" spans="2:4" ht="16" thickBot="1" x14ac:dyDescent="0.25">
      <c r="B2374" s="4">
        <v>2369</v>
      </c>
      <c r="C2374" s="10">
        <v>143.49064149596217</v>
      </c>
      <c r="D2374" s="42"/>
    </row>
    <row r="2375" spans="2:4" ht="16" thickBot="1" x14ac:dyDescent="0.25">
      <c r="B2375" s="5">
        <v>2370</v>
      </c>
      <c r="C2375" s="11">
        <v>336.48210829787149</v>
      </c>
      <c r="D2375" s="42"/>
    </row>
    <row r="2376" spans="2:4" ht="16" thickBot="1" x14ac:dyDescent="0.25">
      <c r="B2376" s="4">
        <v>2371</v>
      </c>
      <c r="C2376" s="10">
        <v>265.33946583056172</v>
      </c>
      <c r="D2376" s="42"/>
    </row>
    <row r="2377" spans="2:4" ht="16" thickBot="1" x14ac:dyDescent="0.25">
      <c r="B2377" s="5">
        <v>2372</v>
      </c>
      <c r="C2377" s="11">
        <v>58.847575426127882</v>
      </c>
      <c r="D2377" s="42"/>
    </row>
    <row r="2378" spans="2:4" ht="16" thickBot="1" x14ac:dyDescent="0.25">
      <c r="B2378" s="4">
        <v>2373</v>
      </c>
      <c r="C2378" s="10">
        <v>265.69933174912279</v>
      </c>
      <c r="D2378" s="42"/>
    </row>
    <row r="2379" spans="2:4" ht="16" thickBot="1" x14ac:dyDescent="0.25">
      <c r="B2379" s="5">
        <v>2374</v>
      </c>
      <c r="C2379" s="11">
        <v>189.3038433726559</v>
      </c>
      <c r="D2379" s="42"/>
    </row>
    <row r="2380" spans="2:4" ht="16" thickBot="1" x14ac:dyDescent="0.25">
      <c r="B2380" s="4">
        <v>2375</v>
      </c>
      <c r="C2380" s="10">
        <v>260.40597100350641</v>
      </c>
      <c r="D2380" s="42"/>
    </row>
    <row r="2381" spans="2:4" ht="16" thickBot="1" x14ac:dyDescent="0.25">
      <c r="B2381" s="5">
        <v>2376</v>
      </c>
      <c r="C2381" s="11">
        <v>463.77920897522637</v>
      </c>
      <c r="D2381" s="42"/>
    </row>
    <row r="2382" spans="2:4" ht="16" thickBot="1" x14ac:dyDescent="0.25">
      <c r="B2382" s="4">
        <v>2377</v>
      </c>
      <c r="C2382" s="10">
        <v>49.252069102655376</v>
      </c>
      <c r="D2382" s="42"/>
    </row>
    <row r="2383" spans="2:4" ht="16" thickBot="1" x14ac:dyDescent="0.25">
      <c r="B2383" s="5">
        <v>2378</v>
      </c>
      <c r="C2383" s="11">
        <v>189.30245533688091</v>
      </c>
      <c r="D2383" s="42"/>
    </row>
    <row r="2384" spans="2:4" ht="16" thickBot="1" x14ac:dyDescent="0.25">
      <c r="B2384" s="4">
        <v>2379</v>
      </c>
      <c r="C2384" s="10">
        <v>226.22094756329781</v>
      </c>
      <c r="D2384" s="42"/>
    </row>
    <row r="2385" spans="2:4" ht="16" thickBot="1" x14ac:dyDescent="0.25">
      <c r="B2385" s="5">
        <v>2380</v>
      </c>
      <c r="C2385" s="11">
        <v>275.06039773331452</v>
      </c>
      <c r="D2385" s="42"/>
    </row>
    <row r="2386" spans="2:4" ht="16" thickBot="1" x14ac:dyDescent="0.25">
      <c r="B2386" s="4">
        <v>2381</v>
      </c>
      <c r="C2386" s="10">
        <v>559.89193673895591</v>
      </c>
      <c r="D2386" s="42"/>
    </row>
    <row r="2387" spans="2:4" ht="16" thickBot="1" x14ac:dyDescent="0.25">
      <c r="B2387" s="5">
        <v>2382</v>
      </c>
      <c r="C2387" s="11">
        <v>232.15246262933354</v>
      </c>
      <c r="D2387" s="42"/>
    </row>
    <row r="2388" spans="2:4" ht="16" thickBot="1" x14ac:dyDescent="0.25">
      <c r="B2388" s="4">
        <v>2383</v>
      </c>
      <c r="C2388" s="10">
        <v>709.59911454395979</v>
      </c>
      <c r="D2388" s="42"/>
    </row>
    <row r="2389" spans="2:4" ht="16" thickBot="1" x14ac:dyDescent="0.25">
      <c r="B2389" s="5">
        <v>2384</v>
      </c>
      <c r="C2389" s="11">
        <v>208.48752529002357</v>
      </c>
      <c r="D2389" s="42"/>
    </row>
    <row r="2390" spans="2:4" ht="16" thickBot="1" x14ac:dyDescent="0.25">
      <c r="B2390" s="4">
        <v>2385</v>
      </c>
      <c r="C2390" s="10">
        <v>499.85086978636218</v>
      </c>
      <c r="D2390" s="42"/>
    </row>
    <row r="2391" spans="2:4" ht="16" thickBot="1" x14ac:dyDescent="0.25">
      <c r="B2391" s="5">
        <v>2386</v>
      </c>
      <c r="C2391" s="11">
        <v>360.32043603764242</v>
      </c>
      <c r="D2391" s="42"/>
    </row>
    <row r="2392" spans="2:4" ht="16" thickBot="1" x14ac:dyDescent="0.25">
      <c r="B2392" s="4">
        <v>2387</v>
      </c>
      <c r="C2392" s="10">
        <v>654.45283133961823</v>
      </c>
      <c r="D2392" s="42"/>
    </row>
    <row r="2393" spans="2:4" ht="16" thickBot="1" x14ac:dyDescent="0.25">
      <c r="B2393" s="5">
        <v>2388</v>
      </c>
      <c r="C2393" s="11">
        <v>195.45964191805379</v>
      </c>
      <c r="D2393" s="42"/>
    </row>
    <row r="2394" spans="2:4" ht="16" thickBot="1" x14ac:dyDescent="0.25">
      <c r="B2394" s="4">
        <v>2389</v>
      </c>
      <c r="C2394" s="10">
        <v>121.76421405048893</v>
      </c>
      <c r="D2394" s="42"/>
    </row>
    <row r="2395" spans="2:4" ht="16" thickBot="1" x14ac:dyDescent="0.25">
      <c r="B2395" s="5">
        <v>2390</v>
      </c>
      <c r="C2395" s="11">
        <v>296.69051653353375</v>
      </c>
      <c r="D2395" s="42"/>
    </row>
    <row r="2396" spans="2:4" ht="16" thickBot="1" x14ac:dyDescent="0.25">
      <c r="B2396" s="4">
        <v>2391</v>
      </c>
      <c r="C2396" s="10">
        <v>74.193747881257792</v>
      </c>
      <c r="D2396" s="42"/>
    </row>
    <row r="2397" spans="2:4" ht="16" thickBot="1" x14ac:dyDescent="0.25">
      <c r="B2397" s="5">
        <v>2392</v>
      </c>
      <c r="C2397" s="11">
        <v>274.23395255504397</v>
      </c>
      <c r="D2397" s="42"/>
    </row>
    <row r="2398" spans="2:4" ht="16" thickBot="1" x14ac:dyDescent="0.25">
      <c r="B2398" s="4">
        <v>2393</v>
      </c>
      <c r="C2398" s="10">
        <v>124.66151834917366</v>
      </c>
      <c r="D2398" s="42"/>
    </row>
    <row r="2399" spans="2:4" ht="16" thickBot="1" x14ac:dyDescent="0.25">
      <c r="B2399" s="5">
        <v>2394</v>
      </c>
      <c r="C2399" s="11">
        <v>417.95196850240018</v>
      </c>
      <c r="D2399" s="42"/>
    </row>
    <row r="2400" spans="2:4" ht="16" thickBot="1" x14ac:dyDescent="0.25">
      <c r="B2400" s="4">
        <v>2395</v>
      </c>
      <c r="C2400" s="10">
        <v>223.89278131266826</v>
      </c>
      <c r="D2400" s="42"/>
    </row>
    <row r="2401" spans="2:4" ht="16" thickBot="1" x14ac:dyDescent="0.25">
      <c r="B2401" s="5">
        <v>2396</v>
      </c>
      <c r="C2401" s="11">
        <v>218.85445722420468</v>
      </c>
      <c r="D2401" s="42"/>
    </row>
    <row r="2402" spans="2:4" ht="16" thickBot="1" x14ac:dyDescent="0.25">
      <c r="B2402" s="4">
        <v>2397</v>
      </c>
      <c r="C2402" s="10">
        <v>353.29030187456834</v>
      </c>
      <c r="D2402" s="42"/>
    </row>
    <row r="2403" spans="2:4" ht="16" thickBot="1" x14ac:dyDescent="0.25">
      <c r="B2403" s="5">
        <v>2398</v>
      </c>
      <c r="C2403" s="11">
        <v>308.92882501910105</v>
      </c>
      <c r="D2403" s="42"/>
    </row>
    <row r="2404" spans="2:4" ht="16" thickBot="1" x14ac:dyDescent="0.25">
      <c r="B2404" s="4">
        <v>2399</v>
      </c>
      <c r="C2404" s="10">
        <v>181.11277935004355</v>
      </c>
      <c r="D2404" s="42"/>
    </row>
    <row r="2405" spans="2:4" ht="16" thickBot="1" x14ac:dyDescent="0.25">
      <c r="B2405" s="5">
        <v>2400</v>
      </c>
      <c r="C2405" s="11">
        <v>325.48474564831048</v>
      </c>
      <c r="D2405" s="42"/>
    </row>
    <row r="2406" spans="2:4" ht="16" thickBot="1" x14ac:dyDescent="0.25">
      <c r="B2406" s="4">
        <v>2401</v>
      </c>
      <c r="C2406" s="10">
        <v>94.028035906274326</v>
      </c>
      <c r="D2406" s="42"/>
    </row>
    <row r="2407" spans="2:4" ht="16" thickBot="1" x14ac:dyDescent="0.25">
      <c r="B2407" s="5">
        <v>2402</v>
      </c>
      <c r="C2407" s="11">
        <v>68.755788620796608</v>
      </c>
      <c r="D2407" s="42"/>
    </row>
    <row r="2408" spans="2:4" ht="16" thickBot="1" x14ac:dyDescent="0.25">
      <c r="B2408" s="4">
        <v>2403</v>
      </c>
      <c r="C2408" s="10">
        <v>290.26056533388828</v>
      </c>
      <c r="D2408" s="42"/>
    </row>
    <row r="2409" spans="2:4" ht="16" thickBot="1" x14ac:dyDescent="0.25">
      <c r="B2409" s="5">
        <v>2404</v>
      </c>
      <c r="C2409" s="11">
        <v>169.59385185970854</v>
      </c>
      <c r="D2409" s="42"/>
    </row>
    <row r="2410" spans="2:4" ht="16" thickBot="1" x14ac:dyDescent="0.25">
      <c r="B2410" s="4">
        <v>2405</v>
      </c>
      <c r="C2410" s="10">
        <v>93.806523573862194</v>
      </c>
      <c r="D2410" s="42"/>
    </row>
    <row r="2411" spans="2:4" ht="16" thickBot="1" x14ac:dyDescent="0.25">
      <c r="B2411" s="5">
        <v>2406</v>
      </c>
      <c r="C2411" s="11">
        <v>327.05139645724967</v>
      </c>
      <c r="D2411" s="42"/>
    </row>
    <row r="2412" spans="2:4" ht="16" thickBot="1" x14ac:dyDescent="0.25">
      <c r="B2412" s="4">
        <v>2407</v>
      </c>
      <c r="C2412" s="10">
        <v>204.99848724956408</v>
      </c>
      <c r="D2412" s="42"/>
    </row>
    <row r="2413" spans="2:4" ht="16" thickBot="1" x14ac:dyDescent="0.25">
      <c r="B2413" s="5">
        <v>2408</v>
      </c>
      <c r="C2413" s="11">
        <v>466.52859070809944</v>
      </c>
      <c r="D2413" s="42"/>
    </row>
    <row r="2414" spans="2:4" ht="16" thickBot="1" x14ac:dyDescent="0.25">
      <c r="B2414" s="4">
        <v>2409</v>
      </c>
      <c r="C2414" s="10">
        <v>277.97657175161442</v>
      </c>
      <c r="D2414" s="42"/>
    </row>
    <row r="2415" spans="2:4" ht="16" thickBot="1" x14ac:dyDescent="0.25">
      <c r="B2415" s="5">
        <v>2410</v>
      </c>
      <c r="C2415" s="11">
        <v>685.32069192015308</v>
      </c>
      <c r="D2415" s="42"/>
    </row>
    <row r="2416" spans="2:4" ht="16" thickBot="1" x14ac:dyDescent="0.25">
      <c r="B2416" s="4">
        <v>2411</v>
      </c>
      <c r="C2416" s="10">
        <v>353.20386923183338</v>
      </c>
      <c r="D2416" s="42"/>
    </row>
    <row r="2417" spans="2:4" ht="16" thickBot="1" x14ac:dyDescent="0.25">
      <c r="B2417" s="5">
        <v>2412</v>
      </c>
      <c r="C2417" s="11">
        <v>93.169955662200692</v>
      </c>
      <c r="D2417" s="42"/>
    </row>
    <row r="2418" spans="2:4" ht="16" thickBot="1" x14ac:dyDescent="0.25">
      <c r="B2418" s="4">
        <v>2413</v>
      </c>
      <c r="C2418" s="10">
        <v>506.67434967709971</v>
      </c>
      <c r="D2418" s="42"/>
    </row>
    <row r="2419" spans="2:4" ht="16" thickBot="1" x14ac:dyDescent="0.25">
      <c r="B2419" s="5">
        <v>2414</v>
      </c>
      <c r="C2419" s="11">
        <v>232.78030648102973</v>
      </c>
      <c r="D2419" s="42"/>
    </row>
    <row r="2420" spans="2:4" ht="16" thickBot="1" x14ac:dyDescent="0.25">
      <c r="B2420" s="4">
        <v>2415</v>
      </c>
      <c r="C2420" s="10">
        <v>229.56286092164044</v>
      </c>
      <c r="D2420" s="42"/>
    </row>
    <row r="2421" spans="2:4" ht="16" thickBot="1" x14ac:dyDescent="0.25">
      <c r="B2421" s="5">
        <v>2416</v>
      </c>
      <c r="C2421" s="11">
        <v>207.45126305623245</v>
      </c>
      <c r="D2421" s="42"/>
    </row>
    <row r="2422" spans="2:4" ht="16" thickBot="1" x14ac:dyDescent="0.25">
      <c r="B2422" s="4">
        <v>2417</v>
      </c>
      <c r="C2422" s="10">
        <v>125.07112770561429</v>
      </c>
      <c r="D2422" s="42"/>
    </row>
    <row r="2423" spans="2:4" ht="16" thickBot="1" x14ac:dyDescent="0.25">
      <c r="B2423" s="5">
        <v>2418</v>
      </c>
      <c r="C2423" s="11">
        <v>245.56974626604466</v>
      </c>
      <c r="D2423" s="42"/>
    </row>
    <row r="2424" spans="2:4" ht="16" thickBot="1" x14ac:dyDescent="0.25">
      <c r="B2424" s="4">
        <v>2419</v>
      </c>
      <c r="C2424" s="10">
        <v>562.35924914876432</v>
      </c>
      <c r="D2424" s="42"/>
    </row>
    <row r="2425" spans="2:4" ht="16" thickBot="1" x14ac:dyDescent="0.25">
      <c r="B2425" s="5">
        <v>2420</v>
      </c>
      <c r="C2425" s="11">
        <v>79.542449563280329</v>
      </c>
      <c r="D2425" s="42"/>
    </row>
    <row r="2426" spans="2:4" ht="16" thickBot="1" x14ac:dyDescent="0.25">
      <c r="B2426" s="4">
        <v>2421</v>
      </c>
      <c r="C2426" s="10">
        <v>514.39379704356384</v>
      </c>
      <c r="D2426" s="42"/>
    </row>
    <row r="2427" spans="2:4" ht="16" thickBot="1" x14ac:dyDescent="0.25">
      <c r="B2427" s="5">
        <v>2422</v>
      </c>
      <c r="C2427" s="11">
        <v>231.9760697041051</v>
      </c>
      <c r="D2427" s="42"/>
    </row>
    <row r="2428" spans="2:4" ht="16" thickBot="1" x14ac:dyDescent="0.25">
      <c r="B2428" s="4">
        <v>2423</v>
      </c>
      <c r="C2428" s="10">
        <v>610.39857631956249</v>
      </c>
      <c r="D2428" s="42"/>
    </row>
    <row r="2429" spans="2:4" ht="16" thickBot="1" x14ac:dyDescent="0.25">
      <c r="B2429" s="5">
        <v>2424</v>
      </c>
      <c r="C2429" s="11">
        <v>43.761219107914044</v>
      </c>
      <c r="D2429" s="42"/>
    </row>
    <row r="2430" spans="2:4" ht="16" thickBot="1" x14ac:dyDescent="0.25">
      <c r="B2430" s="4">
        <v>2425</v>
      </c>
      <c r="C2430" s="10">
        <v>42.762766553157768</v>
      </c>
      <c r="D2430" s="42"/>
    </row>
    <row r="2431" spans="2:4" ht="16" thickBot="1" x14ac:dyDescent="0.25">
      <c r="B2431" s="5">
        <v>2426</v>
      </c>
      <c r="C2431" s="11">
        <v>44.457180606358804</v>
      </c>
      <c r="D2431" s="42"/>
    </row>
    <row r="2432" spans="2:4" ht="16" thickBot="1" x14ac:dyDescent="0.25">
      <c r="B2432" s="4">
        <v>2427</v>
      </c>
      <c r="C2432" s="10">
        <v>27.856448094021715</v>
      </c>
      <c r="D2432" s="42"/>
    </row>
    <row r="2433" spans="2:4" ht="16" thickBot="1" x14ac:dyDescent="0.25">
      <c r="B2433" s="5">
        <v>2428</v>
      </c>
      <c r="C2433" s="11">
        <v>661.4833950648125</v>
      </c>
      <c r="D2433" s="42"/>
    </row>
    <row r="2434" spans="2:4" ht="16" thickBot="1" x14ac:dyDescent="0.25">
      <c r="B2434" s="4">
        <v>2429</v>
      </c>
      <c r="C2434" s="10">
        <v>142.01826423350485</v>
      </c>
      <c r="D2434" s="42"/>
    </row>
    <row r="2435" spans="2:4" ht="16" thickBot="1" x14ac:dyDescent="0.25">
      <c r="B2435" s="5">
        <v>2430</v>
      </c>
      <c r="C2435" s="11">
        <v>154.21107132781532</v>
      </c>
      <c r="D2435" s="42"/>
    </row>
    <row r="2436" spans="2:4" ht="16" thickBot="1" x14ac:dyDescent="0.25">
      <c r="B2436" s="4">
        <v>2431</v>
      </c>
      <c r="C2436" s="10">
        <v>472.6357920382377</v>
      </c>
      <c r="D2436" s="42"/>
    </row>
    <row r="2437" spans="2:4" ht="16" thickBot="1" x14ac:dyDescent="0.25">
      <c r="B2437" s="5">
        <v>2432</v>
      </c>
      <c r="C2437" s="11">
        <v>201.9272478967429</v>
      </c>
      <c r="D2437" s="42"/>
    </row>
    <row r="2438" spans="2:4" ht="16" thickBot="1" x14ac:dyDescent="0.25">
      <c r="B2438" s="4">
        <v>2433</v>
      </c>
      <c r="C2438" s="10">
        <v>277.0385919496178</v>
      </c>
      <c r="D2438" s="42"/>
    </row>
    <row r="2439" spans="2:4" ht="16" thickBot="1" x14ac:dyDescent="0.25">
      <c r="B2439" s="5">
        <v>2434</v>
      </c>
      <c r="C2439" s="11">
        <v>260.42625684541207</v>
      </c>
      <c r="D2439" s="42"/>
    </row>
    <row r="2440" spans="2:4" ht="16" thickBot="1" x14ac:dyDescent="0.25">
      <c r="B2440" s="4">
        <v>2435</v>
      </c>
      <c r="C2440" s="10">
        <v>245.24331359962898</v>
      </c>
      <c r="D2440" s="42"/>
    </row>
    <row r="2441" spans="2:4" ht="16" thickBot="1" x14ac:dyDescent="0.25">
      <c r="B2441" s="5">
        <v>2436</v>
      </c>
      <c r="C2441" s="11">
        <v>339.84495004312868</v>
      </c>
      <c r="D2441" s="42"/>
    </row>
    <row r="2442" spans="2:4" ht="16" thickBot="1" x14ac:dyDescent="0.25">
      <c r="B2442" s="4">
        <v>2437</v>
      </c>
      <c r="C2442" s="10">
        <v>591.94082750507278</v>
      </c>
      <c r="D2442" s="42"/>
    </row>
    <row r="2443" spans="2:4" ht="16" thickBot="1" x14ac:dyDescent="0.25">
      <c r="B2443" s="5">
        <v>2438</v>
      </c>
      <c r="C2443" s="11">
        <v>151.30197707707393</v>
      </c>
      <c r="D2443" s="42"/>
    </row>
    <row r="2444" spans="2:4" ht="16" thickBot="1" x14ac:dyDescent="0.25">
      <c r="B2444" s="4">
        <v>2439</v>
      </c>
      <c r="C2444" s="10">
        <v>92.963949911365717</v>
      </c>
      <c r="D2444" s="42"/>
    </row>
    <row r="2445" spans="2:4" ht="16" thickBot="1" x14ac:dyDescent="0.25">
      <c r="B2445" s="5">
        <v>2440</v>
      </c>
      <c r="C2445" s="11">
        <v>159.98095473609689</v>
      </c>
      <c r="D2445" s="42"/>
    </row>
    <row r="2446" spans="2:4" ht="16" thickBot="1" x14ac:dyDescent="0.25">
      <c r="B2446" s="4">
        <v>2441</v>
      </c>
      <c r="C2446" s="10">
        <v>188.24938782615396</v>
      </c>
      <c r="D2446" s="42"/>
    </row>
    <row r="2447" spans="2:4" ht="16" thickBot="1" x14ac:dyDescent="0.25">
      <c r="B2447" s="5">
        <v>2442</v>
      </c>
      <c r="C2447" s="11">
        <v>303.17779713727521</v>
      </c>
      <c r="D2447" s="42"/>
    </row>
    <row r="2448" spans="2:4" ht="16" thickBot="1" x14ac:dyDescent="0.25">
      <c r="B2448" s="4">
        <v>2443</v>
      </c>
      <c r="C2448" s="10">
        <v>160.07388962675412</v>
      </c>
      <c r="D2448" s="42"/>
    </row>
    <row r="2449" spans="2:4" ht="16" thickBot="1" x14ac:dyDescent="0.25">
      <c r="B2449" s="5">
        <v>2444</v>
      </c>
      <c r="C2449" s="11">
        <v>90.800949983497617</v>
      </c>
      <c r="D2449" s="42"/>
    </row>
    <row r="2450" spans="2:4" ht="16" thickBot="1" x14ac:dyDescent="0.25">
      <c r="B2450" s="4">
        <v>2445</v>
      </c>
      <c r="C2450" s="10">
        <v>84.448625224878313</v>
      </c>
      <c r="D2450" s="42"/>
    </row>
    <row r="2451" spans="2:4" ht="16" thickBot="1" x14ac:dyDescent="0.25">
      <c r="B2451" s="5">
        <v>2446</v>
      </c>
      <c r="C2451" s="11">
        <v>71.558881739264606</v>
      </c>
      <c r="D2451" s="42"/>
    </row>
    <row r="2452" spans="2:4" ht="16" thickBot="1" x14ac:dyDescent="0.25">
      <c r="B2452" s="4">
        <v>2447</v>
      </c>
      <c r="C2452" s="10">
        <v>86.639200020240949</v>
      </c>
      <c r="D2452" s="42"/>
    </row>
    <row r="2453" spans="2:4" ht="16" thickBot="1" x14ac:dyDescent="0.25">
      <c r="B2453" s="5">
        <v>2448</v>
      </c>
      <c r="C2453" s="11">
        <v>184.02589248442456</v>
      </c>
      <c r="D2453" s="42"/>
    </row>
    <row r="2454" spans="2:4" ht="16" thickBot="1" x14ac:dyDescent="0.25">
      <c r="B2454" s="4">
        <v>2449</v>
      </c>
      <c r="C2454" s="10">
        <v>23.885445048274743</v>
      </c>
      <c r="D2454" s="42"/>
    </row>
    <row r="2455" spans="2:4" ht="16" thickBot="1" x14ac:dyDescent="0.25">
      <c r="B2455" s="5">
        <v>2450</v>
      </c>
      <c r="C2455" s="11">
        <v>276.58156598868965</v>
      </c>
      <c r="D2455" s="42"/>
    </row>
    <row r="2456" spans="2:4" ht="16" thickBot="1" x14ac:dyDescent="0.25">
      <c r="B2456" s="4">
        <v>2451</v>
      </c>
      <c r="C2456" s="10">
        <v>251.28438022043042</v>
      </c>
      <c r="D2456" s="42"/>
    </row>
    <row r="2457" spans="2:4" ht="16" thickBot="1" x14ac:dyDescent="0.25">
      <c r="B2457" s="5">
        <v>2452</v>
      </c>
      <c r="C2457" s="11">
        <v>225.95034880812918</v>
      </c>
      <c r="D2457" s="42"/>
    </row>
    <row r="2458" spans="2:4" ht="16" thickBot="1" x14ac:dyDescent="0.25">
      <c r="B2458" s="4">
        <v>2453</v>
      </c>
      <c r="C2458" s="10">
        <v>338.00561356989709</v>
      </c>
      <c r="D2458" s="42"/>
    </row>
    <row r="2459" spans="2:4" ht="16" thickBot="1" x14ac:dyDescent="0.25">
      <c r="B2459" s="5">
        <v>2454</v>
      </c>
      <c r="C2459" s="11">
        <v>289.27522467010351</v>
      </c>
      <c r="D2459" s="42"/>
    </row>
    <row r="2460" spans="2:4" ht="16" thickBot="1" x14ac:dyDescent="0.25">
      <c r="B2460" s="4">
        <v>2455</v>
      </c>
      <c r="C2460" s="10">
        <v>299.03727347162703</v>
      </c>
      <c r="D2460" s="42"/>
    </row>
    <row r="2461" spans="2:4" ht="16" thickBot="1" x14ac:dyDescent="0.25">
      <c r="B2461" s="5">
        <v>2456</v>
      </c>
      <c r="C2461" s="11">
        <v>152.64687112302002</v>
      </c>
      <c r="D2461" s="42"/>
    </row>
    <row r="2462" spans="2:4" ht="16" thickBot="1" x14ac:dyDescent="0.25">
      <c r="B2462" s="4">
        <v>2457</v>
      </c>
      <c r="C2462" s="10">
        <v>141.56197455378387</v>
      </c>
      <c r="D2462" s="42"/>
    </row>
    <row r="2463" spans="2:4" ht="16" thickBot="1" x14ac:dyDescent="0.25">
      <c r="B2463" s="5">
        <v>2458</v>
      </c>
      <c r="C2463" s="11">
        <v>380.22407463206423</v>
      </c>
      <c r="D2463" s="42"/>
    </row>
    <row r="2464" spans="2:4" ht="16" thickBot="1" x14ac:dyDescent="0.25">
      <c r="B2464" s="4">
        <v>2459</v>
      </c>
      <c r="C2464" s="10">
        <v>334.83595110843027</v>
      </c>
      <c r="D2464" s="42"/>
    </row>
    <row r="2465" spans="2:4" ht="16" thickBot="1" x14ac:dyDescent="0.25">
      <c r="B2465" s="5">
        <v>2460</v>
      </c>
      <c r="C2465" s="11">
        <v>206.70137949140917</v>
      </c>
      <c r="D2465" s="42"/>
    </row>
    <row r="2466" spans="2:4" ht="16" thickBot="1" x14ac:dyDescent="0.25">
      <c r="B2466" s="4">
        <v>2461</v>
      </c>
      <c r="C2466" s="10">
        <v>214.02871358297537</v>
      </c>
      <c r="D2466" s="42"/>
    </row>
    <row r="2467" spans="2:4" ht="16" thickBot="1" x14ac:dyDescent="0.25">
      <c r="B2467" s="5">
        <v>2462</v>
      </c>
      <c r="C2467" s="11">
        <v>164.50430305185998</v>
      </c>
      <c r="D2467" s="42"/>
    </row>
    <row r="2468" spans="2:4" ht="16" thickBot="1" x14ac:dyDescent="0.25">
      <c r="B2468" s="4">
        <v>2463</v>
      </c>
      <c r="C2468" s="10">
        <v>303.50132527207285</v>
      </c>
      <c r="D2468" s="42"/>
    </row>
    <row r="2469" spans="2:4" ht="16" thickBot="1" x14ac:dyDescent="0.25">
      <c r="B2469" s="5">
        <v>2464</v>
      </c>
      <c r="C2469" s="11">
        <v>121.83207389516843</v>
      </c>
      <c r="D2469" s="42"/>
    </row>
    <row r="2470" spans="2:4" ht="16" thickBot="1" x14ac:dyDescent="0.25">
      <c r="B2470" s="4">
        <v>2465</v>
      </c>
      <c r="C2470" s="10">
        <v>940.46758926827658</v>
      </c>
      <c r="D2470" s="42"/>
    </row>
    <row r="2471" spans="2:4" ht="16" thickBot="1" x14ac:dyDescent="0.25">
      <c r="B2471" s="5">
        <v>2466</v>
      </c>
      <c r="C2471" s="11">
        <v>146.42195521132413</v>
      </c>
      <c r="D2471" s="42"/>
    </row>
    <row r="2472" spans="2:4" ht="16" thickBot="1" x14ac:dyDescent="0.25">
      <c r="B2472" s="4">
        <v>2467</v>
      </c>
      <c r="C2472" s="10">
        <v>195.80774104422099</v>
      </c>
      <c r="D2472" s="42"/>
    </row>
    <row r="2473" spans="2:4" ht="16" thickBot="1" x14ac:dyDescent="0.25">
      <c r="B2473" s="5">
        <v>2468</v>
      </c>
      <c r="C2473" s="11">
        <v>229.78934252135994</v>
      </c>
      <c r="D2473" s="42"/>
    </row>
    <row r="2474" spans="2:4" ht="16" thickBot="1" x14ac:dyDescent="0.25">
      <c r="B2474" s="4">
        <v>2469</v>
      </c>
      <c r="C2474" s="10">
        <v>355.57862076260335</v>
      </c>
      <c r="D2474" s="42"/>
    </row>
    <row r="2475" spans="2:4" ht="16" thickBot="1" x14ac:dyDescent="0.25">
      <c r="B2475" s="5">
        <v>2470</v>
      </c>
      <c r="C2475" s="11">
        <v>198.98392820332504</v>
      </c>
      <c r="D2475" s="42"/>
    </row>
    <row r="2476" spans="2:4" ht="16" thickBot="1" x14ac:dyDescent="0.25">
      <c r="B2476" s="4">
        <v>2471</v>
      </c>
      <c r="C2476" s="10">
        <v>96.019215773174025</v>
      </c>
      <c r="D2476" s="42"/>
    </row>
    <row r="2477" spans="2:4" ht="16" thickBot="1" x14ac:dyDescent="0.25">
      <c r="B2477" s="5">
        <v>2472</v>
      </c>
      <c r="C2477" s="11">
        <v>242.49096785272303</v>
      </c>
      <c r="D2477" s="42"/>
    </row>
    <row r="2478" spans="2:4" ht="16" thickBot="1" x14ac:dyDescent="0.25">
      <c r="B2478" s="4">
        <v>2473</v>
      </c>
      <c r="C2478" s="10">
        <v>580.90635367535958</v>
      </c>
      <c r="D2478" s="42"/>
    </row>
    <row r="2479" spans="2:4" ht="16" thickBot="1" x14ac:dyDescent="0.25">
      <c r="B2479" s="5">
        <v>2474</v>
      </c>
      <c r="C2479" s="11">
        <v>273.65377735310295</v>
      </c>
      <c r="D2479" s="42"/>
    </row>
    <row r="2480" spans="2:4" ht="16" thickBot="1" x14ac:dyDescent="0.25">
      <c r="B2480" s="4">
        <v>2475</v>
      </c>
      <c r="C2480" s="10">
        <v>510.95196273524573</v>
      </c>
      <c r="D2480" s="42"/>
    </row>
    <row r="2481" spans="2:4" ht="16" thickBot="1" x14ac:dyDescent="0.25">
      <c r="B2481" s="5">
        <v>2476</v>
      </c>
      <c r="C2481" s="11">
        <v>212.07224703307716</v>
      </c>
      <c r="D2481" s="42"/>
    </row>
    <row r="2482" spans="2:4" ht="16" thickBot="1" x14ac:dyDescent="0.25">
      <c r="B2482" s="4">
        <v>2477</v>
      </c>
      <c r="C2482" s="10">
        <v>183.6830473800031</v>
      </c>
      <c r="D2482" s="42"/>
    </row>
    <row r="2483" spans="2:4" ht="16" thickBot="1" x14ac:dyDescent="0.25">
      <c r="B2483" s="5">
        <v>2478</v>
      </c>
      <c r="C2483" s="11">
        <v>275.77385976517832</v>
      </c>
      <c r="D2483" s="42"/>
    </row>
    <row r="2484" spans="2:4" ht="16" thickBot="1" x14ac:dyDescent="0.25">
      <c r="B2484" s="4">
        <v>2479</v>
      </c>
      <c r="C2484" s="10">
        <v>122.84866982774859</v>
      </c>
      <c r="D2484" s="42"/>
    </row>
    <row r="2485" spans="2:4" ht="16" thickBot="1" x14ac:dyDescent="0.25">
      <c r="B2485" s="5">
        <v>2480</v>
      </c>
      <c r="C2485" s="11">
        <v>116.19005306006723</v>
      </c>
      <c r="D2485" s="42"/>
    </row>
    <row r="2486" spans="2:4" ht="16" thickBot="1" x14ac:dyDescent="0.25">
      <c r="B2486" s="4">
        <v>2481</v>
      </c>
      <c r="C2486" s="10">
        <v>239.18994750303131</v>
      </c>
      <c r="D2486" s="42"/>
    </row>
    <row r="2487" spans="2:4" ht="16" thickBot="1" x14ac:dyDescent="0.25">
      <c r="B2487" s="5">
        <v>2482</v>
      </c>
      <c r="C2487" s="11">
        <v>134.09758905616945</v>
      </c>
      <c r="D2487" s="42"/>
    </row>
    <row r="2488" spans="2:4" ht="16" thickBot="1" x14ac:dyDescent="0.25">
      <c r="B2488" s="4">
        <v>2483</v>
      </c>
      <c r="C2488" s="10">
        <v>153.03798584271593</v>
      </c>
      <c r="D2488" s="42"/>
    </row>
    <row r="2489" spans="2:4" ht="16" thickBot="1" x14ac:dyDescent="0.25">
      <c r="B2489" s="5">
        <v>2484</v>
      </c>
      <c r="C2489" s="11">
        <v>133.49061976804416</v>
      </c>
      <c r="D2489" s="42"/>
    </row>
    <row r="2490" spans="2:4" ht="16" thickBot="1" x14ac:dyDescent="0.25">
      <c r="B2490" s="4">
        <v>2485</v>
      </c>
      <c r="C2490" s="10">
        <v>314.82620692363923</v>
      </c>
      <c r="D2490" s="42"/>
    </row>
    <row r="2491" spans="2:4" ht="16" thickBot="1" x14ac:dyDescent="0.25">
      <c r="B2491" s="5">
        <v>2486</v>
      </c>
      <c r="C2491" s="11">
        <v>268.46399886589705</v>
      </c>
      <c r="D2491" s="42"/>
    </row>
    <row r="2492" spans="2:4" ht="16" thickBot="1" x14ac:dyDescent="0.25">
      <c r="B2492" s="4">
        <v>2487</v>
      </c>
      <c r="C2492" s="10">
        <v>356.83757109538368</v>
      </c>
      <c r="D2492" s="42"/>
    </row>
    <row r="2493" spans="2:4" ht="16" thickBot="1" x14ac:dyDescent="0.25">
      <c r="B2493" s="5">
        <v>2488</v>
      </c>
      <c r="C2493" s="11">
        <v>276.45871273336866</v>
      </c>
      <c r="D2493" s="42"/>
    </row>
    <row r="2494" spans="2:4" ht="16" thickBot="1" x14ac:dyDescent="0.25">
      <c r="B2494" s="4">
        <v>2489</v>
      </c>
      <c r="C2494" s="10">
        <v>307.07708964929384</v>
      </c>
      <c r="D2494" s="42"/>
    </row>
    <row r="2495" spans="2:4" ht="16" thickBot="1" x14ac:dyDescent="0.25">
      <c r="B2495" s="5">
        <v>2490</v>
      </c>
      <c r="C2495" s="11">
        <v>88.565389517176598</v>
      </c>
      <c r="D2495" s="42"/>
    </row>
    <row r="2496" spans="2:4" ht="16" thickBot="1" x14ac:dyDescent="0.25">
      <c r="B2496" s="4">
        <v>2491</v>
      </c>
      <c r="C2496" s="10">
        <v>43.298915515273023</v>
      </c>
      <c r="D2496" s="42"/>
    </row>
    <row r="2497" spans="2:4" ht="16" thickBot="1" x14ac:dyDescent="0.25">
      <c r="B2497" s="5">
        <v>2492</v>
      </c>
      <c r="C2497" s="11">
        <v>370.77080669719095</v>
      </c>
      <c r="D2497" s="42"/>
    </row>
    <row r="2498" spans="2:4" ht="16" thickBot="1" x14ac:dyDescent="0.25">
      <c r="B2498" s="4">
        <v>2493</v>
      </c>
      <c r="C2498" s="10">
        <v>268.27967695172254</v>
      </c>
      <c r="D2498" s="42"/>
    </row>
    <row r="2499" spans="2:4" ht="16" thickBot="1" x14ac:dyDescent="0.25">
      <c r="B2499" s="5">
        <v>2494</v>
      </c>
      <c r="C2499" s="11">
        <v>205.71955200472408</v>
      </c>
      <c r="D2499" s="42"/>
    </row>
    <row r="2500" spans="2:4" ht="16" thickBot="1" x14ac:dyDescent="0.25">
      <c r="B2500" s="4">
        <v>2495</v>
      </c>
      <c r="C2500" s="10">
        <v>532.29402033789404</v>
      </c>
      <c r="D2500" s="42"/>
    </row>
    <row r="2501" spans="2:4" ht="16" thickBot="1" x14ac:dyDescent="0.25">
      <c r="B2501" s="5">
        <v>2496</v>
      </c>
      <c r="C2501" s="11">
        <v>284.60602498507188</v>
      </c>
      <c r="D2501" s="42"/>
    </row>
    <row r="2502" spans="2:4" ht="16" thickBot="1" x14ac:dyDescent="0.25">
      <c r="B2502" s="4">
        <v>2497</v>
      </c>
      <c r="C2502" s="10">
        <v>542.10167574567674</v>
      </c>
      <c r="D2502" s="42"/>
    </row>
    <row r="2503" spans="2:4" ht="16" thickBot="1" x14ac:dyDescent="0.25">
      <c r="B2503" s="5">
        <v>2498</v>
      </c>
      <c r="C2503" s="11">
        <v>151.89087369595501</v>
      </c>
      <c r="D2503" s="42"/>
    </row>
    <row r="2504" spans="2:4" ht="16" thickBot="1" x14ac:dyDescent="0.25">
      <c r="B2504" s="4">
        <v>2499</v>
      </c>
      <c r="C2504" s="10">
        <v>219.14820797393014</v>
      </c>
      <c r="D2504" s="42"/>
    </row>
    <row r="2505" spans="2:4" ht="16" thickBot="1" x14ac:dyDescent="0.25">
      <c r="B2505" s="5">
        <v>2500</v>
      </c>
      <c r="C2505" s="11">
        <v>241.26578375960997</v>
      </c>
      <c r="D2505" s="42"/>
    </row>
    <row r="2506" spans="2:4" ht="16" thickBot="1" x14ac:dyDescent="0.25">
      <c r="B2506" s="4">
        <v>2501</v>
      </c>
      <c r="C2506" s="10">
        <v>183.82376756443344</v>
      </c>
      <c r="D2506" s="42"/>
    </row>
    <row r="2507" spans="2:4" ht="16" thickBot="1" x14ac:dyDescent="0.25">
      <c r="B2507" s="5">
        <v>2502</v>
      </c>
      <c r="C2507" s="11">
        <v>226.31266729851987</v>
      </c>
      <c r="D2507" s="42"/>
    </row>
    <row r="2508" spans="2:4" ht="16" thickBot="1" x14ac:dyDescent="0.25">
      <c r="B2508" s="4">
        <v>2503</v>
      </c>
      <c r="C2508" s="10">
        <v>341.83659704626177</v>
      </c>
      <c r="D2508" s="42"/>
    </row>
    <row r="2509" spans="2:4" ht="16" thickBot="1" x14ac:dyDescent="0.25">
      <c r="B2509" s="5">
        <v>2504</v>
      </c>
      <c r="C2509" s="11">
        <v>315.06931879709072</v>
      </c>
      <c r="D2509" s="42"/>
    </row>
    <row r="2510" spans="2:4" ht="16" thickBot="1" x14ac:dyDescent="0.25">
      <c r="B2510" s="4">
        <v>2505</v>
      </c>
      <c r="C2510" s="10">
        <v>245.17910253178653</v>
      </c>
      <c r="D2510" s="42"/>
    </row>
    <row r="2511" spans="2:4" ht="16" thickBot="1" x14ac:dyDescent="0.25">
      <c r="B2511" s="5">
        <v>2506</v>
      </c>
      <c r="C2511" s="11">
        <v>159.54411870218388</v>
      </c>
      <c r="D2511" s="42"/>
    </row>
    <row r="2512" spans="2:4" ht="16" thickBot="1" x14ac:dyDescent="0.25">
      <c r="B2512" s="4">
        <v>2507</v>
      </c>
      <c r="C2512" s="10">
        <v>117.82110268598213</v>
      </c>
      <c r="D2512" s="42"/>
    </row>
    <row r="2513" spans="2:4" ht="16" thickBot="1" x14ac:dyDescent="0.25">
      <c r="B2513" s="5">
        <v>2508</v>
      </c>
      <c r="C2513" s="11">
        <v>151.2682905321098</v>
      </c>
      <c r="D2513" s="42"/>
    </row>
    <row r="2514" spans="2:4" ht="16" thickBot="1" x14ac:dyDescent="0.25">
      <c r="B2514" s="4">
        <v>2509</v>
      </c>
      <c r="C2514" s="10">
        <v>460.97206769216052</v>
      </c>
      <c r="D2514" s="42"/>
    </row>
    <row r="2515" spans="2:4" ht="16" thickBot="1" x14ac:dyDescent="0.25">
      <c r="B2515" s="5">
        <v>2510</v>
      </c>
      <c r="C2515" s="11">
        <v>281.51885578727001</v>
      </c>
      <c r="D2515" s="42"/>
    </row>
    <row r="2516" spans="2:4" ht="16" thickBot="1" x14ac:dyDescent="0.25">
      <c r="B2516" s="4">
        <v>2511</v>
      </c>
      <c r="C2516" s="10">
        <v>255.01998064146301</v>
      </c>
      <c r="D2516" s="42"/>
    </row>
    <row r="2517" spans="2:4" ht="16" thickBot="1" x14ac:dyDescent="0.25">
      <c r="B2517" s="5">
        <v>2512</v>
      </c>
      <c r="C2517" s="11">
        <v>292.1323184947874</v>
      </c>
      <c r="D2517" s="42"/>
    </row>
    <row r="2518" spans="2:4" ht="16" thickBot="1" x14ac:dyDescent="0.25">
      <c r="B2518" s="4">
        <v>2513</v>
      </c>
      <c r="C2518" s="10">
        <v>443.89255157328506</v>
      </c>
      <c r="D2518" s="42"/>
    </row>
    <row r="2519" spans="2:4" ht="16" thickBot="1" x14ac:dyDescent="0.25">
      <c r="B2519" s="5">
        <v>2514</v>
      </c>
      <c r="C2519" s="11">
        <v>364.95993168217421</v>
      </c>
      <c r="D2519" s="42"/>
    </row>
    <row r="2520" spans="2:4" ht="16" thickBot="1" x14ac:dyDescent="0.25">
      <c r="B2520" s="4">
        <v>2515</v>
      </c>
      <c r="C2520" s="10">
        <v>242.10400401400679</v>
      </c>
      <c r="D2520" s="42"/>
    </row>
    <row r="2521" spans="2:4" ht="16" thickBot="1" x14ac:dyDescent="0.25">
      <c r="B2521" s="5">
        <v>2516</v>
      </c>
      <c r="C2521" s="11">
        <v>264.45742738726722</v>
      </c>
      <c r="D2521" s="42"/>
    </row>
    <row r="2522" spans="2:4" ht="16" thickBot="1" x14ac:dyDescent="0.25">
      <c r="B2522" s="4">
        <v>2517</v>
      </c>
      <c r="C2522" s="10">
        <v>128.1656227051424</v>
      </c>
      <c r="D2522" s="42"/>
    </row>
    <row r="2523" spans="2:4" ht="16" thickBot="1" x14ac:dyDescent="0.25">
      <c r="B2523" s="5">
        <v>2518</v>
      </c>
      <c r="C2523" s="11">
        <v>143.90900557401972</v>
      </c>
      <c r="D2523" s="42"/>
    </row>
    <row r="2524" spans="2:4" ht="16" thickBot="1" x14ac:dyDescent="0.25">
      <c r="B2524" s="4">
        <v>2519</v>
      </c>
      <c r="C2524" s="10">
        <v>268.68863781576437</v>
      </c>
      <c r="D2524" s="42"/>
    </row>
    <row r="2525" spans="2:4" ht="16" thickBot="1" x14ac:dyDescent="0.25">
      <c r="B2525" s="5">
        <v>2520</v>
      </c>
      <c r="C2525" s="11">
        <v>175.27531087900769</v>
      </c>
      <c r="D2525" s="42"/>
    </row>
    <row r="2526" spans="2:4" ht="16" thickBot="1" x14ac:dyDescent="0.25">
      <c r="B2526" s="4">
        <v>2521</v>
      </c>
      <c r="C2526" s="10">
        <v>309.35896470494686</v>
      </c>
      <c r="D2526" s="42"/>
    </row>
    <row r="2527" spans="2:4" ht="16" thickBot="1" x14ac:dyDescent="0.25">
      <c r="B2527" s="5">
        <v>2522</v>
      </c>
      <c r="C2527" s="11">
        <v>286.48661724813371</v>
      </c>
      <c r="D2527" s="42"/>
    </row>
    <row r="2528" spans="2:4" ht="16" thickBot="1" x14ac:dyDescent="0.25">
      <c r="B2528" s="4">
        <v>2523</v>
      </c>
      <c r="C2528" s="10">
        <v>420.28757571365219</v>
      </c>
      <c r="D2528" s="42"/>
    </row>
    <row r="2529" spans="2:4" ht="16" thickBot="1" x14ac:dyDescent="0.25">
      <c r="B2529" s="5">
        <v>2524</v>
      </c>
      <c r="C2529" s="11">
        <v>415.11497919960402</v>
      </c>
      <c r="D2529" s="42"/>
    </row>
    <row r="2530" spans="2:4" ht="16" thickBot="1" x14ac:dyDescent="0.25">
      <c r="B2530" s="4">
        <v>2525</v>
      </c>
      <c r="C2530" s="10">
        <v>187.49911000527445</v>
      </c>
      <c r="D2530" s="42"/>
    </row>
    <row r="2531" spans="2:4" ht="16" thickBot="1" x14ac:dyDescent="0.25">
      <c r="B2531" s="5">
        <v>2526</v>
      </c>
      <c r="C2531" s="11">
        <v>524.99856049956861</v>
      </c>
      <c r="D2531" s="42"/>
    </row>
    <row r="2532" spans="2:4" ht="16" thickBot="1" x14ac:dyDescent="0.25">
      <c r="B2532" s="4">
        <v>2527</v>
      </c>
      <c r="C2532" s="10">
        <v>107.35947764959425</v>
      </c>
      <c r="D2532" s="42"/>
    </row>
    <row r="2533" spans="2:4" ht="16" thickBot="1" x14ac:dyDescent="0.25">
      <c r="B2533" s="5">
        <v>2528</v>
      </c>
      <c r="C2533" s="11">
        <v>430.56395693539719</v>
      </c>
      <c r="D2533" s="42"/>
    </row>
    <row r="2534" spans="2:4" ht="16" thickBot="1" x14ac:dyDescent="0.25">
      <c r="B2534" s="4">
        <v>2529</v>
      </c>
      <c r="C2534" s="10">
        <v>96.612420998807266</v>
      </c>
      <c r="D2534" s="42"/>
    </row>
    <row r="2535" spans="2:4" ht="16" thickBot="1" x14ac:dyDescent="0.25">
      <c r="B2535" s="5">
        <v>2530</v>
      </c>
      <c r="C2535" s="11">
        <v>311.34346889018241</v>
      </c>
      <c r="D2535" s="42"/>
    </row>
    <row r="2536" spans="2:4" ht="16" thickBot="1" x14ac:dyDescent="0.25">
      <c r="B2536" s="4">
        <v>2531</v>
      </c>
      <c r="C2536" s="10">
        <v>108.76170363307891</v>
      </c>
      <c r="D2536" s="42"/>
    </row>
    <row r="2537" spans="2:4" ht="16" thickBot="1" x14ac:dyDescent="0.25">
      <c r="B2537" s="5">
        <v>2532</v>
      </c>
      <c r="C2537" s="11">
        <v>355.89916120210563</v>
      </c>
      <c r="D2537" s="42"/>
    </row>
    <row r="2538" spans="2:4" ht="16" thickBot="1" x14ac:dyDescent="0.25">
      <c r="B2538" s="4">
        <v>2533</v>
      </c>
      <c r="C2538" s="10">
        <v>332.39746318505115</v>
      </c>
      <c r="D2538" s="42"/>
    </row>
    <row r="2539" spans="2:4" ht="16" thickBot="1" x14ac:dyDescent="0.25">
      <c r="B2539" s="5">
        <v>2534</v>
      </c>
      <c r="C2539" s="11">
        <v>510.45584456512444</v>
      </c>
      <c r="D2539" s="42"/>
    </row>
    <row r="2540" spans="2:4" ht="16" thickBot="1" x14ac:dyDescent="0.25">
      <c r="B2540" s="4">
        <v>2535</v>
      </c>
      <c r="C2540" s="10">
        <v>264.50663194681681</v>
      </c>
      <c r="D2540" s="42"/>
    </row>
    <row r="2541" spans="2:4" ht="16" thickBot="1" x14ac:dyDescent="0.25">
      <c r="B2541" s="5">
        <v>2536</v>
      </c>
      <c r="C2541" s="11">
        <v>251.14841654074368</v>
      </c>
      <c r="D2541" s="42"/>
    </row>
    <row r="2542" spans="2:4" ht="16" thickBot="1" x14ac:dyDescent="0.25">
      <c r="B2542" s="4">
        <v>2537</v>
      </c>
      <c r="C2542" s="10">
        <v>219.75692289148992</v>
      </c>
      <c r="D2542" s="42"/>
    </row>
    <row r="2543" spans="2:4" ht="16" thickBot="1" x14ac:dyDescent="0.25">
      <c r="B2543" s="5">
        <v>2538</v>
      </c>
      <c r="C2543" s="11">
        <v>111.48100244486923</v>
      </c>
      <c r="D2543" s="42"/>
    </row>
    <row r="2544" spans="2:4" ht="16" thickBot="1" x14ac:dyDescent="0.25">
      <c r="B2544" s="4">
        <v>2539</v>
      </c>
      <c r="C2544" s="10">
        <v>324.61439841018051</v>
      </c>
      <c r="D2544" s="42"/>
    </row>
    <row r="2545" spans="2:4" ht="16" thickBot="1" x14ac:dyDescent="0.25">
      <c r="B2545" s="5">
        <v>2540</v>
      </c>
      <c r="C2545" s="11">
        <v>242.71758910555263</v>
      </c>
      <c r="D2545" s="42"/>
    </row>
    <row r="2546" spans="2:4" ht="16" thickBot="1" x14ac:dyDescent="0.25">
      <c r="B2546" s="4">
        <v>2541</v>
      </c>
      <c r="C2546" s="10">
        <v>178.76873160200145</v>
      </c>
      <c r="D2546" s="42"/>
    </row>
    <row r="2547" spans="2:4" ht="16" thickBot="1" x14ac:dyDescent="0.25">
      <c r="B2547" s="5">
        <v>2542</v>
      </c>
      <c r="C2547" s="11">
        <v>138.93626796902279</v>
      </c>
      <c r="D2547" s="42"/>
    </row>
    <row r="2548" spans="2:4" ht="16" thickBot="1" x14ac:dyDescent="0.25">
      <c r="B2548" s="4">
        <v>2543</v>
      </c>
      <c r="C2548" s="10">
        <v>523.46272461623198</v>
      </c>
      <c r="D2548" s="42"/>
    </row>
    <row r="2549" spans="2:4" ht="16" thickBot="1" x14ac:dyDescent="0.25">
      <c r="B2549" s="5">
        <v>2544</v>
      </c>
      <c r="C2549" s="11">
        <v>332.18039113077992</v>
      </c>
      <c r="D2549" s="42"/>
    </row>
    <row r="2550" spans="2:4" ht="16" thickBot="1" x14ac:dyDescent="0.25">
      <c r="B2550" s="4">
        <v>2545</v>
      </c>
      <c r="C2550" s="10">
        <v>688.50277152003514</v>
      </c>
      <c r="D2550" s="42"/>
    </row>
    <row r="2551" spans="2:4" ht="16" thickBot="1" x14ac:dyDescent="0.25">
      <c r="B2551" s="5">
        <v>2546</v>
      </c>
      <c r="C2551" s="11">
        <v>29.443684966802884</v>
      </c>
      <c r="D2551" s="42"/>
    </row>
    <row r="2552" spans="2:4" ht="16" thickBot="1" x14ac:dyDescent="0.25">
      <c r="B2552" s="4">
        <v>2547</v>
      </c>
      <c r="C2552" s="10">
        <v>222.88007536343508</v>
      </c>
      <c r="D2552" s="42"/>
    </row>
    <row r="2553" spans="2:4" ht="16" thickBot="1" x14ac:dyDescent="0.25">
      <c r="B2553" s="5">
        <v>2548</v>
      </c>
      <c r="C2553" s="11">
        <v>268.86953467553406</v>
      </c>
      <c r="D2553" s="42"/>
    </row>
    <row r="2554" spans="2:4" ht="16" thickBot="1" x14ac:dyDescent="0.25">
      <c r="B2554" s="4">
        <v>2549</v>
      </c>
      <c r="C2554" s="10">
        <v>206.68112357037435</v>
      </c>
      <c r="D2554" s="42"/>
    </row>
    <row r="2555" spans="2:4" ht="16" thickBot="1" x14ac:dyDescent="0.25">
      <c r="B2555" s="5">
        <v>2550</v>
      </c>
      <c r="C2555" s="11">
        <v>174.81565382784865</v>
      </c>
      <c r="D2555" s="42"/>
    </row>
    <row r="2556" spans="2:4" ht="16" thickBot="1" x14ac:dyDescent="0.25">
      <c r="B2556" s="4">
        <v>2551</v>
      </c>
      <c r="C2556" s="10">
        <v>235.05645253095503</v>
      </c>
      <c r="D2556" s="42"/>
    </row>
    <row r="2557" spans="2:4" ht="16" thickBot="1" x14ac:dyDescent="0.25">
      <c r="B2557" s="5">
        <v>2552</v>
      </c>
      <c r="C2557" s="11">
        <v>643.48552480446449</v>
      </c>
      <c r="D2557" s="42"/>
    </row>
    <row r="2558" spans="2:4" ht="16" thickBot="1" x14ac:dyDescent="0.25">
      <c r="B2558" s="4">
        <v>2553</v>
      </c>
      <c r="C2558" s="10">
        <v>189.47886674551435</v>
      </c>
      <c r="D2558" s="42"/>
    </row>
    <row r="2559" spans="2:4" ht="16" thickBot="1" x14ac:dyDescent="0.25">
      <c r="B2559" s="5">
        <v>2554</v>
      </c>
      <c r="C2559" s="11">
        <v>276.42664704368246</v>
      </c>
      <c r="D2559" s="42"/>
    </row>
    <row r="2560" spans="2:4" ht="16" thickBot="1" x14ac:dyDescent="0.25">
      <c r="B2560" s="4">
        <v>2555</v>
      </c>
      <c r="C2560" s="10">
        <v>128.87076122055231</v>
      </c>
      <c r="D2560" s="42"/>
    </row>
    <row r="2561" spans="2:4" ht="16" thickBot="1" x14ac:dyDescent="0.25">
      <c r="B2561" s="5">
        <v>2556</v>
      </c>
      <c r="C2561" s="11">
        <v>384.06209561657647</v>
      </c>
      <c r="D2561" s="42"/>
    </row>
    <row r="2562" spans="2:4" ht="16" thickBot="1" x14ac:dyDescent="0.25">
      <c r="B2562" s="4">
        <v>2557</v>
      </c>
      <c r="C2562" s="10">
        <v>131.05580911786146</v>
      </c>
      <c r="D2562" s="42"/>
    </row>
    <row r="2563" spans="2:4" ht="16" thickBot="1" x14ac:dyDescent="0.25">
      <c r="B2563" s="5">
        <v>2558</v>
      </c>
      <c r="C2563" s="11">
        <v>16.50919016228395</v>
      </c>
      <c r="D2563" s="42"/>
    </row>
    <row r="2564" spans="2:4" ht="16" thickBot="1" x14ac:dyDescent="0.25">
      <c r="B2564" s="4">
        <v>2559</v>
      </c>
      <c r="C2564" s="10">
        <v>179.5769262235859</v>
      </c>
      <c r="D2564" s="42"/>
    </row>
    <row r="2565" spans="2:4" ht="16" thickBot="1" x14ac:dyDescent="0.25">
      <c r="B2565" s="5">
        <v>2560</v>
      </c>
      <c r="C2565" s="11">
        <v>124.56218074873884</v>
      </c>
      <c r="D2565" s="42"/>
    </row>
    <row r="2566" spans="2:4" ht="16" thickBot="1" x14ac:dyDescent="0.25">
      <c r="B2566" s="4">
        <v>2561</v>
      </c>
      <c r="C2566" s="10">
        <v>232.22308159810819</v>
      </c>
      <c r="D2566" s="42"/>
    </row>
    <row r="2567" spans="2:4" ht="16" thickBot="1" x14ac:dyDescent="0.25">
      <c r="B2567" s="5">
        <v>2562</v>
      </c>
      <c r="C2567" s="11">
        <v>468.08114869594061</v>
      </c>
      <c r="D2567" s="42"/>
    </row>
    <row r="2568" spans="2:4" ht="16" thickBot="1" x14ac:dyDescent="0.25">
      <c r="B2568" s="4">
        <v>2563</v>
      </c>
      <c r="C2568" s="10">
        <v>65.485510851240761</v>
      </c>
      <c r="D2568" s="42"/>
    </row>
    <row r="2569" spans="2:4" ht="16" thickBot="1" x14ac:dyDescent="0.25">
      <c r="B2569" s="5">
        <v>2564</v>
      </c>
      <c r="C2569" s="11">
        <v>404.5274059407663</v>
      </c>
      <c r="D2569" s="42"/>
    </row>
    <row r="2570" spans="2:4" ht="16" thickBot="1" x14ac:dyDescent="0.25">
      <c r="B2570" s="4">
        <v>2565</v>
      </c>
      <c r="C2570" s="10">
        <v>183.10494189572222</v>
      </c>
      <c r="D2570" s="42"/>
    </row>
    <row r="2571" spans="2:4" ht="16" thickBot="1" x14ac:dyDescent="0.25">
      <c r="B2571" s="5">
        <v>2566</v>
      </c>
      <c r="C2571" s="11">
        <v>275.64123426481933</v>
      </c>
      <c r="D2571" s="42"/>
    </row>
    <row r="2572" spans="2:4" ht="16" thickBot="1" x14ac:dyDescent="0.25">
      <c r="B2572" s="4">
        <v>2567</v>
      </c>
      <c r="C2572" s="10">
        <v>308.34186818667371</v>
      </c>
      <c r="D2572" s="42"/>
    </row>
    <row r="2573" spans="2:4" ht="16" thickBot="1" x14ac:dyDescent="0.25">
      <c r="B2573" s="5">
        <v>2568</v>
      </c>
      <c r="C2573" s="11">
        <v>265.06689581843779</v>
      </c>
      <c r="D2573" s="42"/>
    </row>
    <row r="2574" spans="2:4" ht="16" thickBot="1" x14ac:dyDescent="0.25">
      <c r="B2574" s="4">
        <v>2569</v>
      </c>
      <c r="C2574" s="10">
        <v>281.51936927045284</v>
      </c>
      <c r="D2574" s="42"/>
    </row>
    <row r="2575" spans="2:4" ht="16" thickBot="1" x14ac:dyDescent="0.25">
      <c r="B2575" s="5">
        <v>2570</v>
      </c>
      <c r="C2575" s="11">
        <v>182.61448774145157</v>
      </c>
      <c r="D2575" s="42"/>
    </row>
    <row r="2576" spans="2:4" ht="16" thickBot="1" x14ac:dyDescent="0.25">
      <c r="B2576" s="4">
        <v>2571</v>
      </c>
      <c r="C2576" s="10">
        <v>54.514709036263838</v>
      </c>
      <c r="D2576" s="42"/>
    </row>
    <row r="2577" spans="2:4" ht="16" thickBot="1" x14ac:dyDescent="0.25">
      <c r="B2577" s="5">
        <v>2572</v>
      </c>
      <c r="C2577" s="11">
        <v>63.219049440527364</v>
      </c>
      <c r="D2577" s="42"/>
    </row>
    <row r="2578" spans="2:4" ht="16" thickBot="1" x14ac:dyDescent="0.25">
      <c r="B2578" s="4">
        <v>2573</v>
      </c>
      <c r="C2578" s="10">
        <v>155.38476566227078</v>
      </c>
      <c r="D2578" s="42"/>
    </row>
    <row r="2579" spans="2:4" ht="16" thickBot="1" x14ac:dyDescent="0.25">
      <c r="B2579" s="5">
        <v>2574</v>
      </c>
      <c r="C2579" s="11">
        <v>262.21991361317197</v>
      </c>
      <c r="D2579" s="42"/>
    </row>
    <row r="2580" spans="2:4" ht="16" thickBot="1" x14ac:dyDescent="0.25">
      <c r="B2580" s="4">
        <v>2575</v>
      </c>
      <c r="C2580" s="10">
        <v>566.92654647125482</v>
      </c>
      <c r="D2580" s="42"/>
    </row>
    <row r="2581" spans="2:4" ht="16" thickBot="1" x14ac:dyDescent="0.25">
      <c r="B2581" s="5">
        <v>2576</v>
      </c>
      <c r="C2581" s="11">
        <v>169.37789364569477</v>
      </c>
      <c r="D2581" s="42"/>
    </row>
    <row r="2582" spans="2:4" ht="16" thickBot="1" x14ac:dyDescent="0.25">
      <c r="B2582" s="4">
        <v>2577</v>
      </c>
      <c r="C2582" s="10">
        <v>96.484069212403597</v>
      </c>
      <c r="D2582" s="42"/>
    </row>
    <row r="2583" spans="2:4" ht="16" thickBot="1" x14ac:dyDescent="0.25">
      <c r="B2583" s="5">
        <v>2578</v>
      </c>
      <c r="C2583" s="11">
        <v>779.11481385456716</v>
      </c>
      <c r="D2583" s="42"/>
    </row>
    <row r="2584" spans="2:4" ht="16" thickBot="1" x14ac:dyDescent="0.25">
      <c r="B2584" s="4">
        <v>2579</v>
      </c>
      <c r="C2584" s="10">
        <v>66.012310599197662</v>
      </c>
      <c r="D2584" s="42"/>
    </row>
    <row r="2585" spans="2:4" ht="16" thickBot="1" x14ac:dyDescent="0.25">
      <c r="B2585" s="5">
        <v>2580</v>
      </c>
      <c r="C2585" s="11">
        <v>152.7818790558747</v>
      </c>
      <c r="D2585" s="42"/>
    </row>
    <row r="2586" spans="2:4" ht="16" thickBot="1" x14ac:dyDescent="0.25">
      <c r="B2586" s="4">
        <v>2581</v>
      </c>
      <c r="C2586" s="10">
        <v>107.20120915539846</v>
      </c>
      <c r="D2586" s="42"/>
    </row>
    <row r="2587" spans="2:4" ht="16" thickBot="1" x14ac:dyDescent="0.25">
      <c r="B2587" s="5">
        <v>2582</v>
      </c>
      <c r="C2587" s="11">
        <v>819.22228480465151</v>
      </c>
      <c r="D2587" s="42"/>
    </row>
    <row r="2588" spans="2:4" ht="16" thickBot="1" x14ac:dyDescent="0.25">
      <c r="B2588" s="4">
        <v>2583</v>
      </c>
      <c r="C2588" s="10">
        <v>264.19413904294106</v>
      </c>
      <c r="D2588" s="42"/>
    </row>
    <row r="2589" spans="2:4" ht="16" thickBot="1" x14ac:dyDescent="0.25">
      <c r="B2589" s="5">
        <v>2584</v>
      </c>
      <c r="C2589" s="11">
        <v>296.18969407128913</v>
      </c>
      <c r="D2589" s="42"/>
    </row>
    <row r="2590" spans="2:4" ht="16" thickBot="1" x14ac:dyDescent="0.25">
      <c r="B2590" s="4">
        <v>2585</v>
      </c>
      <c r="C2590" s="10">
        <v>298.92200015606892</v>
      </c>
      <c r="D2590" s="42"/>
    </row>
    <row r="2591" spans="2:4" ht="16" thickBot="1" x14ac:dyDescent="0.25">
      <c r="B2591" s="5">
        <v>2586</v>
      </c>
      <c r="C2591" s="11">
        <v>150.05181021974755</v>
      </c>
      <c r="D2591" s="42"/>
    </row>
    <row r="2592" spans="2:4" ht="16" thickBot="1" x14ac:dyDescent="0.25">
      <c r="B2592" s="4">
        <v>2587</v>
      </c>
      <c r="C2592" s="10">
        <v>435.49303796749251</v>
      </c>
      <c r="D2592" s="42"/>
    </row>
    <row r="2593" spans="2:4" ht="16" thickBot="1" x14ac:dyDescent="0.25">
      <c r="B2593" s="5">
        <v>2588</v>
      </c>
      <c r="C2593" s="11">
        <v>264.49566314383065</v>
      </c>
      <c r="D2593" s="42"/>
    </row>
    <row r="2594" spans="2:4" ht="16" thickBot="1" x14ac:dyDescent="0.25">
      <c r="B2594" s="4">
        <v>2589</v>
      </c>
      <c r="C2594" s="10">
        <v>342.13368565840636</v>
      </c>
      <c r="D2594" s="42"/>
    </row>
    <row r="2595" spans="2:4" ht="16" thickBot="1" x14ac:dyDescent="0.25">
      <c r="B2595" s="5">
        <v>2590</v>
      </c>
      <c r="C2595" s="11">
        <v>742.09580428094284</v>
      </c>
      <c r="D2595" s="42"/>
    </row>
    <row r="2596" spans="2:4" ht="16" thickBot="1" x14ac:dyDescent="0.25">
      <c r="B2596" s="4">
        <v>2591</v>
      </c>
      <c r="C2596" s="10">
        <v>126.16702503340932</v>
      </c>
      <c r="D2596" s="42"/>
    </row>
    <row r="2597" spans="2:4" ht="16" thickBot="1" x14ac:dyDescent="0.25">
      <c r="B2597" s="5">
        <v>2592</v>
      </c>
      <c r="C2597" s="11">
        <v>279.83806439842755</v>
      </c>
      <c r="D2597" s="42"/>
    </row>
    <row r="2598" spans="2:4" ht="16" thickBot="1" x14ac:dyDescent="0.25">
      <c r="B2598" s="4">
        <v>2593</v>
      </c>
      <c r="C2598" s="10">
        <v>75.617771362646621</v>
      </c>
      <c r="D2598" s="42"/>
    </row>
    <row r="2599" spans="2:4" ht="16" thickBot="1" x14ac:dyDescent="0.25">
      <c r="B2599" s="5">
        <v>2594</v>
      </c>
      <c r="C2599" s="11">
        <v>538.55927761811108</v>
      </c>
      <c r="D2599" s="42"/>
    </row>
    <row r="2600" spans="2:4" ht="16" thickBot="1" x14ac:dyDescent="0.25">
      <c r="B2600" s="4">
        <v>2595</v>
      </c>
      <c r="C2600" s="10">
        <v>274.69082699021141</v>
      </c>
      <c r="D2600" s="42"/>
    </row>
    <row r="2601" spans="2:4" ht="16" thickBot="1" x14ac:dyDescent="0.25">
      <c r="B2601" s="5">
        <v>2596</v>
      </c>
      <c r="C2601" s="11">
        <v>100.9587452665867</v>
      </c>
      <c r="D2601" s="42"/>
    </row>
    <row r="2602" spans="2:4" ht="16" thickBot="1" x14ac:dyDescent="0.25">
      <c r="B2602" s="4">
        <v>2597</v>
      </c>
      <c r="C2602" s="10">
        <v>299.61261365594004</v>
      </c>
      <c r="D2602" s="42"/>
    </row>
    <row r="2603" spans="2:4" ht="16" thickBot="1" x14ac:dyDescent="0.25">
      <c r="B2603" s="5">
        <v>2598</v>
      </c>
      <c r="C2603" s="11">
        <v>548.65519565840043</v>
      </c>
      <c r="D2603" s="42"/>
    </row>
    <row r="2604" spans="2:4" ht="16" thickBot="1" x14ac:dyDescent="0.25">
      <c r="B2604" s="4">
        <v>2599</v>
      </c>
      <c r="C2604" s="10">
        <v>178.61853766271344</v>
      </c>
      <c r="D2604" s="42"/>
    </row>
    <row r="2605" spans="2:4" ht="16" thickBot="1" x14ac:dyDescent="0.25">
      <c r="B2605" s="5">
        <v>2600</v>
      </c>
      <c r="C2605" s="11">
        <v>312.99753646708132</v>
      </c>
      <c r="D2605" s="42"/>
    </row>
    <row r="2606" spans="2:4" ht="16" thickBot="1" x14ac:dyDescent="0.25">
      <c r="B2606" s="4">
        <v>2601</v>
      </c>
      <c r="C2606" s="10">
        <v>45.934210437958065</v>
      </c>
      <c r="D2606" s="42"/>
    </row>
    <row r="2607" spans="2:4" ht="16" thickBot="1" x14ac:dyDescent="0.25">
      <c r="B2607" s="5">
        <v>2602</v>
      </c>
      <c r="C2607" s="11">
        <v>341.33608231378639</v>
      </c>
      <c r="D2607" s="42"/>
    </row>
    <row r="2608" spans="2:4" ht="16" thickBot="1" x14ac:dyDescent="0.25">
      <c r="B2608" s="4">
        <v>2603</v>
      </c>
      <c r="C2608" s="10">
        <v>38.460871694014074</v>
      </c>
      <c r="D2608" s="42"/>
    </row>
    <row r="2609" spans="2:4" ht="16" thickBot="1" x14ac:dyDescent="0.25">
      <c r="B2609" s="5">
        <v>2604</v>
      </c>
      <c r="C2609" s="11">
        <v>146.77773366428727</v>
      </c>
      <c r="D2609" s="42"/>
    </row>
    <row r="2610" spans="2:4" ht="16" thickBot="1" x14ac:dyDescent="0.25">
      <c r="B2610" s="4">
        <v>2605</v>
      </c>
      <c r="C2610" s="10">
        <v>347.58352499294745</v>
      </c>
      <c r="D2610" s="42"/>
    </row>
    <row r="2611" spans="2:4" ht="16" thickBot="1" x14ac:dyDescent="0.25">
      <c r="B2611" s="5">
        <v>2606</v>
      </c>
      <c r="C2611" s="11">
        <v>405.14003398964235</v>
      </c>
      <c r="D2611" s="42"/>
    </row>
    <row r="2612" spans="2:4" ht="16" thickBot="1" x14ac:dyDescent="0.25">
      <c r="B2612" s="4">
        <v>2607</v>
      </c>
      <c r="C2612" s="10">
        <v>155.70448124105076</v>
      </c>
      <c r="D2612" s="42"/>
    </row>
    <row r="2613" spans="2:4" ht="16" thickBot="1" x14ac:dyDescent="0.25">
      <c r="B2613" s="5">
        <v>2608</v>
      </c>
      <c r="C2613" s="11">
        <v>193.81396317478226</v>
      </c>
      <c r="D2613" s="42"/>
    </row>
    <row r="2614" spans="2:4" ht="16" thickBot="1" x14ac:dyDescent="0.25">
      <c r="B2614" s="4">
        <v>2609</v>
      </c>
      <c r="C2614" s="10">
        <v>159.24568372921348</v>
      </c>
      <c r="D2614" s="42"/>
    </row>
    <row r="2615" spans="2:4" ht="16" thickBot="1" x14ac:dyDescent="0.25">
      <c r="B2615" s="5">
        <v>2610</v>
      </c>
      <c r="C2615" s="11">
        <v>114.04358015660721</v>
      </c>
      <c r="D2615" s="42"/>
    </row>
    <row r="2616" spans="2:4" ht="16" thickBot="1" x14ac:dyDescent="0.25">
      <c r="B2616" s="4">
        <v>2611</v>
      </c>
      <c r="C2616" s="10">
        <v>116.2137382458187</v>
      </c>
      <c r="D2616" s="42"/>
    </row>
    <row r="2617" spans="2:4" ht="16" thickBot="1" x14ac:dyDescent="0.25">
      <c r="B2617" s="5">
        <v>2612</v>
      </c>
      <c r="C2617" s="11">
        <v>257.40588580478692</v>
      </c>
      <c r="D2617" s="42"/>
    </row>
    <row r="2618" spans="2:4" ht="16" thickBot="1" x14ac:dyDescent="0.25">
      <c r="B2618" s="4">
        <v>2613</v>
      </c>
      <c r="C2618" s="10">
        <v>291.55347749562463</v>
      </c>
      <c r="D2618" s="42"/>
    </row>
    <row r="2619" spans="2:4" ht="16" thickBot="1" x14ac:dyDescent="0.25">
      <c r="B2619" s="5">
        <v>2614</v>
      </c>
      <c r="C2619" s="11">
        <v>166.22958590730451</v>
      </c>
      <c r="D2619" s="42"/>
    </row>
    <row r="2620" spans="2:4" ht="16" thickBot="1" x14ac:dyDescent="0.25">
      <c r="B2620" s="4">
        <v>2615</v>
      </c>
      <c r="C2620" s="10">
        <v>597.55159867395548</v>
      </c>
      <c r="D2620" s="42"/>
    </row>
    <row r="2621" spans="2:4" ht="16" thickBot="1" x14ac:dyDescent="0.25">
      <c r="B2621" s="5">
        <v>2616</v>
      </c>
      <c r="C2621" s="11">
        <v>931.93909003268914</v>
      </c>
      <c r="D2621" s="42"/>
    </row>
    <row r="2622" spans="2:4" ht="16" thickBot="1" x14ac:dyDescent="0.25">
      <c r="B2622" s="4">
        <v>2617</v>
      </c>
      <c r="C2622" s="10">
        <v>153.84795027430167</v>
      </c>
      <c r="D2622" s="42"/>
    </row>
    <row r="2623" spans="2:4" ht="16" thickBot="1" x14ac:dyDescent="0.25">
      <c r="B2623" s="5">
        <v>2618</v>
      </c>
      <c r="C2623" s="11">
        <v>71.354414092140146</v>
      </c>
      <c r="D2623" s="42"/>
    </row>
    <row r="2624" spans="2:4" ht="16" thickBot="1" x14ac:dyDescent="0.25">
      <c r="B2624" s="4">
        <v>2619</v>
      </c>
      <c r="C2624" s="10">
        <v>432.39725985579577</v>
      </c>
      <c r="D2624" s="42"/>
    </row>
    <row r="2625" spans="2:4" ht="16" thickBot="1" x14ac:dyDescent="0.25">
      <c r="B2625" s="5">
        <v>2620</v>
      </c>
      <c r="C2625" s="11">
        <v>487.13849899821435</v>
      </c>
      <c r="D2625" s="42"/>
    </row>
    <row r="2626" spans="2:4" ht="16" thickBot="1" x14ac:dyDescent="0.25">
      <c r="B2626" s="4">
        <v>2621</v>
      </c>
      <c r="C2626" s="10">
        <v>99.798137217682992</v>
      </c>
      <c r="D2626" s="42"/>
    </row>
    <row r="2627" spans="2:4" ht="16" thickBot="1" x14ac:dyDescent="0.25">
      <c r="B2627" s="5">
        <v>2622</v>
      </c>
      <c r="C2627" s="11">
        <v>201.77773109533996</v>
      </c>
      <c r="D2627" s="42"/>
    </row>
    <row r="2628" spans="2:4" ht="16" thickBot="1" x14ac:dyDescent="0.25">
      <c r="B2628" s="4">
        <v>2623</v>
      </c>
      <c r="C2628" s="10">
        <v>80.792688559821443</v>
      </c>
      <c r="D2628" s="42"/>
    </row>
    <row r="2629" spans="2:4" ht="16" thickBot="1" x14ac:dyDescent="0.25">
      <c r="B2629" s="5">
        <v>2624</v>
      </c>
      <c r="C2629" s="11">
        <v>686.39420354706158</v>
      </c>
      <c r="D2629" s="42"/>
    </row>
    <row r="2630" spans="2:4" ht="16" thickBot="1" x14ac:dyDescent="0.25">
      <c r="B2630" s="4">
        <v>2625</v>
      </c>
      <c r="C2630" s="10">
        <v>215.62331981666651</v>
      </c>
      <c r="D2630" s="42"/>
    </row>
    <row r="2631" spans="2:4" ht="16" thickBot="1" x14ac:dyDescent="0.25">
      <c r="B2631" s="5">
        <v>2626</v>
      </c>
      <c r="C2631" s="11">
        <v>140.49010794846487</v>
      </c>
      <c r="D2631" s="42"/>
    </row>
    <row r="2632" spans="2:4" ht="16" thickBot="1" x14ac:dyDescent="0.25">
      <c r="B2632" s="4">
        <v>2627</v>
      </c>
      <c r="C2632" s="10">
        <v>272.55988724514293</v>
      </c>
      <c r="D2632" s="42"/>
    </row>
    <row r="2633" spans="2:4" ht="16" thickBot="1" x14ac:dyDescent="0.25">
      <c r="B2633" s="5">
        <v>2628</v>
      </c>
      <c r="C2633" s="11">
        <v>126.41557892045593</v>
      </c>
      <c r="D2633" s="42"/>
    </row>
    <row r="2634" spans="2:4" ht="16" thickBot="1" x14ac:dyDescent="0.25">
      <c r="B2634" s="4">
        <v>2629</v>
      </c>
      <c r="C2634" s="10">
        <v>258.0749600579731</v>
      </c>
      <c r="D2634" s="42"/>
    </row>
    <row r="2635" spans="2:4" ht="16" thickBot="1" x14ac:dyDescent="0.25">
      <c r="B2635" s="5">
        <v>2630</v>
      </c>
      <c r="C2635" s="11">
        <v>164.9357842444625</v>
      </c>
      <c r="D2635" s="42"/>
    </row>
    <row r="2636" spans="2:4" ht="16" thickBot="1" x14ac:dyDescent="0.25">
      <c r="B2636" s="4">
        <v>2631</v>
      </c>
      <c r="C2636" s="10">
        <v>159.31207965340812</v>
      </c>
      <c r="D2636" s="42"/>
    </row>
    <row r="2637" spans="2:4" ht="16" thickBot="1" x14ac:dyDescent="0.25">
      <c r="B2637" s="5">
        <v>2632</v>
      </c>
      <c r="C2637" s="11">
        <v>396.52802008671409</v>
      </c>
      <c r="D2637" s="42"/>
    </row>
    <row r="2638" spans="2:4" ht="16" thickBot="1" x14ac:dyDescent="0.25">
      <c r="B2638" s="4">
        <v>2633</v>
      </c>
      <c r="C2638" s="10">
        <v>486.86084148900341</v>
      </c>
      <c r="D2638" s="42"/>
    </row>
    <row r="2639" spans="2:4" ht="16" thickBot="1" x14ac:dyDescent="0.25">
      <c r="B2639" s="5">
        <v>2634</v>
      </c>
      <c r="C2639" s="11">
        <v>525.01825045714395</v>
      </c>
      <c r="D2639" s="42"/>
    </row>
    <row r="2640" spans="2:4" ht="16" thickBot="1" x14ac:dyDescent="0.25">
      <c r="B2640" s="4">
        <v>2635</v>
      </c>
      <c r="C2640" s="10">
        <v>284.00248837526749</v>
      </c>
      <c r="D2640" s="42"/>
    </row>
    <row r="2641" spans="2:4" ht="16" thickBot="1" x14ac:dyDescent="0.25">
      <c r="B2641" s="5">
        <v>2636</v>
      </c>
      <c r="C2641" s="11">
        <v>318.65084259334753</v>
      </c>
      <c r="D2641" s="42"/>
    </row>
    <row r="2642" spans="2:4" ht="16" thickBot="1" x14ac:dyDescent="0.25">
      <c r="B2642" s="4">
        <v>2637</v>
      </c>
      <c r="C2642" s="10">
        <v>306.02600666028053</v>
      </c>
      <c r="D2642" s="42"/>
    </row>
    <row r="2643" spans="2:4" ht="16" thickBot="1" x14ac:dyDescent="0.25">
      <c r="B2643" s="5">
        <v>2638</v>
      </c>
      <c r="C2643" s="11">
        <v>563.03989687477861</v>
      </c>
      <c r="D2643" s="42"/>
    </row>
    <row r="2644" spans="2:4" ht="16" thickBot="1" x14ac:dyDescent="0.25">
      <c r="B2644" s="4">
        <v>2639</v>
      </c>
      <c r="C2644" s="10">
        <v>376.61642310143685</v>
      </c>
      <c r="D2644" s="42"/>
    </row>
    <row r="2645" spans="2:4" ht="16" thickBot="1" x14ac:dyDescent="0.25">
      <c r="B2645" s="5">
        <v>2640</v>
      </c>
      <c r="C2645" s="11">
        <v>110.87170908287118</v>
      </c>
      <c r="D2645" s="42"/>
    </row>
    <row r="2646" spans="2:4" ht="16" thickBot="1" x14ac:dyDescent="0.25">
      <c r="B2646" s="4">
        <v>2641</v>
      </c>
      <c r="C2646" s="10">
        <v>312.37192283221157</v>
      </c>
      <c r="D2646" s="42"/>
    </row>
    <row r="2647" spans="2:4" ht="16" thickBot="1" x14ac:dyDescent="0.25">
      <c r="B2647" s="5">
        <v>2642</v>
      </c>
      <c r="C2647" s="11">
        <v>762.17711810147898</v>
      </c>
      <c r="D2647" s="42"/>
    </row>
    <row r="2648" spans="2:4" ht="16" thickBot="1" x14ac:dyDescent="0.25">
      <c r="B2648" s="4">
        <v>2643</v>
      </c>
      <c r="C2648" s="10">
        <v>256.55340528030627</v>
      </c>
      <c r="D2648" s="42"/>
    </row>
    <row r="2649" spans="2:4" ht="16" thickBot="1" x14ac:dyDescent="0.25">
      <c r="B2649" s="5">
        <v>2644</v>
      </c>
      <c r="C2649" s="11">
        <v>104.3281373568369</v>
      </c>
      <c r="D2649" s="42"/>
    </row>
    <row r="2650" spans="2:4" ht="16" thickBot="1" x14ac:dyDescent="0.25">
      <c r="B2650" s="4">
        <v>2645</v>
      </c>
      <c r="C2650" s="10">
        <v>120.19642877440258</v>
      </c>
      <c r="D2650" s="42"/>
    </row>
    <row r="2651" spans="2:4" ht="16" thickBot="1" x14ac:dyDescent="0.25">
      <c r="B2651" s="5">
        <v>2646</v>
      </c>
      <c r="C2651" s="11">
        <v>191.65243926532747</v>
      </c>
      <c r="D2651" s="42"/>
    </row>
    <row r="2652" spans="2:4" ht="16" thickBot="1" x14ac:dyDescent="0.25">
      <c r="B2652" s="4">
        <v>2647</v>
      </c>
      <c r="C2652" s="10">
        <v>135.62561098343377</v>
      </c>
      <c r="D2652" s="42"/>
    </row>
    <row r="2653" spans="2:4" ht="16" thickBot="1" x14ac:dyDescent="0.25">
      <c r="B2653" s="5">
        <v>2648</v>
      </c>
      <c r="C2653" s="11">
        <v>331.35145605038059</v>
      </c>
      <c r="D2653" s="42"/>
    </row>
    <row r="2654" spans="2:4" ht="16" thickBot="1" x14ac:dyDescent="0.25">
      <c r="B2654" s="4">
        <v>2649</v>
      </c>
      <c r="C2654" s="10">
        <v>178.40971157238539</v>
      </c>
      <c r="D2654" s="42"/>
    </row>
    <row r="2655" spans="2:4" ht="16" thickBot="1" x14ac:dyDescent="0.25">
      <c r="B2655" s="5">
        <v>2650</v>
      </c>
      <c r="C2655" s="11">
        <v>355.98672126003544</v>
      </c>
      <c r="D2655" s="42"/>
    </row>
    <row r="2656" spans="2:4" ht="16" thickBot="1" x14ac:dyDescent="0.25">
      <c r="B2656" s="4">
        <v>2651</v>
      </c>
      <c r="C2656" s="10">
        <v>290.9133028917696</v>
      </c>
      <c r="D2656" s="42"/>
    </row>
    <row r="2657" spans="2:4" ht="16" thickBot="1" x14ac:dyDescent="0.25">
      <c r="B2657" s="5">
        <v>2652</v>
      </c>
      <c r="C2657" s="11">
        <v>223.00578987937871</v>
      </c>
      <c r="D2657" s="42"/>
    </row>
    <row r="2658" spans="2:4" ht="16" thickBot="1" x14ac:dyDescent="0.25">
      <c r="B2658" s="4">
        <v>2653</v>
      </c>
      <c r="C2658" s="10">
        <v>104.12857965319331</v>
      </c>
      <c r="D2658" s="42"/>
    </row>
    <row r="2659" spans="2:4" ht="16" thickBot="1" x14ac:dyDescent="0.25">
      <c r="B2659" s="5">
        <v>2654</v>
      </c>
      <c r="C2659" s="11">
        <v>107.76000846017092</v>
      </c>
      <c r="D2659" s="42"/>
    </row>
    <row r="2660" spans="2:4" ht="16" thickBot="1" x14ac:dyDescent="0.25">
      <c r="B2660" s="4">
        <v>2655</v>
      </c>
      <c r="C2660" s="10">
        <v>137.36445951984339</v>
      </c>
      <c r="D2660" s="42"/>
    </row>
    <row r="2661" spans="2:4" ht="16" thickBot="1" x14ac:dyDescent="0.25">
      <c r="B2661" s="5">
        <v>2656</v>
      </c>
      <c r="C2661" s="11">
        <v>232.56488194872165</v>
      </c>
      <c r="D2661" s="42"/>
    </row>
    <row r="2662" spans="2:4" ht="16" thickBot="1" x14ac:dyDescent="0.25">
      <c r="B2662" s="4">
        <v>2657</v>
      </c>
      <c r="C2662" s="10">
        <v>241.21670998812925</v>
      </c>
      <c r="D2662" s="42"/>
    </row>
    <row r="2663" spans="2:4" ht="16" thickBot="1" x14ac:dyDescent="0.25">
      <c r="B2663" s="5">
        <v>2658</v>
      </c>
      <c r="C2663" s="11">
        <v>143.67530178630815</v>
      </c>
      <c r="D2663" s="42"/>
    </row>
    <row r="2664" spans="2:4" ht="16" thickBot="1" x14ac:dyDescent="0.25">
      <c r="B2664" s="4">
        <v>2659</v>
      </c>
      <c r="C2664" s="10">
        <v>469.77436390875488</v>
      </c>
      <c r="D2664" s="42"/>
    </row>
    <row r="2665" spans="2:4" ht="16" thickBot="1" x14ac:dyDescent="0.25">
      <c r="B2665" s="5">
        <v>2660</v>
      </c>
      <c r="C2665" s="11">
        <v>307.38934981635379</v>
      </c>
      <c r="D2665" s="42"/>
    </row>
    <row r="2666" spans="2:4" ht="16" thickBot="1" x14ac:dyDescent="0.25">
      <c r="B2666" s="4">
        <v>2661</v>
      </c>
      <c r="C2666" s="10">
        <v>76.803520743779828</v>
      </c>
      <c r="D2666" s="42"/>
    </row>
    <row r="2667" spans="2:4" ht="16" thickBot="1" x14ac:dyDescent="0.25">
      <c r="B2667" s="5">
        <v>2662</v>
      </c>
      <c r="C2667" s="11">
        <v>145.61438674332248</v>
      </c>
      <c r="D2667" s="42"/>
    </row>
    <row r="2668" spans="2:4" ht="16" thickBot="1" x14ac:dyDescent="0.25">
      <c r="B2668" s="4">
        <v>2663</v>
      </c>
      <c r="C2668" s="10">
        <v>121.84509887350274</v>
      </c>
      <c r="D2668" s="42"/>
    </row>
    <row r="2669" spans="2:4" ht="16" thickBot="1" x14ac:dyDescent="0.25">
      <c r="B2669" s="5">
        <v>2664</v>
      </c>
      <c r="C2669" s="11">
        <v>100.42068859247621</v>
      </c>
      <c r="D2669" s="42"/>
    </row>
    <row r="2670" spans="2:4" ht="16" thickBot="1" x14ac:dyDescent="0.25">
      <c r="B2670" s="4">
        <v>2665</v>
      </c>
      <c r="C2670" s="10">
        <v>656.54494952638072</v>
      </c>
      <c r="D2670" s="42"/>
    </row>
    <row r="2671" spans="2:4" ht="16" thickBot="1" x14ac:dyDescent="0.25">
      <c r="B2671" s="5">
        <v>2666</v>
      </c>
      <c r="C2671" s="11">
        <v>385.90388760052849</v>
      </c>
      <c r="D2671" s="42"/>
    </row>
    <row r="2672" spans="2:4" ht="16" thickBot="1" x14ac:dyDescent="0.25">
      <c r="B2672" s="4">
        <v>2667</v>
      </c>
      <c r="C2672" s="10">
        <v>147.55641819493641</v>
      </c>
      <c r="D2672" s="42"/>
    </row>
    <row r="2673" spans="2:4" ht="16" thickBot="1" x14ac:dyDescent="0.25">
      <c r="B2673" s="5">
        <v>2668</v>
      </c>
      <c r="C2673" s="11">
        <v>224.84167163879937</v>
      </c>
      <c r="D2673" s="42"/>
    </row>
    <row r="2674" spans="2:4" ht="16" thickBot="1" x14ac:dyDescent="0.25">
      <c r="B2674" s="4">
        <v>2669</v>
      </c>
      <c r="C2674" s="10">
        <v>353.00737180270772</v>
      </c>
      <c r="D2674" s="42"/>
    </row>
    <row r="2675" spans="2:4" ht="16" thickBot="1" x14ac:dyDescent="0.25">
      <c r="B2675" s="5">
        <v>2670</v>
      </c>
      <c r="C2675" s="11">
        <v>740.64528181811818</v>
      </c>
      <c r="D2675" s="42"/>
    </row>
    <row r="2676" spans="2:4" ht="16" thickBot="1" x14ac:dyDescent="0.25">
      <c r="B2676" s="4">
        <v>2671</v>
      </c>
      <c r="C2676" s="10">
        <v>196.63915984206383</v>
      </c>
      <c r="D2676" s="42"/>
    </row>
    <row r="2677" spans="2:4" ht="16" thickBot="1" x14ac:dyDescent="0.25">
      <c r="B2677" s="5">
        <v>2672</v>
      </c>
      <c r="C2677" s="11">
        <v>138.14916301625519</v>
      </c>
      <c r="D2677" s="42"/>
    </row>
    <row r="2678" spans="2:4" ht="16" thickBot="1" x14ac:dyDescent="0.25">
      <c r="B2678" s="4">
        <v>2673</v>
      </c>
      <c r="C2678" s="10">
        <v>217.77160386792303</v>
      </c>
      <c r="D2678" s="42"/>
    </row>
    <row r="2679" spans="2:4" ht="16" thickBot="1" x14ac:dyDescent="0.25">
      <c r="B2679" s="5">
        <v>2674</v>
      </c>
      <c r="C2679" s="11">
        <v>120.91702438095408</v>
      </c>
      <c r="D2679" s="42"/>
    </row>
    <row r="2680" spans="2:4" ht="16" thickBot="1" x14ac:dyDescent="0.25">
      <c r="B2680" s="4">
        <v>2675</v>
      </c>
      <c r="C2680" s="10">
        <v>678.22548620069517</v>
      </c>
      <c r="D2680" s="42"/>
    </row>
    <row r="2681" spans="2:4" ht="16" thickBot="1" x14ac:dyDescent="0.25">
      <c r="B2681" s="5">
        <v>2676</v>
      </c>
      <c r="C2681" s="11">
        <v>66.296097762012124</v>
      </c>
      <c r="D2681" s="42"/>
    </row>
    <row r="2682" spans="2:4" ht="16" thickBot="1" x14ac:dyDescent="0.25">
      <c r="B2682" s="4">
        <v>2677</v>
      </c>
      <c r="C2682" s="10">
        <v>289.61038384001688</v>
      </c>
      <c r="D2682" s="42"/>
    </row>
    <row r="2683" spans="2:4" ht="16" thickBot="1" x14ac:dyDescent="0.25">
      <c r="B2683" s="5">
        <v>2678</v>
      </c>
      <c r="C2683" s="11">
        <v>244.73061976059503</v>
      </c>
      <c r="D2683" s="42"/>
    </row>
    <row r="2684" spans="2:4" ht="16" thickBot="1" x14ac:dyDescent="0.25">
      <c r="B2684" s="4">
        <v>2679</v>
      </c>
      <c r="C2684" s="10">
        <v>345.06021726049784</v>
      </c>
      <c r="D2684" s="42"/>
    </row>
    <row r="2685" spans="2:4" ht="16" thickBot="1" x14ac:dyDescent="0.25">
      <c r="B2685" s="5">
        <v>2680</v>
      </c>
      <c r="C2685" s="11">
        <v>354.20834302857327</v>
      </c>
      <c r="D2685" s="42"/>
    </row>
    <row r="2686" spans="2:4" ht="16" thickBot="1" x14ac:dyDescent="0.25">
      <c r="B2686" s="4">
        <v>2681</v>
      </c>
      <c r="C2686" s="10">
        <v>469.1089175458016</v>
      </c>
      <c r="D2686" s="42"/>
    </row>
    <row r="2687" spans="2:4" ht="16" thickBot="1" x14ac:dyDescent="0.25">
      <c r="B2687" s="5">
        <v>2682</v>
      </c>
      <c r="C2687" s="11">
        <v>358.17905261601328</v>
      </c>
      <c r="D2687" s="42"/>
    </row>
    <row r="2688" spans="2:4" ht="16" thickBot="1" x14ac:dyDescent="0.25">
      <c r="B2688" s="4">
        <v>2683</v>
      </c>
      <c r="C2688" s="10">
        <v>140.51974615681578</v>
      </c>
      <c r="D2688" s="42"/>
    </row>
    <row r="2689" spans="2:4" ht="16" thickBot="1" x14ac:dyDescent="0.25">
      <c r="B2689" s="5">
        <v>2684</v>
      </c>
      <c r="C2689" s="11">
        <v>382.31100866685654</v>
      </c>
      <c r="D2689" s="42"/>
    </row>
    <row r="2690" spans="2:4" ht="16" thickBot="1" x14ac:dyDescent="0.25">
      <c r="B2690" s="4">
        <v>2685</v>
      </c>
      <c r="C2690" s="10">
        <v>160.34943384373972</v>
      </c>
      <c r="D2690" s="42"/>
    </row>
    <row r="2691" spans="2:4" ht="16" thickBot="1" x14ac:dyDescent="0.25">
      <c r="B2691" s="5">
        <v>2686</v>
      </c>
      <c r="C2691" s="11">
        <v>554.97462935218562</v>
      </c>
      <c r="D2691" s="42"/>
    </row>
    <row r="2692" spans="2:4" ht="16" thickBot="1" x14ac:dyDescent="0.25">
      <c r="B2692" s="4">
        <v>2687</v>
      </c>
      <c r="C2692" s="10">
        <v>160.57450861888643</v>
      </c>
      <c r="D2692" s="42"/>
    </row>
    <row r="2693" spans="2:4" ht="16" thickBot="1" x14ac:dyDescent="0.25">
      <c r="B2693" s="5">
        <v>2688</v>
      </c>
      <c r="C2693" s="11">
        <v>72.638830539385211</v>
      </c>
      <c r="D2693" s="42"/>
    </row>
    <row r="2694" spans="2:4" ht="16" thickBot="1" x14ac:dyDescent="0.25">
      <c r="B2694" s="4">
        <v>2689</v>
      </c>
      <c r="C2694" s="10">
        <v>82.183654375844256</v>
      </c>
      <c r="D2694" s="42"/>
    </row>
    <row r="2695" spans="2:4" ht="16" thickBot="1" x14ac:dyDescent="0.25">
      <c r="B2695" s="5">
        <v>2690</v>
      </c>
      <c r="C2695" s="11">
        <v>106.14425228554019</v>
      </c>
      <c r="D2695" s="42"/>
    </row>
    <row r="2696" spans="2:4" ht="16" thickBot="1" x14ac:dyDescent="0.25">
      <c r="B2696" s="4">
        <v>2691</v>
      </c>
      <c r="C2696" s="10">
        <v>364.04772509937845</v>
      </c>
      <c r="D2696" s="42"/>
    </row>
    <row r="2697" spans="2:4" ht="16" thickBot="1" x14ac:dyDescent="0.25">
      <c r="B2697" s="5">
        <v>2692</v>
      </c>
      <c r="C2697" s="11">
        <v>125.8122039494515</v>
      </c>
      <c r="D2697" s="42"/>
    </row>
    <row r="2698" spans="2:4" ht="16" thickBot="1" x14ac:dyDescent="0.25">
      <c r="B2698" s="4">
        <v>2693</v>
      </c>
      <c r="C2698" s="10">
        <v>152.09126145075135</v>
      </c>
      <c r="D2698" s="42"/>
    </row>
    <row r="2699" spans="2:4" ht="16" thickBot="1" x14ac:dyDescent="0.25">
      <c r="B2699" s="5">
        <v>2694</v>
      </c>
      <c r="C2699" s="11">
        <v>209.34456129694695</v>
      </c>
      <c r="D2699" s="42"/>
    </row>
    <row r="2700" spans="2:4" ht="16" thickBot="1" x14ac:dyDescent="0.25">
      <c r="B2700" s="4">
        <v>2695</v>
      </c>
      <c r="C2700" s="10">
        <v>206.36866244321325</v>
      </c>
      <c r="D2700" s="42"/>
    </row>
    <row r="2701" spans="2:4" ht="16" thickBot="1" x14ac:dyDescent="0.25">
      <c r="B2701" s="5">
        <v>2696</v>
      </c>
      <c r="C2701" s="11">
        <v>322.84546949557915</v>
      </c>
      <c r="D2701" s="42"/>
    </row>
    <row r="2702" spans="2:4" ht="16" thickBot="1" x14ac:dyDescent="0.25">
      <c r="B2702" s="4">
        <v>2697</v>
      </c>
      <c r="C2702" s="10">
        <v>119.76600863751632</v>
      </c>
      <c r="D2702" s="42"/>
    </row>
    <row r="2703" spans="2:4" ht="16" thickBot="1" x14ac:dyDescent="0.25">
      <c r="B2703" s="5">
        <v>2698</v>
      </c>
      <c r="C2703" s="11">
        <v>166.51382341626609</v>
      </c>
      <c r="D2703" s="42"/>
    </row>
    <row r="2704" spans="2:4" ht="16" thickBot="1" x14ac:dyDescent="0.25">
      <c r="B2704" s="4">
        <v>2699</v>
      </c>
      <c r="C2704" s="10">
        <v>246.82093241460083</v>
      </c>
      <c r="D2704" s="42"/>
    </row>
    <row r="2705" spans="2:4" ht="16" thickBot="1" x14ac:dyDescent="0.25">
      <c r="B2705" s="5">
        <v>2700</v>
      </c>
      <c r="C2705" s="11">
        <v>97.186389863128539</v>
      </c>
      <c r="D2705" s="42"/>
    </row>
    <row r="2706" spans="2:4" ht="16" thickBot="1" x14ac:dyDescent="0.25">
      <c r="B2706" s="4">
        <v>2701</v>
      </c>
      <c r="C2706" s="10">
        <v>104.2565193264311</v>
      </c>
      <c r="D2706" s="42"/>
    </row>
    <row r="2707" spans="2:4" ht="16" thickBot="1" x14ac:dyDescent="0.25">
      <c r="B2707" s="5">
        <v>2702</v>
      </c>
      <c r="C2707" s="11">
        <v>268.21668309817835</v>
      </c>
      <c r="D2707" s="42"/>
    </row>
    <row r="2708" spans="2:4" ht="16" thickBot="1" x14ac:dyDescent="0.25">
      <c r="B2708" s="4">
        <v>2703</v>
      </c>
      <c r="C2708" s="10">
        <v>257.24955166600108</v>
      </c>
      <c r="D2708" s="42"/>
    </row>
    <row r="2709" spans="2:4" ht="16" thickBot="1" x14ac:dyDescent="0.25">
      <c r="B2709" s="5">
        <v>2704</v>
      </c>
      <c r="C2709" s="11">
        <v>319.11437714956998</v>
      </c>
      <c r="D2709" s="42"/>
    </row>
    <row r="2710" spans="2:4" ht="16" thickBot="1" x14ac:dyDescent="0.25">
      <c r="B2710" s="4">
        <v>2705</v>
      </c>
      <c r="C2710" s="10">
        <v>349.6519746362996</v>
      </c>
      <c r="D2710" s="42"/>
    </row>
    <row r="2711" spans="2:4" ht="16" thickBot="1" x14ac:dyDescent="0.25">
      <c r="B2711" s="5">
        <v>2706</v>
      </c>
      <c r="C2711" s="11">
        <v>454.13391361097536</v>
      </c>
      <c r="D2711" s="42"/>
    </row>
    <row r="2712" spans="2:4" ht="16" thickBot="1" x14ac:dyDescent="0.25">
      <c r="B2712" s="4">
        <v>2707</v>
      </c>
      <c r="C2712" s="10">
        <v>329.9581314177592</v>
      </c>
      <c r="D2712" s="42"/>
    </row>
    <row r="2713" spans="2:4" ht="16" thickBot="1" x14ac:dyDescent="0.25">
      <c r="B2713" s="5">
        <v>2708</v>
      </c>
      <c r="C2713" s="11">
        <v>669.68459313554445</v>
      </c>
      <c r="D2713" s="42"/>
    </row>
    <row r="2714" spans="2:4" ht="16" thickBot="1" x14ac:dyDescent="0.25">
      <c r="B2714" s="4">
        <v>2709</v>
      </c>
      <c r="C2714" s="10">
        <v>303.8957868912612</v>
      </c>
      <c r="D2714" s="42"/>
    </row>
    <row r="2715" spans="2:4" ht="16" thickBot="1" x14ac:dyDescent="0.25">
      <c r="B2715" s="5">
        <v>2710</v>
      </c>
      <c r="C2715" s="11">
        <v>84.700688379536729</v>
      </c>
      <c r="D2715" s="42"/>
    </row>
    <row r="2716" spans="2:4" ht="16" thickBot="1" x14ac:dyDescent="0.25">
      <c r="B2716" s="4">
        <v>2711</v>
      </c>
      <c r="C2716" s="10">
        <v>467.90592073711537</v>
      </c>
      <c r="D2716" s="42"/>
    </row>
    <row r="2717" spans="2:4" ht="16" thickBot="1" x14ac:dyDescent="0.25">
      <c r="B2717" s="5">
        <v>2712</v>
      </c>
      <c r="C2717" s="11">
        <v>171.38069627029435</v>
      </c>
      <c r="D2717" s="42"/>
    </row>
    <row r="2718" spans="2:4" ht="16" thickBot="1" x14ac:dyDescent="0.25">
      <c r="B2718" s="4">
        <v>2713</v>
      </c>
      <c r="C2718" s="10">
        <v>273.93551615137972</v>
      </c>
      <c r="D2718" s="42"/>
    </row>
    <row r="2719" spans="2:4" ht="16" thickBot="1" x14ac:dyDescent="0.25">
      <c r="B2719" s="5">
        <v>2714</v>
      </c>
      <c r="C2719" s="11">
        <v>281.18710974157142</v>
      </c>
      <c r="D2719" s="42"/>
    </row>
    <row r="2720" spans="2:4" ht="16" thickBot="1" x14ac:dyDescent="0.25">
      <c r="B2720" s="4">
        <v>2715</v>
      </c>
      <c r="C2720" s="10">
        <v>205.43212953033995</v>
      </c>
      <c r="D2720" s="42"/>
    </row>
    <row r="2721" spans="2:4" ht="16" thickBot="1" x14ac:dyDescent="0.25">
      <c r="B2721" s="5">
        <v>2716</v>
      </c>
      <c r="C2721" s="11">
        <v>301.23674742449276</v>
      </c>
      <c r="D2721" s="42"/>
    </row>
    <row r="2722" spans="2:4" ht="16" thickBot="1" x14ac:dyDescent="0.25">
      <c r="B2722" s="4">
        <v>2717</v>
      </c>
      <c r="C2722" s="10">
        <v>375.78196164800767</v>
      </c>
      <c r="D2722" s="42"/>
    </row>
    <row r="2723" spans="2:4" ht="16" thickBot="1" x14ac:dyDescent="0.25">
      <c r="B2723" s="5">
        <v>2718</v>
      </c>
      <c r="C2723" s="11">
        <v>318.75490657792665</v>
      </c>
      <c r="D2723" s="42"/>
    </row>
    <row r="2724" spans="2:4" ht="16" thickBot="1" x14ac:dyDescent="0.25">
      <c r="B2724" s="4">
        <v>2719</v>
      </c>
      <c r="C2724" s="10">
        <v>301.82762801101273</v>
      </c>
      <c r="D2724" s="42"/>
    </row>
    <row r="2725" spans="2:4" ht="16" thickBot="1" x14ac:dyDescent="0.25">
      <c r="B2725" s="5">
        <v>2720</v>
      </c>
      <c r="C2725" s="11">
        <v>481.10309815563249</v>
      </c>
      <c r="D2725" s="42"/>
    </row>
    <row r="2726" spans="2:4" ht="16" thickBot="1" x14ac:dyDescent="0.25">
      <c r="B2726" s="4">
        <v>2721</v>
      </c>
      <c r="C2726" s="10">
        <v>740.94381821607817</v>
      </c>
      <c r="D2726" s="42"/>
    </row>
    <row r="2727" spans="2:4" ht="16" thickBot="1" x14ac:dyDescent="0.25">
      <c r="B2727" s="5">
        <v>2722</v>
      </c>
      <c r="C2727" s="11">
        <v>325.59178922173754</v>
      </c>
      <c r="D2727" s="42"/>
    </row>
    <row r="2728" spans="2:4" ht="16" thickBot="1" x14ac:dyDescent="0.25">
      <c r="B2728" s="4">
        <v>2723</v>
      </c>
      <c r="C2728" s="10">
        <v>188.29334522678334</v>
      </c>
      <c r="D2728" s="42"/>
    </row>
    <row r="2729" spans="2:4" ht="16" thickBot="1" x14ac:dyDescent="0.25">
      <c r="B2729" s="5">
        <v>2724</v>
      </c>
      <c r="C2729" s="11">
        <v>199.85291927844716</v>
      </c>
      <c r="D2729" s="42"/>
    </row>
    <row r="2730" spans="2:4" ht="16" thickBot="1" x14ac:dyDescent="0.25">
      <c r="B2730" s="4">
        <v>2725</v>
      </c>
      <c r="C2730" s="10">
        <v>283.86209358746248</v>
      </c>
      <c r="D2730" s="42"/>
    </row>
    <row r="2731" spans="2:4" ht="16" thickBot="1" x14ac:dyDescent="0.25">
      <c r="B2731" s="5">
        <v>2726</v>
      </c>
      <c r="C2731" s="11">
        <v>514.88966434946508</v>
      </c>
      <c r="D2731" s="42"/>
    </row>
    <row r="2732" spans="2:4" ht="16" thickBot="1" x14ac:dyDescent="0.25">
      <c r="B2732" s="4">
        <v>2727</v>
      </c>
      <c r="C2732" s="10">
        <v>441.5071569744623</v>
      </c>
      <c r="D2732" s="42"/>
    </row>
    <row r="2733" spans="2:4" ht="16" thickBot="1" x14ac:dyDescent="0.25">
      <c r="B2733" s="5">
        <v>2728</v>
      </c>
      <c r="C2733" s="11">
        <v>103.23655904683282</v>
      </c>
      <c r="D2733" s="42"/>
    </row>
    <row r="2734" spans="2:4" ht="16" thickBot="1" x14ac:dyDescent="0.25">
      <c r="B2734" s="4">
        <v>2729</v>
      </c>
      <c r="C2734" s="10">
        <v>446.37647720954749</v>
      </c>
      <c r="D2734" s="42"/>
    </row>
    <row r="2735" spans="2:4" ht="16" thickBot="1" x14ac:dyDescent="0.25">
      <c r="B2735" s="5">
        <v>2730</v>
      </c>
      <c r="C2735" s="11">
        <v>106.55570747594575</v>
      </c>
      <c r="D2735" s="42"/>
    </row>
    <row r="2736" spans="2:4" ht="16" thickBot="1" x14ac:dyDescent="0.25">
      <c r="B2736" s="4">
        <v>2731</v>
      </c>
      <c r="C2736" s="10">
        <v>172.5291515924269</v>
      </c>
      <c r="D2736" s="42"/>
    </row>
    <row r="2737" spans="2:4" ht="16" thickBot="1" x14ac:dyDescent="0.25">
      <c r="B2737" s="5">
        <v>2732</v>
      </c>
      <c r="C2737" s="11">
        <v>275.35884553843027</v>
      </c>
      <c r="D2737" s="42"/>
    </row>
    <row r="2738" spans="2:4" ht="16" thickBot="1" x14ac:dyDescent="0.25">
      <c r="B2738" s="4">
        <v>2733</v>
      </c>
      <c r="C2738" s="10">
        <v>526.83670592858971</v>
      </c>
      <c r="D2738" s="42"/>
    </row>
    <row r="2739" spans="2:4" ht="16" thickBot="1" x14ac:dyDescent="0.25">
      <c r="B2739" s="5">
        <v>2734</v>
      </c>
      <c r="C2739" s="11">
        <v>311.37909760098654</v>
      </c>
      <c r="D2739" s="42"/>
    </row>
    <row r="2740" spans="2:4" ht="16" thickBot="1" x14ac:dyDescent="0.25">
      <c r="B2740" s="4">
        <v>2735</v>
      </c>
      <c r="C2740" s="10">
        <v>257.54764325571892</v>
      </c>
      <c r="D2740" s="42"/>
    </row>
    <row r="2741" spans="2:4" ht="16" thickBot="1" x14ac:dyDescent="0.25">
      <c r="B2741" s="5">
        <v>2736</v>
      </c>
      <c r="C2741" s="11">
        <v>151.73953971759931</v>
      </c>
      <c r="D2741" s="42"/>
    </row>
    <row r="2742" spans="2:4" ht="16" thickBot="1" x14ac:dyDescent="0.25">
      <c r="B2742" s="4">
        <v>2737</v>
      </c>
      <c r="C2742" s="10">
        <v>401.40423502290218</v>
      </c>
      <c r="D2742" s="42"/>
    </row>
    <row r="2743" spans="2:4" ht="16" thickBot="1" x14ac:dyDescent="0.25">
      <c r="B2743" s="5">
        <v>2738</v>
      </c>
      <c r="C2743" s="11">
        <v>133.61359153129632</v>
      </c>
      <c r="D2743" s="42"/>
    </row>
    <row r="2744" spans="2:4" ht="16" thickBot="1" x14ac:dyDescent="0.25">
      <c r="B2744" s="4">
        <v>2739</v>
      </c>
      <c r="C2744" s="10">
        <v>260.21511502984299</v>
      </c>
      <c r="D2744" s="42"/>
    </row>
    <row r="2745" spans="2:4" ht="16" thickBot="1" x14ac:dyDescent="0.25">
      <c r="B2745" s="5">
        <v>2740</v>
      </c>
      <c r="C2745" s="11">
        <v>213.44390676046871</v>
      </c>
      <c r="D2745" s="42"/>
    </row>
    <row r="2746" spans="2:4" ht="16" thickBot="1" x14ac:dyDescent="0.25">
      <c r="B2746" s="4">
        <v>2741</v>
      </c>
      <c r="C2746" s="10">
        <v>83.158909838961563</v>
      </c>
      <c r="D2746" s="42"/>
    </row>
    <row r="2747" spans="2:4" ht="16" thickBot="1" x14ac:dyDescent="0.25">
      <c r="B2747" s="5">
        <v>2742</v>
      </c>
      <c r="C2747" s="11">
        <v>171.70528486737851</v>
      </c>
      <c r="D2747" s="42"/>
    </row>
    <row r="2748" spans="2:4" ht="16" thickBot="1" x14ac:dyDescent="0.25">
      <c r="B2748" s="4">
        <v>2743</v>
      </c>
      <c r="C2748" s="10">
        <v>278.38570592646869</v>
      </c>
      <c r="D2748" s="42"/>
    </row>
    <row r="2749" spans="2:4" ht="16" thickBot="1" x14ac:dyDescent="0.25">
      <c r="B2749" s="5">
        <v>2744</v>
      </c>
      <c r="C2749" s="11">
        <v>348.62753790432885</v>
      </c>
      <c r="D2749" s="42"/>
    </row>
    <row r="2750" spans="2:4" ht="16" thickBot="1" x14ac:dyDescent="0.25">
      <c r="B2750" s="4">
        <v>2745</v>
      </c>
      <c r="C2750" s="10">
        <v>70.210565053925151</v>
      </c>
      <c r="D2750" s="42"/>
    </row>
    <row r="2751" spans="2:4" ht="16" thickBot="1" x14ac:dyDescent="0.25">
      <c r="B2751" s="5">
        <v>2746</v>
      </c>
      <c r="C2751" s="11">
        <v>480.43364910517386</v>
      </c>
      <c r="D2751" s="42"/>
    </row>
    <row r="2752" spans="2:4" ht="16" thickBot="1" x14ac:dyDescent="0.25">
      <c r="B2752" s="4">
        <v>2747</v>
      </c>
      <c r="C2752" s="10">
        <v>344.38607956264093</v>
      </c>
      <c r="D2752" s="42"/>
    </row>
    <row r="2753" spans="2:4" ht="16" thickBot="1" x14ac:dyDescent="0.25">
      <c r="B2753" s="5">
        <v>2748</v>
      </c>
      <c r="C2753" s="11">
        <v>111.08351973425648</v>
      </c>
      <c r="D2753" s="42"/>
    </row>
    <row r="2754" spans="2:4" ht="16" thickBot="1" x14ac:dyDescent="0.25">
      <c r="B2754" s="4">
        <v>2749</v>
      </c>
      <c r="C2754" s="10">
        <v>544.11276614894348</v>
      </c>
      <c r="D2754" s="42"/>
    </row>
    <row r="2755" spans="2:4" ht="16" thickBot="1" x14ac:dyDescent="0.25">
      <c r="B2755" s="5">
        <v>2750</v>
      </c>
      <c r="C2755" s="11">
        <v>322.30119920501852</v>
      </c>
      <c r="D2755" s="42"/>
    </row>
    <row r="2756" spans="2:4" ht="16" thickBot="1" x14ac:dyDescent="0.25">
      <c r="B2756" s="4">
        <v>2751</v>
      </c>
      <c r="C2756" s="10">
        <v>251.47753488942735</v>
      </c>
      <c r="D2756" s="42"/>
    </row>
    <row r="2757" spans="2:4" ht="16" thickBot="1" x14ac:dyDescent="0.25">
      <c r="B2757" s="5">
        <v>2752</v>
      </c>
      <c r="C2757" s="11">
        <v>336.69239511804204</v>
      </c>
      <c r="D2757" s="42"/>
    </row>
    <row r="2758" spans="2:4" ht="16" thickBot="1" x14ac:dyDescent="0.25">
      <c r="B2758" s="4">
        <v>2753</v>
      </c>
      <c r="C2758" s="10">
        <v>208.67624247702463</v>
      </c>
      <c r="D2758" s="42"/>
    </row>
    <row r="2759" spans="2:4" ht="16" thickBot="1" x14ac:dyDescent="0.25">
      <c r="B2759" s="5">
        <v>2754</v>
      </c>
      <c r="C2759" s="11">
        <v>248.2931184825255</v>
      </c>
      <c r="D2759" s="42"/>
    </row>
    <row r="2760" spans="2:4" ht="16" thickBot="1" x14ac:dyDescent="0.25">
      <c r="B2760" s="4">
        <v>2755</v>
      </c>
      <c r="C2760" s="10">
        <v>314.22792534442004</v>
      </c>
      <c r="D2760" s="42"/>
    </row>
    <row r="2761" spans="2:4" ht="16" thickBot="1" x14ac:dyDescent="0.25">
      <c r="B2761" s="5">
        <v>2756</v>
      </c>
      <c r="C2761" s="11">
        <v>294.93834733961961</v>
      </c>
      <c r="D2761" s="42"/>
    </row>
    <row r="2762" spans="2:4" ht="16" thickBot="1" x14ac:dyDescent="0.25">
      <c r="B2762" s="4">
        <v>2757</v>
      </c>
      <c r="C2762" s="10">
        <v>151.89784022475155</v>
      </c>
      <c r="D2762" s="42"/>
    </row>
    <row r="2763" spans="2:4" ht="16" thickBot="1" x14ac:dyDescent="0.25">
      <c r="B2763" s="5">
        <v>2758</v>
      </c>
      <c r="C2763" s="11">
        <v>256.50300209036965</v>
      </c>
      <c r="D2763" s="42"/>
    </row>
    <row r="2764" spans="2:4" ht="16" thickBot="1" x14ac:dyDescent="0.25">
      <c r="B2764" s="4">
        <v>2759</v>
      </c>
      <c r="C2764" s="10">
        <v>358.50807990955542</v>
      </c>
      <c r="D2764" s="42"/>
    </row>
    <row r="2765" spans="2:4" ht="16" thickBot="1" x14ac:dyDescent="0.25">
      <c r="B2765" s="5">
        <v>2760</v>
      </c>
      <c r="C2765" s="11">
        <v>145.36012998540104</v>
      </c>
      <c r="D2765" s="42"/>
    </row>
    <row r="2766" spans="2:4" ht="16" thickBot="1" x14ac:dyDescent="0.25">
      <c r="B2766" s="4">
        <v>2761</v>
      </c>
      <c r="C2766" s="10">
        <v>214.75971473863297</v>
      </c>
      <c r="D2766" s="42"/>
    </row>
    <row r="2767" spans="2:4" ht="16" thickBot="1" x14ac:dyDescent="0.25">
      <c r="B2767" s="5">
        <v>2762</v>
      </c>
      <c r="C2767" s="11">
        <v>149.32819409895797</v>
      </c>
      <c r="D2767" s="42"/>
    </row>
    <row r="2768" spans="2:4" ht="16" thickBot="1" x14ac:dyDescent="0.25">
      <c r="B2768" s="4">
        <v>2763</v>
      </c>
      <c r="C2768" s="10">
        <v>300.5492919783614</v>
      </c>
      <c r="D2768" s="42"/>
    </row>
    <row r="2769" spans="2:4" ht="16" thickBot="1" x14ac:dyDescent="0.25">
      <c r="B2769" s="5">
        <v>2764</v>
      </c>
      <c r="C2769" s="11">
        <v>241.371077986296</v>
      </c>
      <c r="D2769" s="42"/>
    </row>
    <row r="2770" spans="2:4" ht="16" thickBot="1" x14ac:dyDescent="0.25">
      <c r="B2770" s="4">
        <v>2765</v>
      </c>
      <c r="C2770" s="10">
        <v>497.39251117227866</v>
      </c>
      <c r="D2770" s="42"/>
    </row>
    <row r="2771" spans="2:4" ht="16" thickBot="1" x14ac:dyDescent="0.25">
      <c r="B2771" s="5">
        <v>2766</v>
      </c>
      <c r="C2771" s="11">
        <v>157.43003802967559</v>
      </c>
      <c r="D2771" s="42"/>
    </row>
    <row r="2772" spans="2:4" ht="16" thickBot="1" x14ac:dyDescent="0.25">
      <c r="B2772" s="4">
        <v>2767</v>
      </c>
      <c r="C2772" s="10">
        <v>296.81275547756115</v>
      </c>
      <c r="D2772" s="42"/>
    </row>
    <row r="2773" spans="2:4" ht="16" thickBot="1" x14ac:dyDescent="0.25">
      <c r="B2773" s="5">
        <v>2768</v>
      </c>
      <c r="C2773" s="11">
        <v>392.5705117680414</v>
      </c>
      <c r="D2773" s="42"/>
    </row>
    <row r="2774" spans="2:4" ht="16" thickBot="1" x14ac:dyDescent="0.25">
      <c r="B2774" s="4">
        <v>2769</v>
      </c>
      <c r="C2774" s="10">
        <v>253.77576585876128</v>
      </c>
      <c r="D2774" s="42"/>
    </row>
    <row r="2775" spans="2:4" ht="16" thickBot="1" x14ac:dyDescent="0.25">
      <c r="B2775" s="5">
        <v>2770</v>
      </c>
      <c r="C2775" s="11">
        <v>47.758296626754245</v>
      </c>
      <c r="D2775" s="42"/>
    </row>
    <row r="2776" spans="2:4" ht="16" thickBot="1" x14ac:dyDescent="0.25">
      <c r="B2776" s="4">
        <v>2771</v>
      </c>
      <c r="C2776" s="10">
        <v>410.73157364770634</v>
      </c>
      <c r="D2776" s="42"/>
    </row>
    <row r="2777" spans="2:4" ht="16" thickBot="1" x14ac:dyDescent="0.25">
      <c r="B2777" s="5">
        <v>2772</v>
      </c>
      <c r="C2777" s="11">
        <v>206.17549786858717</v>
      </c>
      <c r="D2777" s="42"/>
    </row>
    <row r="2778" spans="2:4" ht="16" thickBot="1" x14ac:dyDescent="0.25">
      <c r="B2778" s="4">
        <v>2773</v>
      </c>
      <c r="C2778" s="10">
        <v>338.34228339966791</v>
      </c>
      <c r="D2778" s="42"/>
    </row>
    <row r="2779" spans="2:4" ht="16" thickBot="1" x14ac:dyDescent="0.25">
      <c r="B2779" s="5">
        <v>2774</v>
      </c>
      <c r="C2779" s="11">
        <v>517.72418764264989</v>
      </c>
      <c r="D2779" s="42"/>
    </row>
    <row r="2780" spans="2:4" ht="16" thickBot="1" x14ac:dyDescent="0.25">
      <c r="B2780" s="4">
        <v>2775</v>
      </c>
      <c r="C2780" s="10">
        <v>316.78177549645926</v>
      </c>
      <c r="D2780" s="42"/>
    </row>
    <row r="2781" spans="2:4" ht="16" thickBot="1" x14ac:dyDescent="0.25">
      <c r="B2781" s="5">
        <v>2776</v>
      </c>
      <c r="C2781" s="11">
        <v>181.51659051841284</v>
      </c>
      <c r="D2781" s="42"/>
    </row>
    <row r="2782" spans="2:4" ht="16" thickBot="1" x14ac:dyDescent="0.25">
      <c r="B2782" s="4">
        <v>2777</v>
      </c>
      <c r="C2782" s="10">
        <v>302.49073127131572</v>
      </c>
      <c r="D2782" s="42"/>
    </row>
    <row r="2783" spans="2:4" ht="16" thickBot="1" x14ac:dyDescent="0.25">
      <c r="B2783" s="5">
        <v>2778</v>
      </c>
      <c r="C2783" s="11">
        <v>294.15420870103071</v>
      </c>
      <c r="D2783" s="42"/>
    </row>
    <row r="2784" spans="2:4" ht="16" thickBot="1" x14ac:dyDescent="0.25">
      <c r="B2784" s="4">
        <v>2779</v>
      </c>
      <c r="C2784" s="10">
        <v>141.65164432080411</v>
      </c>
      <c r="D2784" s="42"/>
    </row>
    <row r="2785" spans="2:4" ht="16" thickBot="1" x14ac:dyDescent="0.25">
      <c r="B2785" s="5">
        <v>2780</v>
      </c>
      <c r="C2785" s="11">
        <v>685.41022418636862</v>
      </c>
      <c r="D2785" s="42"/>
    </row>
    <row r="2786" spans="2:4" ht="16" thickBot="1" x14ac:dyDescent="0.25">
      <c r="B2786" s="4">
        <v>2781</v>
      </c>
      <c r="C2786" s="10">
        <v>212.32779796584859</v>
      </c>
      <c r="D2786" s="42"/>
    </row>
    <row r="2787" spans="2:4" ht="16" thickBot="1" x14ac:dyDescent="0.25">
      <c r="B2787" s="5">
        <v>2782</v>
      </c>
      <c r="C2787" s="11">
        <v>231.73522320118374</v>
      </c>
      <c r="D2787" s="42"/>
    </row>
    <row r="2788" spans="2:4" ht="16" thickBot="1" x14ac:dyDescent="0.25">
      <c r="B2788" s="4">
        <v>2783</v>
      </c>
      <c r="C2788" s="10">
        <v>141.86212868145708</v>
      </c>
      <c r="D2788" s="42"/>
    </row>
    <row r="2789" spans="2:4" ht="16" thickBot="1" x14ac:dyDescent="0.25">
      <c r="B2789" s="5">
        <v>2784</v>
      </c>
      <c r="C2789" s="11">
        <v>431.26798430833384</v>
      </c>
      <c r="D2789" s="42"/>
    </row>
    <row r="2790" spans="2:4" ht="16" thickBot="1" x14ac:dyDescent="0.25">
      <c r="B2790" s="4">
        <v>2785</v>
      </c>
      <c r="C2790" s="10">
        <v>56.306761018311576</v>
      </c>
      <c r="D2790" s="42"/>
    </row>
    <row r="2791" spans="2:4" ht="16" thickBot="1" x14ac:dyDescent="0.25">
      <c r="B2791" s="5">
        <v>2786</v>
      </c>
      <c r="C2791" s="11">
        <v>36.802478010282783</v>
      </c>
      <c r="D2791" s="42"/>
    </row>
    <row r="2792" spans="2:4" ht="16" thickBot="1" x14ac:dyDescent="0.25">
      <c r="B2792" s="4">
        <v>2787</v>
      </c>
      <c r="C2792" s="10">
        <v>318.39516805734763</v>
      </c>
      <c r="D2792" s="42"/>
    </row>
    <row r="2793" spans="2:4" ht="16" thickBot="1" x14ac:dyDescent="0.25">
      <c r="B2793" s="5">
        <v>2788</v>
      </c>
      <c r="C2793" s="11">
        <v>548.91305197614122</v>
      </c>
      <c r="D2793" s="42"/>
    </row>
    <row r="2794" spans="2:4" ht="16" thickBot="1" x14ac:dyDescent="0.25">
      <c r="B2794" s="4">
        <v>2789</v>
      </c>
      <c r="C2794" s="10">
        <v>320.23304908865072</v>
      </c>
      <c r="D2794" s="42"/>
    </row>
    <row r="2795" spans="2:4" ht="16" thickBot="1" x14ac:dyDescent="0.25">
      <c r="B2795" s="5">
        <v>2790</v>
      </c>
      <c r="C2795" s="11">
        <v>340.00978372491971</v>
      </c>
      <c r="D2795" s="42"/>
    </row>
    <row r="2796" spans="2:4" ht="16" thickBot="1" x14ac:dyDescent="0.25">
      <c r="B2796" s="4">
        <v>2791</v>
      </c>
      <c r="C2796" s="10">
        <v>154.50037531893071</v>
      </c>
      <c r="D2796" s="42"/>
    </row>
    <row r="2797" spans="2:4" ht="16" thickBot="1" x14ac:dyDescent="0.25">
      <c r="B2797" s="5">
        <v>2792</v>
      </c>
      <c r="C2797" s="11">
        <v>305.24885296802864</v>
      </c>
      <c r="D2797" s="42"/>
    </row>
    <row r="2798" spans="2:4" ht="16" thickBot="1" x14ac:dyDescent="0.25">
      <c r="B2798" s="4">
        <v>2793</v>
      </c>
      <c r="C2798" s="10">
        <v>110.97080399436379</v>
      </c>
      <c r="D2798" s="42"/>
    </row>
    <row r="2799" spans="2:4" ht="16" thickBot="1" x14ac:dyDescent="0.25">
      <c r="B2799" s="5">
        <v>2794</v>
      </c>
      <c r="C2799" s="11">
        <v>345.3553127415118</v>
      </c>
      <c r="D2799" s="42"/>
    </row>
    <row r="2800" spans="2:4" ht="16" thickBot="1" x14ac:dyDescent="0.25">
      <c r="B2800" s="4">
        <v>2795</v>
      </c>
      <c r="C2800" s="10">
        <v>63.773266424537574</v>
      </c>
      <c r="D2800" s="42"/>
    </row>
    <row r="2801" spans="2:4" ht="16" thickBot="1" x14ac:dyDescent="0.25">
      <c r="B2801" s="5">
        <v>2796</v>
      </c>
      <c r="C2801" s="11">
        <v>202.30081090398002</v>
      </c>
      <c r="D2801" s="42"/>
    </row>
    <row r="2802" spans="2:4" ht="16" thickBot="1" x14ac:dyDescent="0.25">
      <c r="B2802" s="4">
        <v>2797</v>
      </c>
      <c r="C2802" s="10">
        <v>219.06042449277982</v>
      </c>
      <c r="D2802" s="42"/>
    </row>
    <row r="2803" spans="2:4" ht="16" thickBot="1" x14ac:dyDescent="0.25">
      <c r="B2803" s="5">
        <v>2798</v>
      </c>
      <c r="C2803" s="11">
        <v>191.4092565607323</v>
      </c>
      <c r="D2803" s="42"/>
    </row>
    <row r="2804" spans="2:4" ht="16" thickBot="1" x14ac:dyDescent="0.25">
      <c r="B2804" s="4">
        <v>2799</v>
      </c>
      <c r="C2804" s="10">
        <v>201.91909342870639</v>
      </c>
      <c r="D2804" s="42"/>
    </row>
    <row r="2805" spans="2:4" ht="16" thickBot="1" x14ac:dyDescent="0.25">
      <c r="B2805" s="5">
        <v>2800</v>
      </c>
      <c r="C2805" s="11">
        <v>455.27730534227999</v>
      </c>
      <c r="D2805" s="42"/>
    </row>
    <row r="2806" spans="2:4" ht="16" thickBot="1" x14ac:dyDescent="0.25">
      <c r="B2806" s="4">
        <v>2801</v>
      </c>
      <c r="C2806" s="10">
        <v>241.87264032918307</v>
      </c>
      <c r="D2806" s="42"/>
    </row>
    <row r="2807" spans="2:4" ht="16" thickBot="1" x14ac:dyDescent="0.25">
      <c r="B2807" s="5">
        <v>2802</v>
      </c>
      <c r="C2807" s="11">
        <v>190.09437021739737</v>
      </c>
      <c r="D2807" s="42"/>
    </row>
    <row r="2808" spans="2:4" ht="16" thickBot="1" x14ac:dyDescent="0.25">
      <c r="B2808" s="4">
        <v>2803</v>
      </c>
      <c r="C2808" s="10">
        <v>166.19018021572305</v>
      </c>
      <c r="D2808" s="42"/>
    </row>
    <row r="2809" spans="2:4" ht="16" thickBot="1" x14ac:dyDescent="0.25">
      <c r="B2809" s="5">
        <v>2804</v>
      </c>
      <c r="C2809" s="11">
        <v>76.027879180314955</v>
      </c>
      <c r="D2809" s="42"/>
    </row>
    <row r="2810" spans="2:4" ht="16" thickBot="1" x14ac:dyDescent="0.25">
      <c r="B2810" s="4">
        <v>2805</v>
      </c>
      <c r="C2810" s="10">
        <v>463.30699737154708</v>
      </c>
      <c r="D2810" s="42"/>
    </row>
    <row r="2811" spans="2:4" ht="16" thickBot="1" x14ac:dyDescent="0.25">
      <c r="B2811" s="5">
        <v>2806</v>
      </c>
      <c r="C2811" s="11">
        <v>478.71356877645457</v>
      </c>
      <c r="D2811" s="42"/>
    </row>
    <row r="2812" spans="2:4" ht="16" thickBot="1" x14ac:dyDescent="0.25">
      <c r="B2812" s="4">
        <v>2807</v>
      </c>
      <c r="C2812" s="10">
        <v>131.02454504639354</v>
      </c>
      <c r="D2812" s="42"/>
    </row>
    <row r="2813" spans="2:4" ht="16" thickBot="1" x14ac:dyDescent="0.25">
      <c r="B2813" s="5">
        <v>2808</v>
      </c>
      <c r="C2813" s="11">
        <v>111.59783292786024</v>
      </c>
      <c r="D2813" s="42"/>
    </row>
    <row r="2814" spans="2:4" ht="16" thickBot="1" x14ac:dyDescent="0.25">
      <c r="B2814" s="4">
        <v>2809</v>
      </c>
      <c r="C2814" s="10">
        <v>153.8984992236667</v>
      </c>
      <c r="D2814" s="42"/>
    </row>
    <row r="2815" spans="2:4" ht="16" thickBot="1" x14ac:dyDescent="0.25">
      <c r="B2815" s="5">
        <v>2810</v>
      </c>
      <c r="C2815" s="11">
        <v>584.69376161156663</v>
      </c>
      <c r="D2815" s="42"/>
    </row>
    <row r="2816" spans="2:4" ht="16" thickBot="1" x14ac:dyDescent="0.25">
      <c r="B2816" s="4">
        <v>2811</v>
      </c>
      <c r="C2816" s="10">
        <v>113.21233603440659</v>
      </c>
      <c r="D2816" s="42"/>
    </row>
    <row r="2817" spans="2:4" ht="16" thickBot="1" x14ac:dyDescent="0.25">
      <c r="B2817" s="5">
        <v>2812</v>
      </c>
      <c r="C2817" s="11">
        <v>301.07651946748939</v>
      </c>
      <c r="D2817" s="42"/>
    </row>
    <row r="2818" spans="2:4" ht="16" thickBot="1" x14ac:dyDescent="0.25">
      <c r="B2818" s="4">
        <v>2813</v>
      </c>
      <c r="C2818" s="10">
        <v>310.46808373316509</v>
      </c>
      <c r="D2818" s="42"/>
    </row>
    <row r="2819" spans="2:4" ht="16" thickBot="1" x14ac:dyDescent="0.25">
      <c r="B2819" s="5">
        <v>2814</v>
      </c>
      <c r="C2819" s="11">
        <v>219.26950948667113</v>
      </c>
      <c r="D2819" s="42"/>
    </row>
    <row r="2820" spans="2:4" ht="16" thickBot="1" x14ac:dyDescent="0.25">
      <c r="B2820" s="4">
        <v>2815</v>
      </c>
      <c r="C2820" s="10">
        <v>122.32216719559878</v>
      </c>
      <c r="D2820" s="42"/>
    </row>
    <row r="2821" spans="2:4" ht="16" thickBot="1" x14ac:dyDescent="0.25">
      <c r="B2821" s="5">
        <v>2816</v>
      </c>
      <c r="C2821" s="11">
        <v>239.62607055428279</v>
      </c>
      <c r="D2821" s="42"/>
    </row>
    <row r="2822" spans="2:4" ht="16" thickBot="1" x14ac:dyDescent="0.25">
      <c r="B2822" s="4">
        <v>2817</v>
      </c>
      <c r="C2822" s="10">
        <v>371.8742053509207</v>
      </c>
      <c r="D2822" s="42"/>
    </row>
    <row r="2823" spans="2:4" ht="16" thickBot="1" x14ac:dyDescent="0.25">
      <c r="B2823" s="5">
        <v>2818</v>
      </c>
      <c r="C2823" s="11">
        <v>391.11118037653318</v>
      </c>
      <c r="D2823" s="42"/>
    </row>
    <row r="2824" spans="2:4" ht="16" thickBot="1" x14ac:dyDescent="0.25">
      <c r="B2824" s="4">
        <v>2819</v>
      </c>
      <c r="C2824" s="10">
        <v>251.82600204251381</v>
      </c>
      <c r="D2824" s="42"/>
    </row>
    <row r="2825" spans="2:4" ht="16" thickBot="1" x14ac:dyDescent="0.25">
      <c r="B2825" s="5">
        <v>2820</v>
      </c>
      <c r="C2825" s="11">
        <v>60.849874325871099</v>
      </c>
      <c r="D2825" s="42"/>
    </row>
    <row r="2826" spans="2:4" ht="16" thickBot="1" x14ac:dyDescent="0.25">
      <c r="B2826" s="4">
        <v>2821</v>
      </c>
      <c r="C2826" s="10">
        <v>482.30538092991355</v>
      </c>
      <c r="D2826" s="42"/>
    </row>
    <row r="2827" spans="2:4" ht="16" thickBot="1" x14ac:dyDescent="0.25">
      <c r="B2827" s="5">
        <v>2822</v>
      </c>
      <c r="C2827" s="11">
        <v>400.52507196970572</v>
      </c>
      <c r="D2827" s="42"/>
    </row>
    <row r="2828" spans="2:4" ht="16" thickBot="1" x14ac:dyDescent="0.25">
      <c r="B2828" s="4">
        <v>2823</v>
      </c>
      <c r="C2828" s="10">
        <v>211.46391770084867</v>
      </c>
      <c r="D2828" s="42"/>
    </row>
    <row r="2829" spans="2:4" ht="16" thickBot="1" x14ac:dyDescent="0.25">
      <c r="B2829" s="5">
        <v>2824</v>
      </c>
      <c r="C2829" s="11">
        <v>531.07911274105288</v>
      </c>
      <c r="D2829" s="42"/>
    </row>
    <row r="2830" spans="2:4" ht="16" thickBot="1" x14ac:dyDescent="0.25">
      <c r="B2830" s="4">
        <v>2825</v>
      </c>
      <c r="C2830" s="10">
        <v>290.75734727045534</v>
      </c>
      <c r="D2830" s="42"/>
    </row>
    <row r="2831" spans="2:4" ht="16" thickBot="1" x14ac:dyDescent="0.25">
      <c r="B2831" s="5">
        <v>2826</v>
      </c>
      <c r="C2831" s="11">
        <v>416.50722560505648</v>
      </c>
      <c r="D2831" s="42"/>
    </row>
    <row r="2832" spans="2:4" ht="16" thickBot="1" x14ac:dyDescent="0.25">
      <c r="B2832" s="4">
        <v>2827</v>
      </c>
      <c r="C2832" s="10">
        <v>143.08654658579161</v>
      </c>
      <c r="D2832" s="42"/>
    </row>
    <row r="2833" spans="2:4" ht="16" thickBot="1" x14ac:dyDescent="0.25">
      <c r="B2833" s="5">
        <v>2828</v>
      </c>
      <c r="C2833" s="11">
        <v>54.729221765711934</v>
      </c>
      <c r="D2833" s="42"/>
    </row>
    <row r="2834" spans="2:4" ht="16" thickBot="1" x14ac:dyDescent="0.25">
      <c r="B2834" s="4">
        <v>2829</v>
      </c>
      <c r="C2834" s="10">
        <v>468.42945376072447</v>
      </c>
      <c r="D2834" s="42"/>
    </row>
    <row r="2835" spans="2:4" ht="16" thickBot="1" x14ac:dyDescent="0.25">
      <c r="B2835" s="5">
        <v>2830</v>
      </c>
      <c r="C2835" s="11">
        <v>286.84205841588152</v>
      </c>
      <c r="D2835" s="42"/>
    </row>
    <row r="2836" spans="2:4" ht="16" thickBot="1" x14ac:dyDescent="0.25">
      <c r="B2836" s="4">
        <v>2831</v>
      </c>
      <c r="C2836" s="10">
        <v>618.40991519730005</v>
      </c>
      <c r="D2836" s="42"/>
    </row>
    <row r="2837" spans="2:4" ht="16" thickBot="1" x14ac:dyDescent="0.25">
      <c r="B2837" s="5">
        <v>2832</v>
      </c>
      <c r="C2837" s="11">
        <v>226.83021779421111</v>
      </c>
      <c r="D2837" s="42"/>
    </row>
    <row r="2838" spans="2:4" ht="16" thickBot="1" x14ac:dyDescent="0.25">
      <c r="B2838" s="4">
        <v>2833</v>
      </c>
      <c r="C2838" s="10">
        <v>231.09557977511164</v>
      </c>
      <c r="D2838" s="42"/>
    </row>
    <row r="2839" spans="2:4" ht="16" thickBot="1" x14ac:dyDescent="0.25">
      <c r="B2839" s="5">
        <v>2834</v>
      </c>
      <c r="C2839" s="11">
        <v>511.68393818468547</v>
      </c>
      <c r="D2839" s="42"/>
    </row>
    <row r="2840" spans="2:4" ht="16" thickBot="1" x14ac:dyDescent="0.25">
      <c r="B2840" s="4">
        <v>2835</v>
      </c>
      <c r="C2840" s="10">
        <v>246.25100418561266</v>
      </c>
      <c r="D2840" s="42"/>
    </row>
    <row r="2841" spans="2:4" ht="16" thickBot="1" x14ac:dyDescent="0.25">
      <c r="B2841" s="5">
        <v>2836</v>
      </c>
      <c r="C2841" s="11">
        <v>253.66077700501629</v>
      </c>
      <c r="D2841" s="42"/>
    </row>
    <row r="2842" spans="2:4" ht="16" thickBot="1" x14ac:dyDescent="0.25">
      <c r="B2842" s="4">
        <v>2837</v>
      </c>
      <c r="C2842" s="10">
        <v>316.10770062889577</v>
      </c>
      <c r="D2842" s="42"/>
    </row>
    <row r="2843" spans="2:4" ht="16" thickBot="1" x14ac:dyDescent="0.25">
      <c r="B2843" s="5">
        <v>2838</v>
      </c>
      <c r="C2843" s="11">
        <v>252.9863439157709</v>
      </c>
      <c r="D2843" s="42"/>
    </row>
    <row r="2844" spans="2:4" ht="16" thickBot="1" x14ac:dyDescent="0.25">
      <c r="B2844" s="4">
        <v>2839</v>
      </c>
      <c r="C2844" s="10">
        <v>696.60199040026225</v>
      </c>
      <c r="D2844" s="42"/>
    </row>
    <row r="2845" spans="2:4" ht="16" thickBot="1" x14ac:dyDescent="0.25">
      <c r="B2845" s="5">
        <v>2840</v>
      </c>
      <c r="C2845" s="11">
        <v>407.10677168657327</v>
      </c>
      <c r="D2845" s="42"/>
    </row>
    <row r="2846" spans="2:4" ht="16" thickBot="1" x14ac:dyDescent="0.25">
      <c r="B2846" s="4">
        <v>2841</v>
      </c>
      <c r="C2846" s="10">
        <v>280.61228809195359</v>
      </c>
      <c r="D2846" s="42"/>
    </row>
    <row r="2847" spans="2:4" ht="16" thickBot="1" x14ac:dyDescent="0.25">
      <c r="B2847" s="5">
        <v>2842</v>
      </c>
      <c r="C2847" s="11">
        <v>210.69307848512443</v>
      </c>
      <c r="D2847" s="42"/>
    </row>
    <row r="2848" spans="2:4" ht="16" thickBot="1" x14ac:dyDescent="0.25">
      <c r="B2848" s="4">
        <v>2843</v>
      </c>
      <c r="C2848" s="10">
        <v>40.835455388810097</v>
      </c>
      <c r="D2848" s="42"/>
    </row>
    <row r="2849" spans="2:4" ht="16" thickBot="1" x14ac:dyDescent="0.25">
      <c r="B2849" s="5">
        <v>2844</v>
      </c>
      <c r="C2849" s="11">
        <v>167.60236533055487</v>
      </c>
      <c r="D2849" s="42"/>
    </row>
    <row r="2850" spans="2:4" ht="16" thickBot="1" x14ac:dyDescent="0.25">
      <c r="B2850" s="4">
        <v>2845</v>
      </c>
      <c r="C2850" s="10">
        <v>70.96422418123926</v>
      </c>
      <c r="D2850" s="42"/>
    </row>
    <row r="2851" spans="2:4" ht="16" thickBot="1" x14ac:dyDescent="0.25">
      <c r="B2851" s="5">
        <v>2846</v>
      </c>
      <c r="C2851" s="11">
        <v>389.95242584684456</v>
      </c>
      <c r="D2851" s="42"/>
    </row>
    <row r="2852" spans="2:4" ht="16" thickBot="1" x14ac:dyDescent="0.25">
      <c r="B2852" s="4">
        <v>2847</v>
      </c>
      <c r="C2852" s="10">
        <v>38.724365502153624</v>
      </c>
      <c r="D2852" s="42"/>
    </row>
    <row r="2853" spans="2:4" ht="16" thickBot="1" x14ac:dyDescent="0.25">
      <c r="B2853" s="5">
        <v>2848</v>
      </c>
      <c r="C2853" s="11">
        <v>185.25997244080429</v>
      </c>
      <c r="D2853" s="42"/>
    </row>
    <row r="2854" spans="2:4" ht="16" thickBot="1" x14ac:dyDescent="0.25">
      <c r="B2854" s="4">
        <v>2849</v>
      </c>
      <c r="C2854" s="10">
        <v>292.09248151278547</v>
      </c>
      <c r="D2854" s="42"/>
    </row>
    <row r="2855" spans="2:4" ht="16" thickBot="1" x14ac:dyDescent="0.25">
      <c r="B2855" s="5">
        <v>2850</v>
      </c>
      <c r="C2855" s="11">
        <v>191.01691255563284</v>
      </c>
      <c r="D2855" s="42"/>
    </row>
    <row r="2856" spans="2:4" ht="16" thickBot="1" x14ac:dyDescent="0.25">
      <c r="B2856" s="4">
        <v>2851</v>
      </c>
      <c r="C2856" s="10">
        <v>139.39577919797233</v>
      </c>
      <c r="D2856" s="42"/>
    </row>
    <row r="2857" spans="2:4" ht="16" thickBot="1" x14ac:dyDescent="0.25">
      <c r="B2857" s="5">
        <v>2852</v>
      </c>
      <c r="C2857" s="11">
        <v>221.71839636131844</v>
      </c>
      <c r="D2857" s="42"/>
    </row>
    <row r="2858" spans="2:4" ht="16" thickBot="1" x14ac:dyDescent="0.25">
      <c r="B2858" s="4">
        <v>2853</v>
      </c>
      <c r="C2858" s="10">
        <v>170.40277645908515</v>
      </c>
      <c r="D2858" s="42"/>
    </row>
    <row r="2859" spans="2:4" ht="16" thickBot="1" x14ac:dyDescent="0.25">
      <c r="B2859" s="5">
        <v>2854</v>
      </c>
      <c r="C2859" s="11">
        <v>651.39588214096887</v>
      </c>
      <c r="D2859" s="42"/>
    </row>
    <row r="2860" spans="2:4" ht="16" thickBot="1" x14ac:dyDescent="0.25">
      <c r="B2860" s="4">
        <v>2855</v>
      </c>
      <c r="C2860" s="10">
        <v>287.53025764070588</v>
      </c>
      <c r="D2860" s="42"/>
    </row>
    <row r="2861" spans="2:4" ht="16" thickBot="1" x14ac:dyDescent="0.25">
      <c r="B2861" s="5">
        <v>2856</v>
      </c>
      <c r="C2861" s="11">
        <v>113.59696878059549</v>
      </c>
      <c r="D2861" s="42"/>
    </row>
    <row r="2862" spans="2:4" ht="16" thickBot="1" x14ac:dyDescent="0.25">
      <c r="B2862" s="4">
        <v>2857</v>
      </c>
      <c r="C2862" s="10">
        <v>149.78170997294731</v>
      </c>
      <c r="D2862" s="42"/>
    </row>
    <row r="2863" spans="2:4" ht="16" thickBot="1" x14ac:dyDescent="0.25">
      <c r="B2863" s="5">
        <v>2858</v>
      </c>
      <c r="C2863" s="11">
        <v>589.34553399020081</v>
      </c>
      <c r="D2863" s="42"/>
    </row>
    <row r="2864" spans="2:4" ht="16" thickBot="1" x14ac:dyDescent="0.25">
      <c r="B2864" s="4">
        <v>2859</v>
      </c>
      <c r="C2864" s="10">
        <v>550.17241810627047</v>
      </c>
      <c r="D2864" s="42"/>
    </row>
    <row r="2865" spans="2:4" ht="16" thickBot="1" x14ac:dyDescent="0.25">
      <c r="B2865" s="5">
        <v>2860</v>
      </c>
      <c r="C2865" s="11">
        <v>148.72613998196201</v>
      </c>
      <c r="D2865" s="42"/>
    </row>
    <row r="2866" spans="2:4" ht="16" thickBot="1" x14ac:dyDescent="0.25">
      <c r="B2866" s="4">
        <v>2861</v>
      </c>
      <c r="C2866" s="10">
        <v>154.97945385980984</v>
      </c>
      <c r="D2866" s="42"/>
    </row>
    <row r="2867" spans="2:4" ht="16" thickBot="1" x14ac:dyDescent="0.25">
      <c r="B2867" s="5">
        <v>2862</v>
      </c>
      <c r="C2867" s="11">
        <v>198.10197195324596</v>
      </c>
      <c r="D2867" s="42"/>
    </row>
    <row r="2868" spans="2:4" ht="16" thickBot="1" x14ac:dyDescent="0.25">
      <c r="B2868" s="4">
        <v>2863</v>
      </c>
      <c r="C2868" s="10">
        <v>216.27998250881322</v>
      </c>
      <c r="D2868" s="42"/>
    </row>
    <row r="2869" spans="2:4" ht="16" thickBot="1" x14ac:dyDescent="0.25">
      <c r="B2869" s="5">
        <v>2864</v>
      </c>
      <c r="C2869" s="11">
        <v>234.78803300005094</v>
      </c>
      <c r="D2869" s="42"/>
    </row>
    <row r="2870" spans="2:4" ht="16" thickBot="1" x14ac:dyDescent="0.25">
      <c r="B2870" s="4">
        <v>2865</v>
      </c>
      <c r="C2870" s="10">
        <v>439.96650851189287</v>
      </c>
      <c r="D2870" s="42"/>
    </row>
    <row r="2871" spans="2:4" ht="16" thickBot="1" x14ac:dyDescent="0.25">
      <c r="B2871" s="5">
        <v>2866</v>
      </c>
      <c r="C2871" s="11">
        <v>210.75560818026108</v>
      </c>
      <c r="D2871" s="42"/>
    </row>
    <row r="2872" spans="2:4" ht="16" thickBot="1" x14ac:dyDescent="0.25">
      <c r="B2872" s="4">
        <v>2867</v>
      </c>
      <c r="C2872" s="10">
        <v>508.5286675619418</v>
      </c>
      <c r="D2872" s="42"/>
    </row>
    <row r="2873" spans="2:4" ht="16" thickBot="1" x14ac:dyDescent="0.25">
      <c r="B2873" s="5">
        <v>2868</v>
      </c>
      <c r="C2873" s="11">
        <v>434.83129154441468</v>
      </c>
      <c r="D2873" s="42"/>
    </row>
    <row r="2874" spans="2:4" ht="16" thickBot="1" x14ac:dyDescent="0.25">
      <c r="B2874" s="4">
        <v>2869</v>
      </c>
      <c r="C2874" s="10">
        <v>107.57927498300066</v>
      </c>
      <c r="D2874" s="42"/>
    </row>
    <row r="2875" spans="2:4" ht="16" thickBot="1" x14ac:dyDescent="0.25">
      <c r="B2875" s="5">
        <v>2870</v>
      </c>
      <c r="C2875" s="11">
        <v>343.97001023801647</v>
      </c>
      <c r="D2875" s="42"/>
    </row>
    <row r="2876" spans="2:4" ht="16" thickBot="1" x14ac:dyDescent="0.25">
      <c r="B2876" s="4">
        <v>2871</v>
      </c>
      <c r="C2876" s="10">
        <v>502.93271724184018</v>
      </c>
      <c r="D2876" s="42"/>
    </row>
    <row r="2877" spans="2:4" ht="16" thickBot="1" x14ac:dyDescent="0.25">
      <c r="B2877" s="5">
        <v>2872</v>
      </c>
      <c r="C2877" s="11">
        <v>36.368542832128306</v>
      </c>
      <c r="D2877" s="42"/>
    </row>
    <row r="2878" spans="2:4" ht="16" thickBot="1" x14ac:dyDescent="0.25">
      <c r="B2878" s="4">
        <v>2873</v>
      </c>
      <c r="C2878" s="10">
        <v>568.44214903835689</v>
      </c>
      <c r="D2878" s="42"/>
    </row>
    <row r="2879" spans="2:4" ht="16" thickBot="1" x14ac:dyDescent="0.25">
      <c r="B2879" s="5">
        <v>2874</v>
      </c>
      <c r="C2879" s="11">
        <v>77.29330931706771</v>
      </c>
      <c r="D2879" s="42"/>
    </row>
    <row r="2880" spans="2:4" ht="16" thickBot="1" x14ac:dyDescent="0.25">
      <c r="B2880" s="4">
        <v>2875</v>
      </c>
      <c r="C2880" s="10">
        <v>172.0679973229316</v>
      </c>
      <c r="D2880" s="42"/>
    </row>
    <row r="2881" spans="2:4" ht="16" thickBot="1" x14ac:dyDescent="0.25">
      <c r="B2881" s="5">
        <v>2876</v>
      </c>
      <c r="C2881" s="11">
        <v>556.48847673396028</v>
      </c>
      <c r="D2881" s="42"/>
    </row>
    <row r="2882" spans="2:4" ht="16" thickBot="1" x14ac:dyDescent="0.25">
      <c r="B2882" s="4">
        <v>2877</v>
      </c>
      <c r="C2882" s="10">
        <v>311.05259335662038</v>
      </c>
      <c r="D2882" s="42"/>
    </row>
    <row r="2883" spans="2:4" ht="16" thickBot="1" x14ac:dyDescent="0.25">
      <c r="B2883" s="5">
        <v>2878</v>
      </c>
      <c r="C2883" s="11">
        <v>236.94741212983973</v>
      </c>
      <c r="D2883" s="42"/>
    </row>
    <row r="2884" spans="2:4" ht="16" thickBot="1" x14ac:dyDescent="0.25">
      <c r="B2884" s="4">
        <v>2879</v>
      </c>
      <c r="C2884" s="10">
        <v>172.62969561347143</v>
      </c>
      <c r="D2884" s="42"/>
    </row>
    <row r="2885" spans="2:4" ht="16" thickBot="1" x14ac:dyDescent="0.25">
      <c r="B2885" s="5">
        <v>2880</v>
      </c>
      <c r="C2885" s="11">
        <v>120.25292064544691</v>
      </c>
      <c r="D2885" s="42"/>
    </row>
    <row r="2886" spans="2:4" ht="16" thickBot="1" x14ac:dyDescent="0.25">
      <c r="B2886" s="4">
        <v>2881</v>
      </c>
      <c r="C2886" s="10">
        <v>135.42577182760451</v>
      </c>
      <c r="D2886" s="42"/>
    </row>
    <row r="2887" spans="2:4" ht="16" thickBot="1" x14ac:dyDescent="0.25">
      <c r="B2887" s="5">
        <v>2882</v>
      </c>
      <c r="C2887" s="11">
        <v>171.33167841382664</v>
      </c>
      <c r="D2887" s="42"/>
    </row>
    <row r="2888" spans="2:4" ht="16" thickBot="1" x14ac:dyDescent="0.25">
      <c r="B2888" s="4">
        <v>2883</v>
      </c>
      <c r="C2888" s="10">
        <v>589.67973233133205</v>
      </c>
      <c r="D2888" s="42"/>
    </row>
    <row r="2889" spans="2:4" ht="16" thickBot="1" x14ac:dyDescent="0.25">
      <c r="B2889" s="5">
        <v>2884</v>
      </c>
      <c r="C2889" s="11">
        <v>294.94458615518823</v>
      </c>
      <c r="D2889" s="42"/>
    </row>
    <row r="2890" spans="2:4" ht="16" thickBot="1" x14ac:dyDescent="0.25">
      <c r="B2890" s="4">
        <v>2885</v>
      </c>
      <c r="C2890" s="10">
        <v>167.30378397305356</v>
      </c>
      <c r="D2890" s="42"/>
    </row>
    <row r="2891" spans="2:4" ht="16" thickBot="1" x14ac:dyDescent="0.25">
      <c r="B2891" s="5">
        <v>2886</v>
      </c>
      <c r="C2891" s="11">
        <v>162.5265102629202</v>
      </c>
      <c r="D2891" s="42"/>
    </row>
    <row r="2892" spans="2:4" ht="16" thickBot="1" x14ac:dyDescent="0.25">
      <c r="B2892" s="4">
        <v>2887</v>
      </c>
      <c r="C2892" s="10">
        <v>217.32911792307985</v>
      </c>
      <c r="D2892" s="42"/>
    </row>
    <row r="2893" spans="2:4" ht="16" thickBot="1" x14ac:dyDescent="0.25">
      <c r="B2893" s="5">
        <v>2888</v>
      </c>
      <c r="C2893" s="11">
        <v>297.29058785068207</v>
      </c>
      <c r="D2893" s="42"/>
    </row>
    <row r="2894" spans="2:4" ht="16" thickBot="1" x14ac:dyDescent="0.25">
      <c r="B2894" s="4">
        <v>2889</v>
      </c>
      <c r="C2894" s="10">
        <v>64.033159282966196</v>
      </c>
      <c r="D2894" s="42"/>
    </row>
    <row r="2895" spans="2:4" ht="16" thickBot="1" x14ac:dyDescent="0.25">
      <c r="B2895" s="5">
        <v>2890</v>
      </c>
      <c r="C2895" s="11">
        <v>231.57320053370563</v>
      </c>
      <c r="D2895" s="42"/>
    </row>
    <row r="2896" spans="2:4" ht="16" thickBot="1" x14ac:dyDescent="0.25">
      <c r="B2896" s="4">
        <v>2891</v>
      </c>
      <c r="C2896" s="10">
        <v>160.91951940807016</v>
      </c>
      <c r="D2896" s="42"/>
    </row>
    <row r="2897" spans="2:4" ht="16" thickBot="1" x14ac:dyDescent="0.25">
      <c r="B2897" s="5">
        <v>2892</v>
      </c>
      <c r="C2897" s="11">
        <v>256.57107382192675</v>
      </c>
      <c r="D2897" s="42"/>
    </row>
    <row r="2898" spans="2:4" ht="16" thickBot="1" x14ac:dyDescent="0.25">
      <c r="B2898" s="4">
        <v>2893</v>
      </c>
      <c r="C2898" s="10">
        <v>266.4701862480718</v>
      </c>
      <c r="D2898" s="42"/>
    </row>
    <row r="2899" spans="2:4" ht="16" thickBot="1" x14ac:dyDescent="0.25">
      <c r="B2899" s="5">
        <v>2894</v>
      </c>
      <c r="C2899" s="11">
        <v>76.05128089664349</v>
      </c>
      <c r="D2899" s="42"/>
    </row>
    <row r="2900" spans="2:4" ht="16" thickBot="1" x14ac:dyDescent="0.25">
      <c r="B2900" s="4">
        <v>2895</v>
      </c>
      <c r="C2900" s="10">
        <v>140.8212824345668</v>
      </c>
      <c r="D2900" s="42"/>
    </row>
    <row r="2901" spans="2:4" ht="16" thickBot="1" x14ac:dyDescent="0.25">
      <c r="B2901" s="5">
        <v>2896</v>
      </c>
      <c r="C2901" s="11">
        <v>203.73753218795838</v>
      </c>
      <c r="D2901" s="42"/>
    </row>
    <row r="2902" spans="2:4" ht="16" thickBot="1" x14ac:dyDescent="0.25">
      <c r="B2902" s="4">
        <v>2897</v>
      </c>
      <c r="C2902" s="10">
        <v>357.4946123643615</v>
      </c>
      <c r="D2902" s="42"/>
    </row>
    <row r="2903" spans="2:4" ht="16" thickBot="1" x14ac:dyDescent="0.25">
      <c r="B2903" s="5">
        <v>2898</v>
      </c>
      <c r="C2903" s="11">
        <v>431.05290395669374</v>
      </c>
      <c r="D2903" s="42"/>
    </row>
    <row r="2904" spans="2:4" ht="16" thickBot="1" x14ac:dyDescent="0.25">
      <c r="B2904" s="4">
        <v>2899</v>
      </c>
      <c r="C2904" s="10">
        <v>348.9155521202166</v>
      </c>
      <c r="D2904" s="42"/>
    </row>
    <row r="2905" spans="2:4" ht="16" thickBot="1" x14ac:dyDescent="0.25">
      <c r="B2905" s="5">
        <v>2900</v>
      </c>
      <c r="C2905" s="11">
        <v>269.84694671014825</v>
      </c>
      <c r="D2905" s="42"/>
    </row>
    <row r="2906" spans="2:4" ht="16" thickBot="1" x14ac:dyDescent="0.25">
      <c r="B2906" s="4">
        <v>2901</v>
      </c>
      <c r="C2906" s="10">
        <v>207.38004221649325</v>
      </c>
      <c r="D2906" s="42"/>
    </row>
    <row r="2907" spans="2:4" ht="16" thickBot="1" x14ac:dyDescent="0.25">
      <c r="B2907" s="5">
        <v>2902</v>
      </c>
      <c r="C2907" s="11">
        <v>664.16818219344657</v>
      </c>
      <c r="D2907" s="42"/>
    </row>
    <row r="2908" spans="2:4" ht="16" thickBot="1" x14ac:dyDescent="0.25">
      <c r="B2908" s="4">
        <v>2903</v>
      </c>
      <c r="C2908" s="10">
        <v>312.96466498252317</v>
      </c>
      <c r="D2908" s="42"/>
    </row>
    <row r="2909" spans="2:4" ht="16" thickBot="1" x14ac:dyDescent="0.25">
      <c r="B2909" s="5">
        <v>2904</v>
      </c>
      <c r="C2909" s="11">
        <v>193.65226241002784</v>
      </c>
      <c r="D2909" s="42"/>
    </row>
    <row r="2910" spans="2:4" ht="16" thickBot="1" x14ac:dyDescent="0.25">
      <c r="B2910" s="4">
        <v>2905</v>
      </c>
      <c r="C2910" s="10">
        <v>421.47022020372157</v>
      </c>
      <c r="D2910" s="42"/>
    </row>
    <row r="2911" spans="2:4" ht="16" thickBot="1" x14ac:dyDescent="0.25">
      <c r="B2911" s="5">
        <v>2906</v>
      </c>
      <c r="C2911" s="11">
        <v>111.7261021114773</v>
      </c>
      <c r="D2911" s="42"/>
    </row>
    <row r="2912" spans="2:4" ht="16" thickBot="1" x14ac:dyDescent="0.25">
      <c r="B2912" s="4">
        <v>2907</v>
      </c>
      <c r="C2912" s="10">
        <v>263.8547289408333</v>
      </c>
      <c r="D2912" s="42"/>
    </row>
    <row r="2913" spans="2:4" ht="16" thickBot="1" x14ac:dyDescent="0.25">
      <c r="B2913" s="5">
        <v>2908</v>
      </c>
      <c r="C2913" s="11">
        <v>140.32287086019011</v>
      </c>
      <c r="D2913" s="42"/>
    </row>
    <row r="2914" spans="2:4" ht="16" thickBot="1" x14ac:dyDescent="0.25">
      <c r="B2914" s="4">
        <v>2909</v>
      </c>
      <c r="C2914" s="10">
        <v>51.689087565607444</v>
      </c>
      <c r="D2914" s="42"/>
    </row>
    <row r="2915" spans="2:4" ht="16" thickBot="1" x14ac:dyDescent="0.25">
      <c r="B2915" s="5">
        <v>2910</v>
      </c>
      <c r="C2915" s="11">
        <v>159.20633631062495</v>
      </c>
      <c r="D2915" s="42"/>
    </row>
    <row r="2916" spans="2:4" ht="16" thickBot="1" x14ac:dyDescent="0.25">
      <c r="B2916" s="4">
        <v>2911</v>
      </c>
      <c r="C2916" s="10">
        <v>134.42346048332456</v>
      </c>
      <c r="D2916" s="42"/>
    </row>
    <row r="2917" spans="2:4" ht="16" thickBot="1" x14ac:dyDescent="0.25">
      <c r="B2917" s="5">
        <v>2912</v>
      </c>
      <c r="C2917" s="11">
        <v>58.765253313714076</v>
      </c>
      <c r="D2917" s="42"/>
    </row>
    <row r="2918" spans="2:4" ht="16" thickBot="1" x14ac:dyDescent="0.25">
      <c r="B2918" s="4">
        <v>2913</v>
      </c>
      <c r="C2918" s="10">
        <v>90.956509997335132</v>
      </c>
      <c r="D2918" s="42"/>
    </row>
    <row r="2919" spans="2:4" ht="16" thickBot="1" x14ac:dyDescent="0.25">
      <c r="B2919" s="5">
        <v>2914</v>
      </c>
      <c r="C2919" s="11">
        <v>452.10077174209943</v>
      </c>
      <c r="D2919" s="42"/>
    </row>
    <row r="2920" spans="2:4" ht="16" thickBot="1" x14ac:dyDescent="0.25">
      <c r="B2920" s="4">
        <v>2915</v>
      </c>
      <c r="C2920" s="10">
        <v>267.37742272278132</v>
      </c>
      <c r="D2920" s="42"/>
    </row>
    <row r="2921" spans="2:4" ht="16" thickBot="1" x14ac:dyDescent="0.25">
      <c r="B2921" s="5">
        <v>2916</v>
      </c>
      <c r="C2921" s="11">
        <v>116.85815091204931</v>
      </c>
      <c r="D2921" s="42"/>
    </row>
    <row r="2922" spans="2:4" ht="16" thickBot="1" x14ac:dyDescent="0.25">
      <c r="B2922" s="4">
        <v>2917</v>
      </c>
      <c r="C2922" s="10">
        <v>216.91114599185701</v>
      </c>
      <c r="D2922" s="42"/>
    </row>
    <row r="2923" spans="2:4" ht="16" thickBot="1" x14ac:dyDescent="0.25">
      <c r="B2923" s="5">
        <v>2918</v>
      </c>
      <c r="C2923" s="11">
        <v>591.5758512005973</v>
      </c>
      <c r="D2923" s="42"/>
    </row>
    <row r="2924" spans="2:4" ht="16" thickBot="1" x14ac:dyDescent="0.25">
      <c r="B2924" s="4">
        <v>2919</v>
      </c>
      <c r="C2924" s="10">
        <v>214.08398458189703</v>
      </c>
      <c r="D2924" s="42"/>
    </row>
    <row r="2925" spans="2:4" ht="16" thickBot="1" x14ac:dyDescent="0.25">
      <c r="B2925" s="5">
        <v>2920</v>
      </c>
      <c r="C2925" s="11">
        <v>281.14609363490621</v>
      </c>
      <c r="D2925" s="42"/>
    </row>
    <row r="2926" spans="2:4" ht="16" thickBot="1" x14ac:dyDescent="0.25">
      <c r="B2926" s="4">
        <v>2921</v>
      </c>
      <c r="C2926" s="10">
        <v>178.42584114780553</v>
      </c>
      <c r="D2926" s="42"/>
    </row>
    <row r="2927" spans="2:4" ht="16" thickBot="1" x14ac:dyDescent="0.25">
      <c r="B2927" s="5">
        <v>2922</v>
      </c>
      <c r="C2927" s="11">
        <v>195.79426492714211</v>
      </c>
      <c r="D2927" s="42"/>
    </row>
    <row r="2928" spans="2:4" ht="16" thickBot="1" x14ac:dyDescent="0.25">
      <c r="B2928" s="4">
        <v>2923</v>
      </c>
      <c r="C2928" s="10">
        <v>112.69772767633812</v>
      </c>
      <c r="D2928" s="42"/>
    </row>
    <row r="2929" spans="2:4" ht="16" thickBot="1" x14ac:dyDescent="0.25">
      <c r="B2929" s="5">
        <v>2924</v>
      </c>
      <c r="C2929" s="11">
        <v>287.93231760777252</v>
      </c>
      <c r="D2929" s="42"/>
    </row>
    <row r="2930" spans="2:4" ht="16" thickBot="1" x14ac:dyDescent="0.25">
      <c r="B2930" s="4">
        <v>2925</v>
      </c>
      <c r="C2930" s="10">
        <v>364.10365454220334</v>
      </c>
      <c r="D2930" s="42"/>
    </row>
    <row r="2931" spans="2:4" ht="16" thickBot="1" x14ac:dyDescent="0.25">
      <c r="B2931" s="5">
        <v>2926</v>
      </c>
      <c r="C2931" s="11">
        <v>365.45749413870124</v>
      </c>
      <c r="D2931" s="42"/>
    </row>
    <row r="2932" spans="2:4" ht="16" thickBot="1" x14ac:dyDescent="0.25">
      <c r="B2932" s="4">
        <v>2927</v>
      </c>
      <c r="C2932" s="10">
        <v>177.52544390904953</v>
      </c>
      <c r="D2932" s="42"/>
    </row>
    <row r="2933" spans="2:4" ht="16" thickBot="1" x14ac:dyDescent="0.25">
      <c r="B2933" s="5">
        <v>2928</v>
      </c>
      <c r="C2933" s="11">
        <v>84.641232005839683</v>
      </c>
      <c r="D2933" s="42"/>
    </row>
    <row r="2934" spans="2:4" ht="16" thickBot="1" x14ac:dyDescent="0.25">
      <c r="B2934" s="4">
        <v>2929</v>
      </c>
      <c r="C2934" s="10">
        <v>588.3616582873168</v>
      </c>
      <c r="D2934" s="42"/>
    </row>
    <row r="2935" spans="2:4" ht="16" thickBot="1" x14ac:dyDescent="0.25">
      <c r="B2935" s="5">
        <v>2930</v>
      </c>
      <c r="C2935" s="11">
        <v>118.94466666602889</v>
      </c>
      <c r="D2935" s="42"/>
    </row>
    <row r="2936" spans="2:4" ht="16" thickBot="1" x14ac:dyDescent="0.25">
      <c r="B2936" s="4">
        <v>2931</v>
      </c>
      <c r="C2936" s="10">
        <v>511.82237587445786</v>
      </c>
      <c r="D2936" s="42"/>
    </row>
    <row r="2937" spans="2:4" ht="16" thickBot="1" x14ac:dyDescent="0.25">
      <c r="B2937" s="5">
        <v>2932</v>
      </c>
      <c r="C2937" s="11">
        <v>449.57191533230468</v>
      </c>
      <c r="D2937" s="42"/>
    </row>
    <row r="2938" spans="2:4" ht="16" thickBot="1" x14ac:dyDescent="0.25">
      <c r="B2938" s="4">
        <v>2933</v>
      </c>
      <c r="C2938" s="10">
        <v>246.84447728177381</v>
      </c>
      <c r="D2938" s="42"/>
    </row>
    <row r="2939" spans="2:4" ht="16" thickBot="1" x14ac:dyDescent="0.25">
      <c r="B2939" s="5">
        <v>2934</v>
      </c>
      <c r="C2939" s="11">
        <v>264.97857389547653</v>
      </c>
      <c r="D2939" s="42"/>
    </row>
    <row r="2940" spans="2:4" ht="16" thickBot="1" x14ac:dyDescent="0.25">
      <c r="B2940" s="4">
        <v>2935</v>
      </c>
      <c r="C2940" s="10">
        <v>318.17751494307305</v>
      </c>
      <c r="D2940" s="42"/>
    </row>
    <row r="2941" spans="2:4" ht="16" thickBot="1" x14ac:dyDescent="0.25">
      <c r="B2941" s="5">
        <v>2936</v>
      </c>
      <c r="C2941" s="11">
        <v>239.10773059244369</v>
      </c>
      <c r="D2941" s="42"/>
    </row>
    <row r="2942" spans="2:4" ht="16" thickBot="1" x14ac:dyDescent="0.25">
      <c r="B2942" s="4">
        <v>2937</v>
      </c>
      <c r="C2942" s="10">
        <v>229.03685005564762</v>
      </c>
      <c r="D2942" s="42"/>
    </row>
    <row r="2943" spans="2:4" ht="16" thickBot="1" x14ac:dyDescent="0.25">
      <c r="B2943" s="5">
        <v>2938</v>
      </c>
      <c r="C2943" s="11">
        <v>823.27388075851502</v>
      </c>
      <c r="D2943" s="42"/>
    </row>
    <row r="2944" spans="2:4" ht="16" thickBot="1" x14ac:dyDescent="0.25">
      <c r="B2944" s="4">
        <v>2939</v>
      </c>
      <c r="C2944" s="10">
        <v>159.00844617740182</v>
      </c>
      <c r="D2944" s="42"/>
    </row>
    <row r="2945" spans="2:4" ht="16" thickBot="1" x14ac:dyDescent="0.25">
      <c r="B2945" s="5">
        <v>2940</v>
      </c>
      <c r="C2945" s="11">
        <v>118.87640672363919</v>
      </c>
      <c r="D2945" s="42"/>
    </row>
    <row r="2946" spans="2:4" ht="16" thickBot="1" x14ac:dyDescent="0.25">
      <c r="B2946" s="4">
        <v>2941</v>
      </c>
      <c r="C2946" s="10">
        <v>209.68939716696829</v>
      </c>
      <c r="D2946" s="42"/>
    </row>
    <row r="2947" spans="2:4" ht="16" thickBot="1" x14ac:dyDescent="0.25">
      <c r="B2947" s="5">
        <v>2942</v>
      </c>
      <c r="C2947" s="11">
        <v>299.48925252691714</v>
      </c>
      <c r="D2947" s="42"/>
    </row>
    <row r="2948" spans="2:4" ht="16" thickBot="1" x14ac:dyDescent="0.25">
      <c r="B2948" s="4">
        <v>2943</v>
      </c>
      <c r="C2948" s="10">
        <v>78.054672195068221</v>
      </c>
      <c r="D2948" s="42"/>
    </row>
    <row r="2949" spans="2:4" ht="16" thickBot="1" x14ac:dyDescent="0.25">
      <c r="B2949" s="5">
        <v>2944</v>
      </c>
      <c r="C2949" s="11">
        <v>221.43191984133935</v>
      </c>
      <c r="D2949" s="42"/>
    </row>
    <row r="2950" spans="2:4" ht="16" thickBot="1" x14ac:dyDescent="0.25">
      <c r="B2950" s="4">
        <v>2945</v>
      </c>
      <c r="C2950" s="10">
        <v>70.74743677662174</v>
      </c>
      <c r="D2950" s="42"/>
    </row>
    <row r="2951" spans="2:4" ht="16" thickBot="1" x14ac:dyDescent="0.25">
      <c r="B2951" s="5">
        <v>2946</v>
      </c>
      <c r="C2951" s="11">
        <v>46.110341409094396</v>
      </c>
      <c r="D2951" s="42"/>
    </row>
    <row r="2952" spans="2:4" ht="16" thickBot="1" x14ac:dyDescent="0.25">
      <c r="B2952" s="4">
        <v>2947</v>
      </c>
      <c r="C2952" s="10">
        <v>685.09736591850628</v>
      </c>
      <c r="D2952" s="42"/>
    </row>
    <row r="2953" spans="2:4" ht="16" thickBot="1" x14ac:dyDescent="0.25">
      <c r="B2953" s="5">
        <v>2948</v>
      </c>
      <c r="C2953" s="11">
        <v>277.27352337984695</v>
      </c>
      <c r="D2953" s="42"/>
    </row>
    <row r="2954" spans="2:4" ht="16" thickBot="1" x14ac:dyDescent="0.25">
      <c r="B2954" s="4">
        <v>2949</v>
      </c>
      <c r="C2954" s="10">
        <v>159.97617432672183</v>
      </c>
      <c r="D2954" s="42"/>
    </row>
    <row r="2955" spans="2:4" ht="16" thickBot="1" x14ac:dyDescent="0.25">
      <c r="B2955" s="5">
        <v>2950</v>
      </c>
      <c r="C2955" s="11">
        <v>197.68991542616828</v>
      </c>
      <c r="D2955" s="42"/>
    </row>
    <row r="2956" spans="2:4" ht="16" thickBot="1" x14ac:dyDescent="0.25">
      <c r="B2956" s="4">
        <v>2951</v>
      </c>
      <c r="C2956" s="10">
        <v>252.23950088253065</v>
      </c>
      <c r="D2956" s="42"/>
    </row>
    <row r="2957" spans="2:4" ht="16" thickBot="1" x14ac:dyDescent="0.25">
      <c r="B2957" s="5">
        <v>2952</v>
      </c>
      <c r="C2957" s="11">
        <v>282.18195511167931</v>
      </c>
      <c r="D2957" s="42"/>
    </row>
    <row r="2958" spans="2:4" ht="16" thickBot="1" x14ac:dyDescent="0.25">
      <c r="B2958" s="4">
        <v>2953</v>
      </c>
      <c r="C2958" s="10">
        <v>268.1338147763106</v>
      </c>
      <c r="D2958" s="42"/>
    </row>
    <row r="2959" spans="2:4" ht="16" thickBot="1" x14ac:dyDescent="0.25">
      <c r="B2959" s="5">
        <v>2954</v>
      </c>
      <c r="C2959" s="11">
        <v>323.45926404874837</v>
      </c>
      <c r="D2959" s="42"/>
    </row>
    <row r="2960" spans="2:4" ht="16" thickBot="1" x14ac:dyDescent="0.25">
      <c r="B2960" s="4">
        <v>2955</v>
      </c>
      <c r="C2960" s="10">
        <v>612.07719159717828</v>
      </c>
      <c r="D2960" s="42"/>
    </row>
    <row r="2961" spans="2:4" ht="16" thickBot="1" x14ac:dyDescent="0.25">
      <c r="B2961" s="5">
        <v>2956</v>
      </c>
      <c r="C2961" s="11">
        <v>67.765771684019427</v>
      </c>
      <c r="D2961" s="42"/>
    </row>
    <row r="2962" spans="2:4" ht="16" thickBot="1" x14ac:dyDescent="0.25">
      <c r="B2962" s="4">
        <v>2957</v>
      </c>
      <c r="C2962" s="10">
        <v>168.09097213620473</v>
      </c>
      <c r="D2962" s="42"/>
    </row>
    <row r="2963" spans="2:4" ht="16" thickBot="1" x14ac:dyDescent="0.25">
      <c r="B2963" s="5">
        <v>2958</v>
      </c>
      <c r="C2963" s="11">
        <v>455.32919461200231</v>
      </c>
      <c r="D2963" s="42"/>
    </row>
    <row r="2964" spans="2:4" ht="16" thickBot="1" x14ac:dyDescent="0.25">
      <c r="B2964" s="4">
        <v>2959</v>
      </c>
      <c r="C2964" s="10">
        <v>217.11417274848259</v>
      </c>
      <c r="D2964" s="42"/>
    </row>
    <row r="2965" spans="2:4" ht="16" thickBot="1" x14ac:dyDescent="0.25">
      <c r="B2965" s="5">
        <v>2960</v>
      </c>
      <c r="C2965" s="11">
        <v>172.81070471344711</v>
      </c>
      <c r="D2965" s="42"/>
    </row>
    <row r="2966" spans="2:4" ht="16" thickBot="1" x14ac:dyDescent="0.25">
      <c r="B2966" s="4">
        <v>2961</v>
      </c>
      <c r="C2966" s="10">
        <v>36.815483814424439</v>
      </c>
      <c r="D2966" s="42"/>
    </row>
    <row r="2967" spans="2:4" ht="16" thickBot="1" x14ac:dyDescent="0.25">
      <c r="B2967" s="5">
        <v>2962</v>
      </c>
      <c r="C2967" s="11">
        <v>507.01492446873425</v>
      </c>
      <c r="D2967" s="42"/>
    </row>
    <row r="2968" spans="2:4" ht="16" thickBot="1" x14ac:dyDescent="0.25">
      <c r="B2968" s="4">
        <v>2963</v>
      </c>
      <c r="C2968" s="10">
        <v>645.89697802742251</v>
      </c>
      <c r="D2968" s="42"/>
    </row>
    <row r="2969" spans="2:4" ht="16" thickBot="1" x14ac:dyDescent="0.25">
      <c r="B2969" s="5">
        <v>2964</v>
      </c>
      <c r="C2969" s="11">
        <v>433.64709178307697</v>
      </c>
      <c r="D2969" s="42"/>
    </row>
    <row r="2970" spans="2:4" ht="16" thickBot="1" x14ac:dyDescent="0.25">
      <c r="B2970" s="4">
        <v>2965</v>
      </c>
      <c r="C2970" s="10">
        <v>63.037812286423915</v>
      </c>
      <c r="D2970" s="42"/>
    </row>
    <row r="2971" spans="2:4" ht="16" thickBot="1" x14ac:dyDescent="0.25">
      <c r="B2971" s="5">
        <v>2966</v>
      </c>
      <c r="C2971" s="11">
        <v>174.30510468550338</v>
      </c>
      <c r="D2971" s="42"/>
    </row>
    <row r="2972" spans="2:4" ht="16" thickBot="1" x14ac:dyDescent="0.25">
      <c r="B2972" s="4">
        <v>2967</v>
      </c>
      <c r="C2972" s="10">
        <v>240.33952193911114</v>
      </c>
      <c r="D2972" s="42"/>
    </row>
    <row r="2973" spans="2:4" ht="16" thickBot="1" x14ac:dyDescent="0.25">
      <c r="B2973" s="5">
        <v>2968</v>
      </c>
      <c r="C2973" s="11">
        <v>188.92738483997118</v>
      </c>
      <c r="D2973" s="42"/>
    </row>
    <row r="2974" spans="2:4" ht="16" thickBot="1" x14ac:dyDescent="0.25">
      <c r="B2974" s="4">
        <v>2969</v>
      </c>
      <c r="C2974" s="10">
        <v>146.10918603320377</v>
      </c>
      <c r="D2974" s="42"/>
    </row>
    <row r="2975" spans="2:4" ht="16" thickBot="1" x14ac:dyDescent="0.25">
      <c r="B2975" s="5">
        <v>2970</v>
      </c>
      <c r="C2975" s="11">
        <v>215.4122942500999</v>
      </c>
      <c r="D2975" s="42"/>
    </row>
    <row r="2976" spans="2:4" ht="16" thickBot="1" x14ac:dyDescent="0.25">
      <c r="B2976" s="4">
        <v>2971</v>
      </c>
      <c r="C2976" s="10">
        <v>148.17990358368488</v>
      </c>
      <c r="D2976" s="42"/>
    </row>
    <row r="2977" spans="2:4" ht="16" thickBot="1" x14ac:dyDescent="0.25">
      <c r="B2977" s="5">
        <v>2972</v>
      </c>
      <c r="C2977" s="11">
        <v>188.78278483497428</v>
      </c>
      <c r="D2977" s="42"/>
    </row>
    <row r="2978" spans="2:4" ht="16" thickBot="1" x14ac:dyDescent="0.25">
      <c r="B2978" s="4">
        <v>2973</v>
      </c>
      <c r="C2978" s="10">
        <v>90.581515432241659</v>
      </c>
      <c r="D2978" s="42"/>
    </row>
    <row r="2979" spans="2:4" ht="16" thickBot="1" x14ac:dyDescent="0.25">
      <c r="B2979" s="5">
        <v>2974</v>
      </c>
      <c r="C2979" s="11">
        <v>268.66313235545744</v>
      </c>
      <c r="D2979" s="42"/>
    </row>
    <row r="2980" spans="2:4" ht="16" thickBot="1" x14ac:dyDescent="0.25">
      <c r="B2980" s="4">
        <v>2975</v>
      </c>
      <c r="C2980" s="10">
        <v>173.18768745893723</v>
      </c>
      <c r="D2980" s="42"/>
    </row>
    <row r="2981" spans="2:4" ht="16" thickBot="1" x14ac:dyDescent="0.25">
      <c r="B2981" s="5">
        <v>2976</v>
      </c>
      <c r="C2981" s="11">
        <v>107.31767006590374</v>
      </c>
      <c r="D2981" s="42"/>
    </row>
    <row r="2982" spans="2:4" ht="16" thickBot="1" x14ac:dyDescent="0.25">
      <c r="B2982" s="4">
        <v>2977</v>
      </c>
      <c r="C2982" s="10">
        <v>385.60913555305166</v>
      </c>
      <c r="D2982" s="42"/>
    </row>
    <row r="2983" spans="2:4" ht="16" thickBot="1" x14ac:dyDescent="0.25">
      <c r="B2983" s="5">
        <v>2978</v>
      </c>
      <c r="C2983" s="11">
        <v>210.41640737425107</v>
      </c>
      <c r="D2983" s="42"/>
    </row>
    <row r="2984" spans="2:4" ht="16" thickBot="1" x14ac:dyDescent="0.25">
      <c r="B2984" s="4">
        <v>2979</v>
      </c>
      <c r="C2984" s="10">
        <v>155.22397449489176</v>
      </c>
      <c r="D2984" s="42"/>
    </row>
    <row r="2985" spans="2:4" ht="16" thickBot="1" x14ac:dyDescent="0.25">
      <c r="B2985" s="5">
        <v>2980</v>
      </c>
      <c r="C2985" s="11">
        <v>420.79638513391666</v>
      </c>
      <c r="D2985" s="42"/>
    </row>
    <row r="2986" spans="2:4" ht="16" thickBot="1" x14ac:dyDescent="0.25">
      <c r="B2986" s="4">
        <v>2981</v>
      </c>
      <c r="C2986" s="10">
        <v>324.35201623341743</v>
      </c>
      <c r="D2986" s="42"/>
    </row>
    <row r="2987" spans="2:4" ht="16" thickBot="1" x14ac:dyDescent="0.25">
      <c r="B2987" s="5">
        <v>2982</v>
      </c>
      <c r="C2987" s="11">
        <v>203.42393629322456</v>
      </c>
      <c r="D2987" s="42"/>
    </row>
    <row r="2988" spans="2:4" ht="16" thickBot="1" x14ac:dyDescent="0.25">
      <c r="B2988" s="4">
        <v>2983</v>
      </c>
      <c r="C2988" s="10">
        <v>565.23642325123831</v>
      </c>
      <c r="D2988" s="42"/>
    </row>
    <row r="2989" spans="2:4" ht="16" thickBot="1" x14ac:dyDescent="0.25">
      <c r="B2989" s="5">
        <v>2984</v>
      </c>
      <c r="C2989" s="11">
        <v>629.97360857899037</v>
      </c>
      <c r="D2989" s="42"/>
    </row>
    <row r="2990" spans="2:4" ht="16" thickBot="1" x14ac:dyDescent="0.25">
      <c r="B2990" s="4">
        <v>2985</v>
      </c>
      <c r="C2990" s="10">
        <v>84.48087012608481</v>
      </c>
      <c r="D2990" s="42"/>
    </row>
    <row r="2991" spans="2:4" ht="16" thickBot="1" x14ac:dyDescent="0.25">
      <c r="B2991" s="5">
        <v>2986</v>
      </c>
      <c r="C2991" s="11">
        <v>95.940731981691485</v>
      </c>
      <c r="D2991" s="42"/>
    </row>
    <row r="2992" spans="2:4" ht="16" thickBot="1" x14ac:dyDescent="0.25">
      <c r="B2992" s="4">
        <v>2987</v>
      </c>
      <c r="C2992" s="10">
        <v>145.21361938143173</v>
      </c>
      <c r="D2992" s="42"/>
    </row>
    <row r="2993" spans="2:4" ht="16" thickBot="1" x14ac:dyDescent="0.25">
      <c r="B2993" s="5">
        <v>2988</v>
      </c>
      <c r="C2993" s="11">
        <v>266.34869213845474</v>
      </c>
      <c r="D2993" s="42"/>
    </row>
    <row r="2994" spans="2:4" ht="16" thickBot="1" x14ac:dyDescent="0.25">
      <c r="B2994" s="4">
        <v>2989</v>
      </c>
      <c r="C2994" s="10">
        <v>257.23136159849065</v>
      </c>
      <c r="D2994" s="42"/>
    </row>
    <row r="2995" spans="2:4" ht="16" thickBot="1" x14ac:dyDescent="0.25">
      <c r="B2995" s="5">
        <v>2990</v>
      </c>
      <c r="C2995" s="11">
        <v>319.92195407139297</v>
      </c>
      <c r="D2995" s="42"/>
    </row>
    <row r="2996" spans="2:4" ht="16" thickBot="1" x14ac:dyDescent="0.25">
      <c r="B2996" s="4">
        <v>2991</v>
      </c>
      <c r="C2996" s="10">
        <v>432.37085790057165</v>
      </c>
      <c r="D2996" s="42"/>
    </row>
    <row r="2997" spans="2:4" ht="16" thickBot="1" x14ac:dyDescent="0.25">
      <c r="B2997" s="5">
        <v>2992</v>
      </c>
      <c r="C2997" s="11">
        <v>118.04046272412607</v>
      </c>
      <c r="D2997" s="42"/>
    </row>
    <row r="2998" spans="2:4" ht="16" thickBot="1" x14ac:dyDescent="0.25">
      <c r="B2998" s="4">
        <v>2993</v>
      </c>
      <c r="C2998" s="10">
        <v>184.91409618201141</v>
      </c>
      <c r="D2998" s="42"/>
    </row>
    <row r="2999" spans="2:4" ht="16" thickBot="1" x14ac:dyDescent="0.25">
      <c r="B2999" s="5">
        <v>2994</v>
      </c>
      <c r="C2999" s="11">
        <v>591.76457417803067</v>
      </c>
      <c r="D2999" s="42"/>
    </row>
    <row r="3000" spans="2:4" ht="16" thickBot="1" x14ac:dyDescent="0.25">
      <c r="B3000" s="4">
        <v>2995</v>
      </c>
      <c r="C3000" s="10">
        <v>333.98053307578749</v>
      </c>
      <c r="D3000" s="42"/>
    </row>
    <row r="3001" spans="2:4" ht="16" thickBot="1" x14ac:dyDescent="0.25">
      <c r="B3001" s="5">
        <v>2996</v>
      </c>
      <c r="C3001" s="11">
        <v>143.0516299068444</v>
      </c>
      <c r="D3001" s="42"/>
    </row>
    <row r="3002" spans="2:4" ht="16" thickBot="1" x14ac:dyDescent="0.25">
      <c r="B3002" s="4">
        <v>2997</v>
      </c>
      <c r="C3002" s="10">
        <v>264.89367194442769</v>
      </c>
      <c r="D3002" s="42"/>
    </row>
    <row r="3003" spans="2:4" ht="16" thickBot="1" x14ac:dyDescent="0.25">
      <c r="B3003" s="5">
        <v>2998</v>
      </c>
      <c r="C3003" s="11">
        <v>186.47035034828653</v>
      </c>
      <c r="D3003" s="42"/>
    </row>
    <row r="3004" spans="2:4" ht="16" thickBot="1" x14ac:dyDescent="0.25">
      <c r="B3004" s="4">
        <v>2999</v>
      </c>
      <c r="C3004" s="10">
        <v>543.05517415039139</v>
      </c>
      <c r="D3004" s="42"/>
    </row>
    <row r="3005" spans="2:4" ht="16" thickBot="1" x14ac:dyDescent="0.25">
      <c r="B3005" s="5">
        <v>3000</v>
      </c>
      <c r="C3005" s="11">
        <v>250.02162840430401</v>
      </c>
      <c r="D3005" s="42"/>
    </row>
    <row r="3006" spans="2:4" ht="16" thickBot="1" x14ac:dyDescent="0.25">
      <c r="B3006" s="4">
        <v>3001</v>
      </c>
      <c r="C3006" s="10">
        <v>771.7309650205583</v>
      </c>
      <c r="D3006" s="42"/>
    </row>
    <row r="3007" spans="2:4" ht="16" thickBot="1" x14ac:dyDescent="0.25">
      <c r="B3007" s="5">
        <v>3002</v>
      </c>
      <c r="C3007" s="11">
        <v>171.49690121870964</v>
      </c>
      <c r="D3007" s="42"/>
    </row>
    <row r="3008" spans="2:4" ht="16" thickBot="1" x14ac:dyDescent="0.25">
      <c r="B3008" s="4">
        <v>3003</v>
      </c>
      <c r="C3008" s="10">
        <v>372.44793495053415</v>
      </c>
      <c r="D3008" s="42"/>
    </row>
    <row r="3009" spans="2:4" ht="16" thickBot="1" x14ac:dyDescent="0.25">
      <c r="B3009" s="5">
        <v>3004</v>
      </c>
      <c r="C3009" s="11">
        <v>321.15478860390056</v>
      </c>
      <c r="D3009" s="42"/>
    </row>
    <row r="3010" spans="2:4" ht="16" thickBot="1" x14ac:dyDescent="0.25">
      <c r="B3010" s="4">
        <v>3005</v>
      </c>
      <c r="C3010" s="10">
        <v>266.47650696150913</v>
      </c>
      <c r="D3010" s="42"/>
    </row>
    <row r="3011" spans="2:4" ht="16" thickBot="1" x14ac:dyDescent="0.25">
      <c r="B3011" s="5">
        <v>3006</v>
      </c>
      <c r="C3011" s="11">
        <v>279.44177423390062</v>
      </c>
      <c r="D3011" s="42"/>
    </row>
    <row r="3012" spans="2:4" ht="16" thickBot="1" x14ac:dyDescent="0.25">
      <c r="B3012" s="4">
        <v>3007</v>
      </c>
      <c r="C3012" s="10">
        <v>111.07991127895724</v>
      </c>
      <c r="D3012" s="42"/>
    </row>
    <row r="3013" spans="2:4" ht="16" thickBot="1" x14ac:dyDescent="0.25">
      <c r="B3013" s="5">
        <v>3008</v>
      </c>
      <c r="C3013" s="11">
        <v>85.21838773627924</v>
      </c>
      <c r="D3013" s="42"/>
    </row>
    <row r="3014" spans="2:4" ht="16" thickBot="1" x14ac:dyDescent="0.25">
      <c r="B3014" s="4">
        <v>3009</v>
      </c>
      <c r="C3014" s="10">
        <v>188.50267026065347</v>
      </c>
      <c r="D3014" s="42"/>
    </row>
    <row r="3015" spans="2:4" ht="16" thickBot="1" x14ac:dyDescent="0.25">
      <c r="B3015" s="5">
        <v>3010</v>
      </c>
      <c r="C3015" s="11">
        <v>465.95734885964771</v>
      </c>
      <c r="D3015" s="42"/>
    </row>
    <row r="3016" spans="2:4" ht="16" thickBot="1" x14ac:dyDescent="0.25">
      <c r="B3016" s="4">
        <v>3011</v>
      </c>
      <c r="C3016" s="10">
        <v>143.69257715762606</v>
      </c>
      <c r="D3016" s="42"/>
    </row>
    <row r="3017" spans="2:4" ht="16" thickBot="1" x14ac:dyDescent="0.25">
      <c r="B3017" s="5">
        <v>3012</v>
      </c>
      <c r="C3017" s="11">
        <v>298.18867460999746</v>
      </c>
      <c r="D3017" s="42"/>
    </row>
    <row r="3018" spans="2:4" ht="16" thickBot="1" x14ac:dyDescent="0.25">
      <c r="B3018" s="4">
        <v>3013</v>
      </c>
      <c r="C3018" s="10">
        <v>182.16954627789215</v>
      </c>
      <c r="D3018" s="42"/>
    </row>
    <row r="3019" spans="2:4" ht="16" thickBot="1" x14ac:dyDescent="0.25">
      <c r="B3019" s="5">
        <v>3014</v>
      </c>
      <c r="C3019" s="11">
        <v>284.45573156219353</v>
      </c>
      <c r="D3019" s="42"/>
    </row>
    <row r="3020" spans="2:4" ht="16" thickBot="1" x14ac:dyDescent="0.25">
      <c r="B3020" s="4">
        <v>3015</v>
      </c>
      <c r="C3020" s="10">
        <v>588.26530346707978</v>
      </c>
      <c r="D3020" s="42"/>
    </row>
    <row r="3021" spans="2:4" ht="16" thickBot="1" x14ac:dyDescent="0.25">
      <c r="B3021" s="5">
        <v>3016</v>
      </c>
      <c r="C3021" s="11">
        <v>563.43551421688699</v>
      </c>
      <c r="D3021" s="42"/>
    </row>
    <row r="3022" spans="2:4" ht="16" thickBot="1" x14ac:dyDescent="0.25">
      <c r="B3022" s="4">
        <v>3017</v>
      </c>
      <c r="C3022" s="10">
        <v>147.66653316169754</v>
      </c>
      <c r="D3022" s="42"/>
    </row>
    <row r="3023" spans="2:4" ht="16" thickBot="1" x14ac:dyDescent="0.25">
      <c r="B3023" s="5">
        <v>3018</v>
      </c>
      <c r="C3023" s="11">
        <v>127.95965735216296</v>
      </c>
      <c r="D3023" s="42"/>
    </row>
    <row r="3024" spans="2:4" ht="16" thickBot="1" x14ac:dyDescent="0.25">
      <c r="B3024" s="4">
        <v>3019</v>
      </c>
      <c r="C3024" s="10">
        <v>225.75633221992678</v>
      </c>
      <c r="D3024" s="42"/>
    </row>
    <row r="3025" spans="2:4" ht="16" thickBot="1" x14ac:dyDescent="0.25">
      <c r="B3025" s="5">
        <v>3020</v>
      </c>
      <c r="C3025" s="11">
        <v>459.08038160762214</v>
      </c>
      <c r="D3025" s="42"/>
    </row>
    <row r="3026" spans="2:4" ht="16" thickBot="1" x14ac:dyDescent="0.25">
      <c r="B3026" s="4">
        <v>3021</v>
      </c>
      <c r="C3026" s="10">
        <v>151.23337094392207</v>
      </c>
      <c r="D3026" s="42"/>
    </row>
    <row r="3027" spans="2:4" ht="16" thickBot="1" x14ac:dyDescent="0.25">
      <c r="B3027" s="5">
        <v>3022</v>
      </c>
      <c r="C3027" s="11">
        <v>341.27963860617928</v>
      </c>
      <c r="D3027" s="42"/>
    </row>
    <row r="3028" spans="2:4" ht="16" thickBot="1" x14ac:dyDescent="0.25">
      <c r="B3028" s="4">
        <v>3023</v>
      </c>
      <c r="C3028" s="10">
        <v>96.461516785221278</v>
      </c>
      <c r="D3028" s="42"/>
    </row>
    <row r="3029" spans="2:4" ht="16" thickBot="1" x14ac:dyDescent="0.25">
      <c r="B3029" s="5">
        <v>3024</v>
      </c>
      <c r="C3029" s="11">
        <v>58.335954617097009</v>
      </c>
      <c r="D3029" s="42"/>
    </row>
    <row r="3030" spans="2:4" ht="16" thickBot="1" x14ac:dyDescent="0.25">
      <c r="B3030" s="4">
        <v>3025</v>
      </c>
      <c r="C3030" s="10">
        <v>286.64928244334385</v>
      </c>
      <c r="D3030" s="42"/>
    </row>
    <row r="3031" spans="2:4" ht="16" thickBot="1" x14ac:dyDescent="0.25">
      <c r="B3031" s="5">
        <v>3026</v>
      </c>
      <c r="C3031" s="11">
        <v>82.982199562888056</v>
      </c>
      <c r="D3031" s="42"/>
    </row>
    <row r="3032" spans="2:4" ht="16" thickBot="1" x14ac:dyDescent="0.25">
      <c r="B3032" s="4">
        <v>3027</v>
      </c>
      <c r="C3032" s="10">
        <v>58.766935221215626</v>
      </c>
      <c r="D3032" s="42"/>
    </row>
    <row r="3033" spans="2:4" ht="16" thickBot="1" x14ac:dyDescent="0.25">
      <c r="B3033" s="5">
        <v>3028</v>
      </c>
      <c r="C3033" s="11">
        <v>74.930714043349866</v>
      </c>
      <c r="D3033" s="42"/>
    </row>
    <row r="3034" spans="2:4" ht="16" thickBot="1" x14ac:dyDescent="0.25">
      <c r="B3034" s="4">
        <v>3029</v>
      </c>
      <c r="C3034" s="10">
        <v>175.4641672291506</v>
      </c>
      <c r="D3034" s="42"/>
    </row>
    <row r="3035" spans="2:4" ht="16" thickBot="1" x14ac:dyDescent="0.25">
      <c r="B3035" s="5">
        <v>3030</v>
      </c>
      <c r="C3035" s="11">
        <v>113.61372468737017</v>
      </c>
      <c r="D3035" s="42"/>
    </row>
    <row r="3036" spans="2:4" ht="16" thickBot="1" x14ac:dyDescent="0.25">
      <c r="B3036" s="4">
        <v>3031</v>
      </c>
      <c r="C3036" s="10">
        <v>218.64923642245978</v>
      </c>
      <c r="D3036" s="42"/>
    </row>
    <row r="3037" spans="2:4" ht="16" thickBot="1" x14ac:dyDescent="0.25">
      <c r="B3037" s="5">
        <v>3032</v>
      </c>
      <c r="C3037" s="11">
        <v>153.52562117029515</v>
      </c>
      <c r="D3037" s="42"/>
    </row>
    <row r="3038" spans="2:4" ht="16" thickBot="1" x14ac:dyDescent="0.25">
      <c r="B3038" s="4">
        <v>3033</v>
      </c>
      <c r="C3038" s="10">
        <v>503.60323678804508</v>
      </c>
      <c r="D3038" s="42"/>
    </row>
    <row r="3039" spans="2:4" ht="16" thickBot="1" x14ac:dyDescent="0.25">
      <c r="B3039" s="5">
        <v>3034</v>
      </c>
      <c r="C3039" s="11">
        <v>159.37039217954154</v>
      </c>
      <c r="D3039" s="42"/>
    </row>
    <row r="3040" spans="2:4" ht="16" thickBot="1" x14ac:dyDescent="0.25">
      <c r="B3040" s="4">
        <v>3035</v>
      </c>
      <c r="C3040" s="10">
        <v>442.81534992197874</v>
      </c>
      <c r="D3040" s="42"/>
    </row>
    <row r="3041" spans="2:4" ht="16" thickBot="1" x14ac:dyDescent="0.25">
      <c r="B3041" s="5">
        <v>3036</v>
      </c>
      <c r="C3041" s="11">
        <v>340.98436891895932</v>
      </c>
      <c r="D3041" s="42"/>
    </row>
    <row r="3042" spans="2:4" ht="16" thickBot="1" x14ac:dyDescent="0.25">
      <c r="B3042" s="4">
        <v>3037</v>
      </c>
      <c r="C3042" s="10">
        <v>475.84860341471312</v>
      </c>
      <c r="D3042" s="42"/>
    </row>
    <row r="3043" spans="2:4" ht="16" thickBot="1" x14ac:dyDescent="0.25">
      <c r="B3043" s="5">
        <v>3038</v>
      </c>
      <c r="C3043" s="11">
        <v>130.41676683361845</v>
      </c>
      <c r="D3043" s="42"/>
    </row>
    <row r="3044" spans="2:4" ht="16" thickBot="1" x14ac:dyDescent="0.25">
      <c r="B3044" s="4">
        <v>3039</v>
      </c>
      <c r="C3044" s="10">
        <v>52.986580167721343</v>
      </c>
      <c r="D3044" s="42"/>
    </row>
    <row r="3045" spans="2:4" ht="16" thickBot="1" x14ac:dyDescent="0.25">
      <c r="B3045" s="5">
        <v>3040</v>
      </c>
      <c r="C3045" s="11">
        <v>178.26784315811784</v>
      </c>
      <c r="D3045" s="42"/>
    </row>
    <row r="3046" spans="2:4" ht="16" thickBot="1" x14ac:dyDescent="0.25">
      <c r="B3046" s="4">
        <v>3041</v>
      </c>
      <c r="C3046" s="10">
        <v>96.939548198297246</v>
      </c>
      <c r="D3046" s="42"/>
    </row>
    <row r="3047" spans="2:4" ht="16" thickBot="1" x14ac:dyDescent="0.25">
      <c r="B3047" s="5">
        <v>3042</v>
      </c>
      <c r="C3047" s="11">
        <v>222.82468329661035</v>
      </c>
      <c r="D3047" s="42"/>
    </row>
    <row r="3048" spans="2:4" ht="16" thickBot="1" x14ac:dyDescent="0.25">
      <c r="B3048" s="4">
        <v>3043</v>
      </c>
      <c r="C3048" s="10">
        <v>145.93340530430615</v>
      </c>
      <c r="D3048" s="42"/>
    </row>
    <row r="3049" spans="2:4" ht="16" thickBot="1" x14ac:dyDescent="0.25">
      <c r="B3049" s="5">
        <v>3044</v>
      </c>
      <c r="C3049" s="11">
        <v>41.96345396813124</v>
      </c>
      <c r="D3049" s="42"/>
    </row>
    <row r="3050" spans="2:4" ht="16" thickBot="1" x14ac:dyDescent="0.25">
      <c r="B3050" s="4">
        <v>3045</v>
      </c>
      <c r="C3050" s="10">
        <v>380.86511484723388</v>
      </c>
      <c r="D3050" s="42"/>
    </row>
    <row r="3051" spans="2:4" ht="16" thickBot="1" x14ac:dyDescent="0.25">
      <c r="B3051" s="5">
        <v>3046</v>
      </c>
      <c r="C3051" s="11">
        <v>123.91925481755804</v>
      </c>
      <c r="D3051" s="42"/>
    </row>
    <row r="3052" spans="2:4" ht="16" thickBot="1" x14ac:dyDescent="0.25">
      <c r="B3052" s="4">
        <v>3047</v>
      </c>
      <c r="C3052" s="10">
        <v>99.111819624518645</v>
      </c>
      <c r="D3052" s="42"/>
    </row>
    <row r="3053" spans="2:4" ht="16" thickBot="1" x14ac:dyDescent="0.25">
      <c r="B3053" s="5">
        <v>3048</v>
      </c>
      <c r="C3053" s="11">
        <v>287.89174110618075</v>
      </c>
      <c r="D3053" s="42"/>
    </row>
    <row r="3054" spans="2:4" ht="16" thickBot="1" x14ac:dyDescent="0.25">
      <c r="B3054" s="4">
        <v>3049</v>
      </c>
      <c r="C3054" s="10">
        <v>419.46347906371784</v>
      </c>
      <c r="D3054" s="42"/>
    </row>
    <row r="3055" spans="2:4" ht="16" thickBot="1" x14ac:dyDescent="0.25">
      <c r="B3055" s="5">
        <v>3050</v>
      </c>
      <c r="C3055" s="11">
        <v>553.17798221906526</v>
      </c>
      <c r="D3055" s="42"/>
    </row>
    <row r="3056" spans="2:4" ht="16" thickBot="1" x14ac:dyDescent="0.25">
      <c r="B3056" s="4">
        <v>3051</v>
      </c>
      <c r="C3056" s="10">
        <v>511.92364951529544</v>
      </c>
      <c r="D3056" s="42"/>
    </row>
    <row r="3057" spans="2:4" ht="16" thickBot="1" x14ac:dyDescent="0.25">
      <c r="B3057" s="5">
        <v>3052</v>
      </c>
      <c r="C3057" s="11">
        <v>791.82080064635534</v>
      </c>
      <c r="D3057" s="42"/>
    </row>
    <row r="3058" spans="2:4" ht="16" thickBot="1" x14ac:dyDescent="0.25">
      <c r="B3058" s="4">
        <v>3053</v>
      </c>
      <c r="C3058" s="10">
        <v>335.14378469070425</v>
      </c>
      <c r="D3058" s="42"/>
    </row>
    <row r="3059" spans="2:4" ht="16" thickBot="1" x14ac:dyDescent="0.25">
      <c r="B3059" s="5">
        <v>3054</v>
      </c>
      <c r="C3059" s="11">
        <v>126.66976514632695</v>
      </c>
      <c r="D3059" s="42"/>
    </row>
    <row r="3060" spans="2:4" ht="16" thickBot="1" x14ac:dyDescent="0.25">
      <c r="B3060" s="4">
        <v>3055</v>
      </c>
      <c r="C3060" s="10">
        <v>588.38850161618473</v>
      </c>
      <c r="D3060" s="42"/>
    </row>
    <row r="3061" spans="2:4" ht="16" thickBot="1" x14ac:dyDescent="0.25">
      <c r="B3061" s="5">
        <v>3056</v>
      </c>
      <c r="C3061" s="11">
        <v>160.15976931409321</v>
      </c>
      <c r="D3061" s="42"/>
    </row>
    <row r="3062" spans="2:4" ht="16" thickBot="1" x14ac:dyDescent="0.25">
      <c r="B3062" s="4">
        <v>3057</v>
      </c>
      <c r="C3062" s="10">
        <v>171.41050990942358</v>
      </c>
      <c r="D3062" s="42"/>
    </row>
    <row r="3063" spans="2:4" ht="16" thickBot="1" x14ac:dyDescent="0.25">
      <c r="B3063" s="5">
        <v>3058</v>
      </c>
      <c r="C3063" s="11">
        <v>261.6243343318589</v>
      </c>
      <c r="D3063" s="42"/>
    </row>
    <row r="3064" spans="2:4" ht="16" thickBot="1" x14ac:dyDescent="0.25">
      <c r="B3064" s="4">
        <v>3059</v>
      </c>
      <c r="C3064" s="10">
        <v>292.69559128424754</v>
      </c>
      <c r="D3064" s="42"/>
    </row>
    <row r="3065" spans="2:4" ht="16" thickBot="1" x14ac:dyDescent="0.25">
      <c r="B3065" s="5">
        <v>3060</v>
      </c>
      <c r="C3065" s="11">
        <v>112.19209563451281</v>
      </c>
      <c r="D3065" s="42"/>
    </row>
    <row r="3066" spans="2:4" ht="16" thickBot="1" x14ac:dyDescent="0.25">
      <c r="B3066" s="4">
        <v>3061</v>
      </c>
      <c r="C3066" s="10">
        <v>369.71135540847496</v>
      </c>
      <c r="D3066" s="42"/>
    </row>
    <row r="3067" spans="2:4" ht="16" thickBot="1" x14ac:dyDescent="0.25">
      <c r="B3067" s="5">
        <v>3062</v>
      </c>
      <c r="C3067" s="11">
        <v>250.19805045327433</v>
      </c>
      <c r="D3067" s="42"/>
    </row>
    <row r="3068" spans="2:4" ht="16" thickBot="1" x14ac:dyDescent="0.25">
      <c r="B3068" s="4">
        <v>3063</v>
      </c>
      <c r="C3068" s="10">
        <v>402.79169274616635</v>
      </c>
      <c r="D3068" s="42"/>
    </row>
    <row r="3069" spans="2:4" ht="16" thickBot="1" x14ac:dyDescent="0.25">
      <c r="B3069" s="5">
        <v>3064</v>
      </c>
      <c r="C3069" s="11">
        <v>562.7742225210128</v>
      </c>
      <c r="D3069" s="42"/>
    </row>
    <row r="3070" spans="2:4" ht="16" thickBot="1" x14ac:dyDescent="0.25">
      <c r="B3070" s="4">
        <v>3065</v>
      </c>
      <c r="C3070" s="10">
        <v>161.15182388652894</v>
      </c>
      <c r="D3070" s="42"/>
    </row>
    <row r="3071" spans="2:4" ht="16" thickBot="1" x14ac:dyDescent="0.25">
      <c r="B3071" s="5">
        <v>3066</v>
      </c>
      <c r="C3071" s="11">
        <v>289.16498088284089</v>
      </c>
      <c r="D3071" s="42"/>
    </row>
    <row r="3072" spans="2:4" ht="16" thickBot="1" x14ac:dyDescent="0.25">
      <c r="B3072" s="4">
        <v>3067</v>
      </c>
      <c r="C3072" s="10">
        <v>381.62793616072634</v>
      </c>
      <c r="D3072" s="42"/>
    </row>
    <row r="3073" spans="2:4" ht="16" thickBot="1" x14ac:dyDescent="0.25">
      <c r="B3073" s="5">
        <v>3068</v>
      </c>
      <c r="C3073" s="11">
        <v>454.46977372658699</v>
      </c>
      <c r="D3073" s="42"/>
    </row>
    <row r="3074" spans="2:4" ht="16" thickBot="1" x14ac:dyDescent="0.25">
      <c r="B3074" s="4">
        <v>3069</v>
      </c>
      <c r="C3074" s="10">
        <v>130.43559385277001</v>
      </c>
      <c r="D3074" s="42"/>
    </row>
    <row r="3075" spans="2:4" ht="16" thickBot="1" x14ac:dyDescent="0.25">
      <c r="B3075" s="5">
        <v>3070</v>
      </c>
      <c r="C3075" s="11">
        <v>314.55091211647465</v>
      </c>
      <c r="D3075" s="42"/>
    </row>
    <row r="3076" spans="2:4" ht="16" thickBot="1" x14ac:dyDescent="0.25">
      <c r="B3076" s="4">
        <v>3071</v>
      </c>
      <c r="C3076" s="10">
        <v>231.70161458550626</v>
      </c>
      <c r="D3076" s="42"/>
    </row>
    <row r="3077" spans="2:4" ht="16" thickBot="1" x14ac:dyDescent="0.25">
      <c r="B3077" s="5">
        <v>3072</v>
      </c>
      <c r="C3077" s="11">
        <v>176.56321508926547</v>
      </c>
      <c r="D3077" s="42"/>
    </row>
    <row r="3078" spans="2:4" ht="16" thickBot="1" x14ac:dyDescent="0.25">
      <c r="B3078" s="4">
        <v>3073</v>
      </c>
      <c r="C3078" s="10">
        <v>252.32042995150096</v>
      </c>
      <c r="D3078" s="42"/>
    </row>
    <row r="3079" spans="2:4" ht="16" thickBot="1" x14ac:dyDescent="0.25">
      <c r="B3079" s="5">
        <v>3074</v>
      </c>
      <c r="C3079" s="11">
        <v>241.5609862986002</v>
      </c>
      <c r="D3079" s="42"/>
    </row>
    <row r="3080" spans="2:4" ht="16" thickBot="1" x14ac:dyDescent="0.25">
      <c r="B3080" s="4">
        <v>3075</v>
      </c>
      <c r="C3080" s="10">
        <v>356.62545117695225</v>
      </c>
      <c r="D3080" s="42"/>
    </row>
    <row r="3081" spans="2:4" ht="16" thickBot="1" x14ac:dyDescent="0.25">
      <c r="B3081" s="5">
        <v>3076</v>
      </c>
      <c r="C3081" s="11">
        <v>50.656313745712055</v>
      </c>
      <c r="D3081" s="42"/>
    </row>
    <row r="3082" spans="2:4" ht="16" thickBot="1" x14ac:dyDescent="0.25">
      <c r="B3082" s="4">
        <v>3077</v>
      </c>
      <c r="C3082" s="10">
        <v>191.36871237756748</v>
      </c>
      <c r="D3082" s="42"/>
    </row>
    <row r="3083" spans="2:4" ht="16" thickBot="1" x14ac:dyDescent="0.25">
      <c r="B3083" s="5">
        <v>3078</v>
      </c>
      <c r="C3083" s="11">
        <v>651.03032348640465</v>
      </c>
      <c r="D3083" s="42"/>
    </row>
    <row r="3084" spans="2:4" ht="16" thickBot="1" x14ac:dyDescent="0.25">
      <c r="B3084" s="4">
        <v>3079</v>
      </c>
      <c r="C3084" s="10">
        <v>269.12548836329165</v>
      </c>
      <c r="D3084" s="42"/>
    </row>
    <row r="3085" spans="2:4" ht="16" thickBot="1" x14ac:dyDescent="0.25">
      <c r="B3085" s="5">
        <v>3080</v>
      </c>
      <c r="C3085" s="11">
        <v>246.36896753001352</v>
      </c>
      <c r="D3085" s="42"/>
    </row>
    <row r="3086" spans="2:4" ht="16" thickBot="1" x14ac:dyDescent="0.25">
      <c r="B3086" s="4">
        <v>3081</v>
      </c>
      <c r="C3086" s="10">
        <v>125.68877488761126</v>
      </c>
      <c r="D3086" s="42"/>
    </row>
    <row r="3087" spans="2:4" ht="16" thickBot="1" x14ac:dyDescent="0.25">
      <c r="B3087" s="5">
        <v>3082</v>
      </c>
      <c r="C3087" s="11">
        <v>212.65474208900955</v>
      </c>
      <c r="D3087" s="42"/>
    </row>
    <row r="3088" spans="2:4" ht="16" thickBot="1" x14ac:dyDescent="0.25">
      <c r="B3088" s="4">
        <v>3083</v>
      </c>
      <c r="C3088" s="10">
        <v>306.54423177267438</v>
      </c>
      <c r="D3088" s="42"/>
    </row>
    <row r="3089" spans="2:4" ht="16" thickBot="1" x14ac:dyDescent="0.25">
      <c r="B3089" s="5">
        <v>3084</v>
      </c>
      <c r="C3089" s="11">
        <v>86.76354595085337</v>
      </c>
      <c r="D3089" s="42"/>
    </row>
    <row r="3090" spans="2:4" ht="16" thickBot="1" x14ac:dyDescent="0.25">
      <c r="B3090" s="4">
        <v>3085</v>
      </c>
      <c r="C3090" s="10">
        <v>330.62461347860449</v>
      </c>
      <c r="D3090" s="42"/>
    </row>
    <row r="3091" spans="2:4" ht="16" thickBot="1" x14ac:dyDescent="0.25">
      <c r="B3091" s="5">
        <v>3086</v>
      </c>
      <c r="C3091" s="11">
        <v>135.37035527412479</v>
      </c>
      <c r="D3091" s="42"/>
    </row>
    <row r="3092" spans="2:4" ht="16" thickBot="1" x14ac:dyDescent="0.25">
      <c r="B3092" s="4">
        <v>3087</v>
      </c>
      <c r="C3092" s="10">
        <v>807.14278733065805</v>
      </c>
      <c r="D3092" s="42"/>
    </row>
    <row r="3093" spans="2:4" ht="16" thickBot="1" x14ac:dyDescent="0.25">
      <c r="B3093" s="5">
        <v>3088</v>
      </c>
      <c r="C3093" s="11">
        <v>278.3078396289207</v>
      </c>
      <c r="D3093" s="42"/>
    </row>
    <row r="3094" spans="2:4" ht="16" thickBot="1" x14ac:dyDescent="0.25">
      <c r="B3094" s="4">
        <v>3089</v>
      </c>
      <c r="C3094" s="10">
        <v>377.12322838117421</v>
      </c>
      <c r="D3094" s="42"/>
    </row>
    <row r="3095" spans="2:4" ht="16" thickBot="1" x14ac:dyDescent="0.25">
      <c r="B3095" s="5">
        <v>3090</v>
      </c>
      <c r="C3095" s="11">
        <v>573.10699582193524</v>
      </c>
      <c r="D3095" s="42"/>
    </row>
    <row r="3096" spans="2:4" ht="16" thickBot="1" x14ac:dyDescent="0.25">
      <c r="B3096" s="4">
        <v>3091</v>
      </c>
      <c r="C3096" s="10">
        <v>595.18562753293384</v>
      </c>
      <c r="D3096" s="42"/>
    </row>
    <row r="3097" spans="2:4" ht="16" thickBot="1" x14ac:dyDescent="0.25">
      <c r="B3097" s="5">
        <v>3092</v>
      </c>
      <c r="C3097" s="11">
        <v>196.0214796360867</v>
      </c>
      <c r="D3097" s="42"/>
    </row>
    <row r="3098" spans="2:4" ht="16" thickBot="1" x14ac:dyDescent="0.25">
      <c r="B3098" s="4">
        <v>3093</v>
      </c>
      <c r="C3098" s="10">
        <v>107.46215371949407</v>
      </c>
      <c r="D3098" s="42"/>
    </row>
    <row r="3099" spans="2:4" ht="16" thickBot="1" x14ac:dyDescent="0.25">
      <c r="B3099" s="5">
        <v>3094</v>
      </c>
      <c r="C3099" s="11">
        <v>241.86201109399846</v>
      </c>
      <c r="D3099" s="42"/>
    </row>
    <row r="3100" spans="2:4" ht="16" thickBot="1" x14ac:dyDescent="0.25">
      <c r="B3100" s="4">
        <v>3095</v>
      </c>
      <c r="C3100" s="10">
        <v>280.26879380072501</v>
      </c>
      <c r="D3100" s="42"/>
    </row>
    <row r="3101" spans="2:4" ht="16" thickBot="1" x14ac:dyDescent="0.25">
      <c r="B3101" s="5">
        <v>3096</v>
      </c>
      <c r="C3101" s="11">
        <v>396.96445011347447</v>
      </c>
      <c r="D3101" s="42"/>
    </row>
    <row r="3102" spans="2:4" ht="16" thickBot="1" x14ac:dyDescent="0.25">
      <c r="B3102" s="4">
        <v>3097</v>
      </c>
      <c r="C3102" s="10">
        <v>277.69015759390834</v>
      </c>
      <c r="D3102" s="42"/>
    </row>
    <row r="3103" spans="2:4" ht="16" thickBot="1" x14ac:dyDescent="0.25">
      <c r="B3103" s="5">
        <v>3098</v>
      </c>
      <c r="C3103" s="11">
        <v>374.6704447134199</v>
      </c>
      <c r="D3103" s="42"/>
    </row>
    <row r="3104" spans="2:4" ht="16" thickBot="1" x14ac:dyDescent="0.25">
      <c r="B3104" s="4">
        <v>3099</v>
      </c>
      <c r="C3104" s="10">
        <v>43.64505425289537</v>
      </c>
      <c r="D3104" s="42"/>
    </row>
    <row r="3105" spans="2:4" ht="16" thickBot="1" x14ac:dyDescent="0.25">
      <c r="B3105" s="5">
        <v>3100</v>
      </c>
      <c r="C3105" s="11">
        <v>246.82702824096688</v>
      </c>
      <c r="D3105" s="42"/>
    </row>
    <row r="3106" spans="2:4" ht="16" thickBot="1" x14ac:dyDescent="0.25">
      <c r="B3106" s="4">
        <v>3101</v>
      </c>
      <c r="C3106" s="10">
        <v>245.40207916956479</v>
      </c>
      <c r="D3106" s="42"/>
    </row>
    <row r="3107" spans="2:4" ht="16" thickBot="1" x14ac:dyDescent="0.25">
      <c r="B3107" s="5">
        <v>3102</v>
      </c>
      <c r="C3107" s="11">
        <v>19.533107158441574</v>
      </c>
      <c r="D3107" s="42"/>
    </row>
    <row r="3108" spans="2:4" ht="16" thickBot="1" x14ac:dyDescent="0.25">
      <c r="B3108" s="4">
        <v>3103</v>
      </c>
      <c r="C3108" s="10">
        <v>393.01824013789991</v>
      </c>
      <c r="D3108" s="42"/>
    </row>
    <row r="3109" spans="2:4" ht="16" thickBot="1" x14ac:dyDescent="0.25">
      <c r="B3109" s="5">
        <v>3104</v>
      </c>
      <c r="C3109" s="11">
        <v>313.27956464204374</v>
      </c>
      <c r="D3109" s="42"/>
    </row>
    <row r="3110" spans="2:4" ht="16" thickBot="1" x14ac:dyDescent="0.25">
      <c r="B3110" s="4">
        <v>3105</v>
      </c>
      <c r="C3110" s="10">
        <v>371.06066820206212</v>
      </c>
      <c r="D3110" s="42"/>
    </row>
    <row r="3111" spans="2:4" ht="16" thickBot="1" x14ac:dyDescent="0.25">
      <c r="B3111" s="5">
        <v>3106</v>
      </c>
      <c r="C3111" s="11">
        <v>168.27156341214689</v>
      </c>
      <c r="D3111" s="42"/>
    </row>
    <row r="3112" spans="2:4" ht="16" thickBot="1" x14ac:dyDescent="0.25">
      <c r="B3112" s="4">
        <v>3107</v>
      </c>
      <c r="C3112" s="10">
        <v>525.12136852566971</v>
      </c>
      <c r="D3112" s="42"/>
    </row>
    <row r="3113" spans="2:4" ht="16" thickBot="1" x14ac:dyDescent="0.25">
      <c r="B3113" s="5">
        <v>3108</v>
      </c>
      <c r="C3113" s="11">
        <v>334.37699623835306</v>
      </c>
      <c r="D3113" s="42"/>
    </row>
    <row r="3114" spans="2:4" ht="16" thickBot="1" x14ac:dyDescent="0.25">
      <c r="B3114" s="4">
        <v>3109</v>
      </c>
      <c r="C3114" s="10">
        <v>281.32962235974827</v>
      </c>
      <c r="D3114" s="42"/>
    </row>
    <row r="3115" spans="2:4" ht="16" thickBot="1" x14ac:dyDescent="0.25">
      <c r="B3115" s="5">
        <v>3110</v>
      </c>
      <c r="C3115" s="11">
        <v>142.20760756707992</v>
      </c>
      <c r="D3115" s="42"/>
    </row>
    <row r="3116" spans="2:4" ht="16" thickBot="1" x14ac:dyDescent="0.25">
      <c r="B3116" s="4">
        <v>3111</v>
      </c>
      <c r="C3116" s="10">
        <v>229.55497780523655</v>
      </c>
      <c r="D3116" s="42"/>
    </row>
    <row r="3117" spans="2:4" ht="16" thickBot="1" x14ac:dyDescent="0.25">
      <c r="B3117" s="5">
        <v>3112</v>
      </c>
      <c r="C3117" s="11">
        <v>303.74928322485005</v>
      </c>
      <c r="D3117" s="42"/>
    </row>
    <row r="3118" spans="2:4" ht="16" thickBot="1" x14ac:dyDescent="0.25">
      <c r="B3118" s="4">
        <v>3113</v>
      </c>
      <c r="C3118" s="10">
        <v>249.69885030279312</v>
      </c>
      <c r="D3118" s="42"/>
    </row>
    <row r="3119" spans="2:4" ht="16" thickBot="1" x14ac:dyDescent="0.25">
      <c r="B3119" s="5">
        <v>3114</v>
      </c>
      <c r="C3119" s="11">
        <v>152.65105768007456</v>
      </c>
      <c r="D3119" s="42"/>
    </row>
    <row r="3120" spans="2:4" ht="16" thickBot="1" x14ac:dyDescent="0.25">
      <c r="B3120" s="4">
        <v>3115</v>
      </c>
      <c r="C3120" s="10">
        <v>259.40778656855667</v>
      </c>
      <c r="D3120" s="42"/>
    </row>
    <row r="3121" spans="2:4" ht="16" thickBot="1" x14ac:dyDescent="0.25">
      <c r="B3121" s="5">
        <v>3116</v>
      </c>
      <c r="C3121" s="11">
        <v>245.54089242639958</v>
      </c>
      <c r="D3121" s="42"/>
    </row>
    <row r="3122" spans="2:4" ht="16" thickBot="1" x14ac:dyDescent="0.25">
      <c r="B3122" s="4">
        <v>3117</v>
      </c>
      <c r="C3122" s="10">
        <v>307.49396889480141</v>
      </c>
      <c r="D3122" s="42"/>
    </row>
    <row r="3123" spans="2:4" ht="16" thickBot="1" x14ac:dyDescent="0.25">
      <c r="B3123" s="5">
        <v>3118</v>
      </c>
      <c r="C3123" s="11">
        <v>136.0880627576212</v>
      </c>
      <c r="D3123" s="42"/>
    </row>
    <row r="3124" spans="2:4" ht="16" thickBot="1" x14ac:dyDescent="0.25">
      <c r="B3124" s="4">
        <v>3119</v>
      </c>
      <c r="C3124" s="10">
        <v>185.9284734086819</v>
      </c>
      <c r="D3124" s="42"/>
    </row>
    <row r="3125" spans="2:4" ht="16" thickBot="1" x14ac:dyDescent="0.25">
      <c r="B3125" s="5">
        <v>3120</v>
      </c>
      <c r="C3125" s="11">
        <v>486.1240500189154</v>
      </c>
      <c r="D3125" s="42"/>
    </row>
    <row r="3126" spans="2:4" ht="16" thickBot="1" x14ac:dyDescent="0.25">
      <c r="B3126" s="4">
        <v>3121</v>
      </c>
      <c r="C3126" s="10">
        <v>160.52762897486645</v>
      </c>
      <c r="D3126" s="42"/>
    </row>
    <row r="3127" spans="2:4" ht="16" thickBot="1" x14ac:dyDescent="0.25">
      <c r="B3127" s="5">
        <v>3122</v>
      </c>
      <c r="C3127" s="11">
        <v>359.21027171724711</v>
      </c>
      <c r="D3127" s="42"/>
    </row>
    <row r="3128" spans="2:4" ht="16" thickBot="1" x14ac:dyDescent="0.25">
      <c r="B3128" s="4">
        <v>3123</v>
      </c>
      <c r="C3128" s="10">
        <v>247.91100242883556</v>
      </c>
      <c r="D3128" s="42"/>
    </row>
    <row r="3129" spans="2:4" ht="16" thickBot="1" x14ac:dyDescent="0.25">
      <c r="B3129" s="5">
        <v>3124</v>
      </c>
      <c r="C3129" s="11">
        <v>76.850427703014333</v>
      </c>
      <c r="D3129" s="42"/>
    </row>
    <row r="3130" spans="2:4" ht="16" thickBot="1" x14ac:dyDescent="0.25">
      <c r="B3130" s="4">
        <v>3125</v>
      </c>
      <c r="C3130" s="10">
        <v>373.65029653278748</v>
      </c>
      <c r="D3130" s="42"/>
    </row>
    <row r="3131" spans="2:4" ht="16" thickBot="1" x14ac:dyDescent="0.25">
      <c r="B3131" s="5">
        <v>3126</v>
      </c>
      <c r="C3131" s="11">
        <v>128.8906912083774</v>
      </c>
      <c r="D3131" s="42"/>
    </row>
    <row r="3132" spans="2:4" ht="16" thickBot="1" x14ac:dyDescent="0.25">
      <c r="B3132" s="4">
        <v>3127</v>
      </c>
      <c r="C3132" s="10">
        <v>365.35792355126637</v>
      </c>
      <c r="D3132" s="42"/>
    </row>
    <row r="3133" spans="2:4" ht="16" thickBot="1" x14ac:dyDescent="0.25">
      <c r="B3133" s="5">
        <v>3128</v>
      </c>
      <c r="C3133" s="11">
        <v>194.41307279755199</v>
      </c>
      <c r="D3133" s="42"/>
    </row>
    <row r="3134" spans="2:4" ht="16" thickBot="1" x14ac:dyDescent="0.25">
      <c r="B3134" s="4">
        <v>3129</v>
      </c>
      <c r="C3134" s="10">
        <v>172.25506255699486</v>
      </c>
      <c r="D3134" s="42"/>
    </row>
    <row r="3135" spans="2:4" ht="16" thickBot="1" x14ac:dyDescent="0.25">
      <c r="B3135" s="5">
        <v>3130</v>
      </c>
      <c r="C3135" s="11">
        <v>442.43247183164215</v>
      </c>
      <c r="D3135" s="42"/>
    </row>
    <row r="3136" spans="2:4" ht="16" thickBot="1" x14ac:dyDescent="0.25">
      <c r="B3136" s="4">
        <v>3131</v>
      </c>
      <c r="C3136" s="10">
        <v>601.38821170362644</v>
      </c>
      <c r="D3136" s="42"/>
    </row>
    <row r="3137" spans="2:4" ht="16" thickBot="1" x14ac:dyDescent="0.25">
      <c r="B3137" s="5">
        <v>3132</v>
      </c>
      <c r="C3137" s="11">
        <v>190.29372916406268</v>
      </c>
      <c r="D3137" s="42"/>
    </row>
    <row r="3138" spans="2:4" ht="16" thickBot="1" x14ac:dyDescent="0.25">
      <c r="B3138" s="4">
        <v>3133</v>
      </c>
      <c r="C3138" s="10">
        <v>119.82656507131803</v>
      </c>
      <c r="D3138" s="42"/>
    </row>
    <row r="3139" spans="2:4" ht="16" thickBot="1" x14ac:dyDescent="0.25">
      <c r="B3139" s="5">
        <v>3134</v>
      </c>
      <c r="C3139" s="11">
        <v>174.96974731993666</v>
      </c>
      <c r="D3139" s="42"/>
    </row>
    <row r="3140" spans="2:4" ht="16" thickBot="1" x14ac:dyDescent="0.25">
      <c r="B3140" s="4">
        <v>3135</v>
      </c>
      <c r="C3140" s="10">
        <v>326.49345926342613</v>
      </c>
      <c r="D3140" s="42"/>
    </row>
    <row r="3141" spans="2:4" ht="16" thickBot="1" x14ac:dyDescent="0.25">
      <c r="B3141" s="5">
        <v>3136</v>
      </c>
      <c r="C3141" s="11">
        <v>209.16190695459338</v>
      </c>
      <c r="D3141" s="42"/>
    </row>
    <row r="3142" spans="2:4" ht="16" thickBot="1" x14ac:dyDescent="0.25">
      <c r="B3142" s="4">
        <v>3137</v>
      </c>
      <c r="C3142" s="10">
        <v>245.83642685623877</v>
      </c>
      <c r="D3142" s="42"/>
    </row>
    <row r="3143" spans="2:4" ht="16" thickBot="1" x14ac:dyDescent="0.25">
      <c r="B3143" s="5">
        <v>3138</v>
      </c>
      <c r="C3143" s="11">
        <v>308.09877343061822</v>
      </c>
      <c r="D3143" s="42"/>
    </row>
    <row r="3144" spans="2:4" ht="16" thickBot="1" x14ac:dyDescent="0.25">
      <c r="B3144" s="4">
        <v>3139</v>
      </c>
      <c r="C3144" s="10">
        <v>102.90343242599791</v>
      </c>
      <c r="D3144" s="42"/>
    </row>
    <row r="3145" spans="2:4" ht="16" thickBot="1" x14ac:dyDescent="0.25">
      <c r="B3145" s="5">
        <v>3140</v>
      </c>
      <c r="C3145" s="11">
        <v>215.46078565683865</v>
      </c>
      <c r="D3145" s="42"/>
    </row>
    <row r="3146" spans="2:4" ht="16" thickBot="1" x14ac:dyDescent="0.25">
      <c r="B3146" s="4">
        <v>3141</v>
      </c>
      <c r="C3146" s="10">
        <v>224.4500574975508</v>
      </c>
      <c r="D3146" s="42"/>
    </row>
    <row r="3147" spans="2:4" ht="16" thickBot="1" x14ac:dyDescent="0.25">
      <c r="B3147" s="5">
        <v>3142</v>
      </c>
      <c r="C3147" s="11">
        <v>167.27615084373258</v>
      </c>
      <c r="D3147" s="42"/>
    </row>
    <row r="3148" spans="2:4" ht="16" thickBot="1" x14ac:dyDescent="0.25">
      <c r="B3148" s="4">
        <v>3143</v>
      </c>
      <c r="C3148" s="10">
        <v>310.29781200620533</v>
      </c>
      <c r="D3148" s="42"/>
    </row>
    <row r="3149" spans="2:4" ht="16" thickBot="1" x14ac:dyDescent="0.25">
      <c r="B3149" s="5">
        <v>3144</v>
      </c>
      <c r="C3149" s="11">
        <v>204.11139129974336</v>
      </c>
      <c r="D3149" s="42"/>
    </row>
    <row r="3150" spans="2:4" ht="16" thickBot="1" x14ac:dyDescent="0.25">
      <c r="B3150" s="4">
        <v>3145</v>
      </c>
      <c r="C3150" s="10">
        <v>360.5992636396773</v>
      </c>
      <c r="D3150" s="42"/>
    </row>
    <row r="3151" spans="2:4" ht="16" thickBot="1" x14ac:dyDescent="0.25">
      <c r="B3151" s="5">
        <v>3146</v>
      </c>
      <c r="C3151" s="11">
        <v>22.909097739322508</v>
      </c>
      <c r="D3151" s="42"/>
    </row>
    <row r="3152" spans="2:4" ht="16" thickBot="1" x14ac:dyDescent="0.25">
      <c r="B3152" s="4">
        <v>3147</v>
      </c>
      <c r="C3152" s="10">
        <v>451.18306888604246</v>
      </c>
      <c r="D3152" s="42"/>
    </row>
    <row r="3153" spans="2:4" ht="16" thickBot="1" x14ac:dyDescent="0.25">
      <c r="B3153" s="5">
        <v>3148</v>
      </c>
      <c r="C3153" s="11">
        <v>334.7941288286961</v>
      </c>
      <c r="D3153" s="42"/>
    </row>
    <row r="3154" spans="2:4" ht="16" thickBot="1" x14ac:dyDescent="0.25">
      <c r="B3154" s="4">
        <v>3149</v>
      </c>
      <c r="C3154" s="10">
        <v>147.64907632203523</v>
      </c>
      <c r="D3154" s="42"/>
    </row>
    <row r="3155" spans="2:4" ht="16" thickBot="1" x14ac:dyDescent="0.25">
      <c r="B3155" s="5">
        <v>3150</v>
      </c>
      <c r="C3155" s="11">
        <v>184.88958026808083</v>
      </c>
      <c r="D3155" s="42"/>
    </row>
    <row r="3156" spans="2:4" ht="16" thickBot="1" x14ac:dyDescent="0.25">
      <c r="B3156" s="4">
        <v>3151</v>
      </c>
      <c r="C3156" s="10">
        <v>382.17018916727955</v>
      </c>
      <c r="D3156" s="42"/>
    </row>
    <row r="3157" spans="2:4" ht="16" thickBot="1" x14ac:dyDescent="0.25">
      <c r="B3157" s="5">
        <v>3152</v>
      </c>
      <c r="C3157" s="11">
        <v>611.77003831676063</v>
      </c>
      <c r="D3157" s="42"/>
    </row>
    <row r="3158" spans="2:4" ht="16" thickBot="1" x14ac:dyDescent="0.25">
      <c r="B3158" s="4">
        <v>3153</v>
      </c>
      <c r="C3158" s="10">
        <v>560.24472476869084</v>
      </c>
      <c r="D3158" s="42"/>
    </row>
    <row r="3159" spans="2:4" ht="16" thickBot="1" x14ac:dyDescent="0.25">
      <c r="B3159" s="5">
        <v>3154</v>
      </c>
      <c r="C3159" s="11">
        <v>329.07025714901459</v>
      </c>
      <c r="D3159" s="42"/>
    </row>
    <row r="3160" spans="2:4" ht="16" thickBot="1" x14ac:dyDescent="0.25">
      <c r="B3160" s="4">
        <v>3155</v>
      </c>
      <c r="C3160" s="10">
        <v>226.69748969747732</v>
      </c>
      <c r="D3160" s="42"/>
    </row>
    <row r="3161" spans="2:4" ht="16" thickBot="1" x14ac:dyDescent="0.25">
      <c r="B3161" s="5">
        <v>3156</v>
      </c>
      <c r="C3161" s="11">
        <v>166.36770366314354</v>
      </c>
      <c r="D3161" s="42"/>
    </row>
    <row r="3162" spans="2:4" ht="16" thickBot="1" x14ac:dyDescent="0.25">
      <c r="B3162" s="4">
        <v>3157</v>
      </c>
      <c r="C3162" s="10">
        <v>305.06447390887905</v>
      </c>
      <c r="D3162" s="42"/>
    </row>
    <row r="3163" spans="2:4" ht="16" thickBot="1" x14ac:dyDescent="0.25">
      <c r="B3163" s="5">
        <v>3158</v>
      </c>
      <c r="C3163" s="11">
        <v>389.73799346746836</v>
      </c>
      <c r="D3163" s="42"/>
    </row>
    <row r="3164" spans="2:4" ht="16" thickBot="1" x14ac:dyDescent="0.25">
      <c r="B3164" s="4">
        <v>3159</v>
      </c>
      <c r="C3164" s="10">
        <v>336.19480066051199</v>
      </c>
      <c r="D3164" s="42"/>
    </row>
    <row r="3165" spans="2:4" ht="16" thickBot="1" x14ac:dyDescent="0.25">
      <c r="B3165" s="5">
        <v>3160</v>
      </c>
      <c r="C3165" s="11">
        <v>61.947308335930352</v>
      </c>
      <c r="D3165" s="42"/>
    </row>
    <row r="3166" spans="2:4" ht="16" thickBot="1" x14ac:dyDescent="0.25">
      <c r="B3166" s="4">
        <v>3161</v>
      </c>
      <c r="C3166" s="10">
        <v>79.093698048726694</v>
      </c>
      <c r="D3166" s="42"/>
    </row>
    <row r="3167" spans="2:4" ht="16" thickBot="1" x14ac:dyDescent="0.25">
      <c r="B3167" s="5">
        <v>3162</v>
      </c>
      <c r="C3167" s="11">
        <v>249.21096586739836</v>
      </c>
      <c r="D3167" s="42"/>
    </row>
    <row r="3168" spans="2:4" ht="16" thickBot="1" x14ac:dyDescent="0.25">
      <c r="B3168" s="4">
        <v>3163</v>
      </c>
      <c r="C3168" s="10">
        <v>102.31977819750063</v>
      </c>
      <c r="D3168" s="42"/>
    </row>
    <row r="3169" spans="2:4" ht="16" thickBot="1" x14ac:dyDescent="0.25">
      <c r="B3169" s="5">
        <v>3164</v>
      </c>
      <c r="C3169" s="11">
        <v>297.64689155868632</v>
      </c>
      <c r="D3169" s="42"/>
    </row>
    <row r="3170" spans="2:4" ht="16" thickBot="1" x14ac:dyDescent="0.25">
      <c r="B3170" s="4">
        <v>3165</v>
      </c>
      <c r="C3170" s="10">
        <v>264.02591645086534</v>
      </c>
      <c r="D3170" s="42"/>
    </row>
    <row r="3171" spans="2:4" ht="16" thickBot="1" x14ac:dyDescent="0.25">
      <c r="B3171" s="5">
        <v>3166</v>
      </c>
      <c r="C3171" s="11">
        <v>248.39486528872632</v>
      </c>
      <c r="D3171" s="42"/>
    </row>
    <row r="3172" spans="2:4" ht="16" thickBot="1" x14ac:dyDescent="0.25">
      <c r="B3172" s="4">
        <v>3167</v>
      </c>
      <c r="C3172" s="10">
        <v>121.85481806954091</v>
      </c>
      <c r="D3172" s="42"/>
    </row>
    <row r="3173" spans="2:4" ht="16" thickBot="1" x14ac:dyDescent="0.25">
      <c r="B3173" s="5">
        <v>3168</v>
      </c>
      <c r="C3173" s="11">
        <v>129.00271838785255</v>
      </c>
      <c r="D3173" s="42"/>
    </row>
    <row r="3174" spans="2:4" ht="16" thickBot="1" x14ac:dyDescent="0.25">
      <c r="B3174" s="4">
        <v>3169</v>
      </c>
      <c r="C3174" s="10">
        <v>336.48461684742301</v>
      </c>
      <c r="D3174" s="42"/>
    </row>
    <row r="3175" spans="2:4" ht="16" thickBot="1" x14ac:dyDescent="0.25">
      <c r="B3175" s="5">
        <v>3170</v>
      </c>
      <c r="C3175" s="11">
        <v>350.80864895282156</v>
      </c>
      <c r="D3175" s="42"/>
    </row>
    <row r="3176" spans="2:4" ht="16" thickBot="1" x14ac:dyDescent="0.25">
      <c r="B3176" s="4">
        <v>3171</v>
      </c>
      <c r="C3176" s="10">
        <v>241.06889668250852</v>
      </c>
      <c r="D3176" s="42"/>
    </row>
    <row r="3177" spans="2:4" ht="16" thickBot="1" x14ac:dyDescent="0.25">
      <c r="B3177" s="5">
        <v>3172</v>
      </c>
      <c r="C3177" s="11">
        <v>254.4283241588623</v>
      </c>
      <c r="D3177" s="42"/>
    </row>
    <row r="3178" spans="2:4" ht="16" thickBot="1" x14ac:dyDescent="0.25">
      <c r="B3178" s="4">
        <v>3173</v>
      </c>
      <c r="C3178" s="10">
        <v>278.01279302918056</v>
      </c>
      <c r="D3178" s="42"/>
    </row>
    <row r="3179" spans="2:4" ht="16" thickBot="1" x14ac:dyDescent="0.25">
      <c r="B3179" s="5">
        <v>3174</v>
      </c>
      <c r="C3179" s="11">
        <v>123.99306948971947</v>
      </c>
      <c r="D3179" s="42"/>
    </row>
    <row r="3180" spans="2:4" ht="16" thickBot="1" x14ac:dyDescent="0.25">
      <c r="B3180" s="4">
        <v>3175</v>
      </c>
      <c r="C3180" s="10">
        <v>408.28667312653005</v>
      </c>
      <c r="D3180" s="42"/>
    </row>
    <row r="3181" spans="2:4" ht="16" thickBot="1" x14ac:dyDescent="0.25">
      <c r="B3181" s="5">
        <v>3176</v>
      </c>
      <c r="C3181" s="11">
        <v>334.51368890073536</v>
      </c>
      <c r="D3181" s="42"/>
    </row>
    <row r="3182" spans="2:4" ht="16" thickBot="1" x14ac:dyDescent="0.25">
      <c r="B3182" s="4">
        <v>3177</v>
      </c>
      <c r="C3182" s="10">
        <v>213.64520795293254</v>
      </c>
      <c r="D3182" s="42"/>
    </row>
    <row r="3183" spans="2:4" ht="16" thickBot="1" x14ac:dyDescent="0.25">
      <c r="B3183" s="5">
        <v>3178</v>
      </c>
      <c r="C3183" s="11">
        <v>100.2978821332317</v>
      </c>
      <c r="D3183" s="42"/>
    </row>
    <row r="3184" spans="2:4" ht="16" thickBot="1" x14ac:dyDescent="0.25">
      <c r="B3184" s="4">
        <v>3179</v>
      </c>
      <c r="C3184" s="10">
        <v>399.10810498790687</v>
      </c>
      <c r="D3184" s="42"/>
    </row>
    <row r="3185" spans="2:4" ht="16" thickBot="1" x14ac:dyDescent="0.25">
      <c r="B3185" s="5">
        <v>3180</v>
      </c>
      <c r="C3185" s="11">
        <v>155.41810363931236</v>
      </c>
      <c r="D3185" s="42"/>
    </row>
    <row r="3186" spans="2:4" ht="16" thickBot="1" x14ac:dyDescent="0.25">
      <c r="B3186" s="4">
        <v>3181</v>
      </c>
      <c r="C3186" s="10">
        <v>315.30872987588532</v>
      </c>
      <c r="D3186" s="42"/>
    </row>
    <row r="3187" spans="2:4" ht="16" thickBot="1" x14ac:dyDescent="0.25">
      <c r="B3187" s="5">
        <v>3182</v>
      </c>
      <c r="C3187" s="11">
        <v>204.34808311720136</v>
      </c>
      <c r="D3187" s="42"/>
    </row>
    <row r="3188" spans="2:4" ht="16" thickBot="1" x14ac:dyDescent="0.25">
      <c r="B3188" s="4">
        <v>3183</v>
      </c>
      <c r="C3188" s="10">
        <v>465.9953231900933</v>
      </c>
      <c r="D3188" s="42"/>
    </row>
    <row r="3189" spans="2:4" ht="16" thickBot="1" x14ac:dyDescent="0.25">
      <c r="B3189" s="5">
        <v>3184</v>
      </c>
      <c r="C3189" s="11">
        <v>323.25963241835473</v>
      </c>
      <c r="D3189" s="42"/>
    </row>
    <row r="3190" spans="2:4" ht="16" thickBot="1" x14ac:dyDescent="0.25">
      <c r="B3190" s="4">
        <v>3185</v>
      </c>
      <c r="C3190" s="10">
        <v>300.16573745022527</v>
      </c>
      <c r="D3190" s="42"/>
    </row>
    <row r="3191" spans="2:4" ht="16" thickBot="1" x14ac:dyDescent="0.25">
      <c r="B3191" s="5">
        <v>3186</v>
      </c>
      <c r="C3191" s="11">
        <v>362.90187396249894</v>
      </c>
      <c r="D3191" s="42"/>
    </row>
    <row r="3192" spans="2:4" ht="16" thickBot="1" x14ac:dyDescent="0.25">
      <c r="B3192" s="4">
        <v>3187</v>
      </c>
      <c r="C3192" s="10">
        <v>249.63236776008267</v>
      </c>
      <c r="D3192" s="42"/>
    </row>
    <row r="3193" spans="2:4" ht="16" thickBot="1" x14ac:dyDescent="0.25">
      <c r="B3193" s="5">
        <v>3188</v>
      </c>
      <c r="C3193" s="11">
        <v>205.30683568076023</v>
      </c>
      <c r="D3193" s="42"/>
    </row>
    <row r="3194" spans="2:4" ht="16" thickBot="1" x14ac:dyDescent="0.25">
      <c r="B3194" s="4">
        <v>3189</v>
      </c>
      <c r="C3194" s="10">
        <v>402.4726786989404</v>
      </c>
      <c r="D3194" s="42"/>
    </row>
    <row r="3195" spans="2:4" ht="16" thickBot="1" x14ac:dyDescent="0.25">
      <c r="B3195" s="5">
        <v>3190</v>
      </c>
      <c r="C3195" s="11">
        <v>294.62611586009808</v>
      </c>
      <c r="D3195" s="42"/>
    </row>
    <row r="3196" spans="2:4" ht="16" thickBot="1" x14ac:dyDescent="0.25">
      <c r="B3196" s="4">
        <v>3191</v>
      </c>
      <c r="C3196" s="10">
        <v>541.05405648027988</v>
      </c>
      <c r="D3196" s="42"/>
    </row>
    <row r="3197" spans="2:4" ht="16" thickBot="1" x14ac:dyDescent="0.25">
      <c r="B3197" s="5">
        <v>3192</v>
      </c>
      <c r="C3197" s="11">
        <v>143.80154971429937</v>
      </c>
      <c r="D3197" s="42"/>
    </row>
    <row r="3198" spans="2:4" ht="16" thickBot="1" x14ac:dyDescent="0.25">
      <c r="B3198" s="4">
        <v>3193</v>
      </c>
      <c r="C3198" s="10">
        <v>601.30168098884531</v>
      </c>
      <c r="D3198" s="42"/>
    </row>
    <row r="3199" spans="2:4" ht="16" thickBot="1" x14ac:dyDescent="0.25">
      <c r="B3199" s="5">
        <v>3194</v>
      </c>
      <c r="C3199" s="11">
        <v>316.42842775138814</v>
      </c>
      <c r="D3199" s="42"/>
    </row>
    <row r="3200" spans="2:4" ht="16" thickBot="1" x14ac:dyDescent="0.25">
      <c r="B3200" s="4">
        <v>3195</v>
      </c>
      <c r="C3200" s="10">
        <v>398.95772469213978</v>
      </c>
      <c r="D3200" s="42"/>
    </row>
    <row r="3201" spans="2:4" ht="16" thickBot="1" x14ac:dyDescent="0.25">
      <c r="B3201" s="5">
        <v>3196</v>
      </c>
      <c r="C3201" s="11">
        <v>146.26841703182754</v>
      </c>
      <c r="D3201" s="42"/>
    </row>
    <row r="3202" spans="2:4" ht="16" thickBot="1" x14ac:dyDescent="0.25">
      <c r="B3202" s="4">
        <v>3197</v>
      </c>
      <c r="C3202" s="10">
        <v>97.937067810030626</v>
      </c>
      <c r="D3202" s="42"/>
    </row>
    <row r="3203" spans="2:4" ht="16" thickBot="1" x14ac:dyDescent="0.25">
      <c r="B3203" s="5">
        <v>3198</v>
      </c>
      <c r="C3203" s="11">
        <v>565.63641746063843</v>
      </c>
      <c r="D3203" s="42"/>
    </row>
    <row r="3204" spans="2:4" ht="16" thickBot="1" x14ac:dyDescent="0.25">
      <c r="B3204" s="4">
        <v>3199</v>
      </c>
      <c r="C3204" s="10">
        <v>271.41076798313725</v>
      </c>
      <c r="D3204" s="42"/>
    </row>
    <row r="3205" spans="2:4" ht="16" thickBot="1" x14ac:dyDescent="0.25">
      <c r="B3205" s="5">
        <v>3200</v>
      </c>
      <c r="C3205" s="11">
        <v>169.40461554186328</v>
      </c>
      <c r="D3205" s="42"/>
    </row>
    <row r="3206" spans="2:4" ht="16" thickBot="1" x14ac:dyDescent="0.25">
      <c r="B3206" s="4">
        <v>3201</v>
      </c>
      <c r="C3206" s="10">
        <v>418.65905576183229</v>
      </c>
      <c r="D3206" s="42"/>
    </row>
    <row r="3207" spans="2:4" ht="16" thickBot="1" x14ac:dyDescent="0.25">
      <c r="B3207" s="5">
        <v>3202</v>
      </c>
      <c r="C3207" s="11">
        <v>173.14608943829796</v>
      </c>
      <c r="D3207" s="42"/>
    </row>
    <row r="3208" spans="2:4" ht="16" thickBot="1" x14ac:dyDescent="0.25">
      <c r="B3208" s="4">
        <v>3203</v>
      </c>
      <c r="C3208" s="10">
        <v>645.16527967988145</v>
      </c>
      <c r="D3208" s="42"/>
    </row>
    <row r="3209" spans="2:4" ht="16" thickBot="1" x14ac:dyDescent="0.25">
      <c r="B3209" s="5">
        <v>3204</v>
      </c>
      <c r="C3209" s="11">
        <v>156.55034513377234</v>
      </c>
      <c r="D3209" s="42"/>
    </row>
    <row r="3210" spans="2:4" ht="16" thickBot="1" x14ac:dyDescent="0.25">
      <c r="B3210" s="4">
        <v>3205</v>
      </c>
      <c r="C3210" s="10">
        <v>409.4738531934799</v>
      </c>
      <c r="D3210" s="42"/>
    </row>
    <row r="3211" spans="2:4" ht="16" thickBot="1" x14ac:dyDescent="0.25">
      <c r="B3211" s="5">
        <v>3206</v>
      </c>
      <c r="C3211" s="11">
        <v>105.04692390553417</v>
      </c>
      <c r="D3211" s="42"/>
    </row>
    <row r="3212" spans="2:4" ht="16" thickBot="1" x14ac:dyDescent="0.25">
      <c r="B3212" s="4">
        <v>3207</v>
      </c>
      <c r="C3212" s="10">
        <v>140.48431664077307</v>
      </c>
      <c r="D3212" s="42"/>
    </row>
    <row r="3213" spans="2:4" ht="16" thickBot="1" x14ac:dyDescent="0.25">
      <c r="B3213" s="5">
        <v>3208</v>
      </c>
      <c r="C3213" s="11">
        <v>352.15194093207259</v>
      </c>
      <c r="D3213" s="42"/>
    </row>
    <row r="3214" spans="2:4" ht="16" thickBot="1" x14ac:dyDescent="0.25">
      <c r="B3214" s="4">
        <v>3209</v>
      </c>
      <c r="C3214" s="10">
        <v>569.07878659620872</v>
      </c>
      <c r="D3214" s="42"/>
    </row>
    <row r="3215" spans="2:4" ht="16" thickBot="1" x14ac:dyDescent="0.25">
      <c r="B3215" s="5">
        <v>3210</v>
      </c>
      <c r="C3215" s="11">
        <v>286.58530775241184</v>
      </c>
      <c r="D3215" s="42"/>
    </row>
    <row r="3216" spans="2:4" ht="16" thickBot="1" x14ac:dyDescent="0.25">
      <c r="B3216" s="4">
        <v>3211</v>
      </c>
      <c r="C3216" s="10">
        <v>93.13110338933042</v>
      </c>
      <c r="D3216" s="42"/>
    </row>
    <row r="3217" spans="2:4" ht="16" thickBot="1" x14ac:dyDescent="0.25">
      <c r="B3217" s="5">
        <v>3212</v>
      </c>
      <c r="C3217" s="11">
        <v>200.19354295277648</v>
      </c>
      <c r="D3217" s="42"/>
    </row>
    <row r="3218" spans="2:4" ht="16" thickBot="1" x14ac:dyDescent="0.25">
      <c r="B3218" s="4">
        <v>3213</v>
      </c>
      <c r="C3218" s="10">
        <v>71.103340984175219</v>
      </c>
      <c r="D3218" s="42"/>
    </row>
    <row r="3219" spans="2:4" ht="16" thickBot="1" x14ac:dyDescent="0.25">
      <c r="B3219" s="5">
        <v>3214</v>
      </c>
      <c r="C3219" s="11">
        <v>464.72105414622331</v>
      </c>
      <c r="D3219" s="42"/>
    </row>
    <row r="3220" spans="2:4" ht="16" thickBot="1" x14ac:dyDescent="0.25">
      <c r="B3220" s="4">
        <v>3215</v>
      </c>
      <c r="C3220" s="10">
        <v>260.76680907571716</v>
      </c>
      <c r="D3220" s="42"/>
    </row>
    <row r="3221" spans="2:4" ht="16" thickBot="1" x14ac:dyDescent="0.25">
      <c r="B3221" s="5">
        <v>3216</v>
      </c>
      <c r="C3221" s="11">
        <v>218.41112259449065</v>
      </c>
      <c r="D3221" s="42"/>
    </row>
    <row r="3222" spans="2:4" ht="16" thickBot="1" x14ac:dyDescent="0.25">
      <c r="B3222" s="4">
        <v>3217</v>
      </c>
      <c r="C3222" s="10">
        <v>191.51248195547544</v>
      </c>
      <c r="D3222" s="42"/>
    </row>
    <row r="3223" spans="2:4" ht="16" thickBot="1" x14ac:dyDescent="0.25">
      <c r="B3223" s="5">
        <v>3218</v>
      </c>
      <c r="C3223" s="11">
        <v>202.92203535382319</v>
      </c>
      <c r="D3223" s="42"/>
    </row>
    <row r="3224" spans="2:4" ht="16" thickBot="1" x14ac:dyDescent="0.25">
      <c r="B3224" s="4">
        <v>3219</v>
      </c>
      <c r="C3224" s="10">
        <v>255.97167845277411</v>
      </c>
      <c r="D3224" s="42"/>
    </row>
    <row r="3225" spans="2:4" ht="16" thickBot="1" x14ac:dyDescent="0.25">
      <c r="B3225" s="5">
        <v>3220</v>
      </c>
      <c r="C3225" s="11">
        <v>327.30667600808317</v>
      </c>
      <c r="D3225" s="42"/>
    </row>
    <row r="3226" spans="2:4" ht="16" thickBot="1" x14ac:dyDescent="0.25">
      <c r="B3226" s="4">
        <v>3221</v>
      </c>
      <c r="C3226" s="10">
        <v>230.99372028419106</v>
      </c>
      <c r="D3226" s="42"/>
    </row>
    <row r="3227" spans="2:4" ht="16" thickBot="1" x14ac:dyDescent="0.25">
      <c r="B3227" s="5">
        <v>3222</v>
      </c>
      <c r="C3227" s="11">
        <v>200.47349069150718</v>
      </c>
      <c r="D3227" s="42"/>
    </row>
    <row r="3228" spans="2:4" ht="16" thickBot="1" x14ac:dyDescent="0.25">
      <c r="B3228" s="4">
        <v>3223</v>
      </c>
      <c r="C3228" s="10">
        <v>191.6300173501736</v>
      </c>
      <c r="D3228" s="42"/>
    </row>
    <row r="3229" spans="2:4" ht="16" thickBot="1" x14ac:dyDescent="0.25">
      <c r="B3229" s="5">
        <v>3224</v>
      </c>
      <c r="C3229" s="11">
        <v>241.89907930792546</v>
      </c>
      <c r="D3229" s="42"/>
    </row>
    <row r="3230" spans="2:4" ht="16" thickBot="1" x14ac:dyDescent="0.25">
      <c r="B3230" s="4">
        <v>3225</v>
      </c>
      <c r="C3230" s="10">
        <v>75.164580451879601</v>
      </c>
      <c r="D3230" s="42"/>
    </row>
    <row r="3231" spans="2:4" ht="16" thickBot="1" x14ac:dyDescent="0.25">
      <c r="B3231" s="5">
        <v>3226</v>
      </c>
      <c r="C3231" s="11">
        <v>235.84505937392561</v>
      </c>
      <c r="D3231" s="42"/>
    </row>
    <row r="3232" spans="2:4" ht="16" thickBot="1" x14ac:dyDescent="0.25">
      <c r="B3232" s="4">
        <v>3227</v>
      </c>
      <c r="C3232" s="10">
        <v>209.89393874264729</v>
      </c>
      <c r="D3232" s="42"/>
    </row>
    <row r="3233" spans="2:4" ht="16" thickBot="1" x14ac:dyDescent="0.25">
      <c r="B3233" s="5">
        <v>3228</v>
      </c>
      <c r="C3233" s="11">
        <v>58.996148702825934</v>
      </c>
      <c r="D3233" s="42"/>
    </row>
    <row r="3234" spans="2:4" ht="16" thickBot="1" x14ac:dyDescent="0.25">
      <c r="B3234" s="4">
        <v>3229</v>
      </c>
      <c r="C3234" s="10">
        <v>284.5462210973393</v>
      </c>
      <c r="D3234" s="42"/>
    </row>
    <row r="3235" spans="2:4" ht="16" thickBot="1" x14ac:dyDescent="0.25">
      <c r="B3235" s="5">
        <v>3230</v>
      </c>
      <c r="C3235" s="11">
        <v>350.38111237311591</v>
      </c>
      <c r="D3235" s="42"/>
    </row>
    <row r="3236" spans="2:4" ht="16" thickBot="1" x14ac:dyDescent="0.25">
      <c r="B3236" s="4">
        <v>3231</v>
      </c>
      <c r="C3236" s="10">
        <v>195.15431923891123</v>
      </c>
      <c r="D3236" s="42"/>
    </row>
    <row r="3237" spans="2:4" ht="16" thickBot="1" x14ac:dyDescent="0.25">
      <c r="B3237" s="5">
        <v>3232</v>
      </c>
      <c r="C3237" s="11">
        <v>93.34354484855335</v>
      </c>
      <c r="D3237" s="42"/>
    </row>
    <row r="3238" spans="2:4" ht="16" thickBot="1" x14ac:dyDescent="0.25">
      <c r="B3238" s="4">
        <v>3233</v>
      </c>
      <c r="C3238" s="10">
        <v>228.940838892719</v>
      </c>
      <c r="D3238" s="42"/>
    </row>
    <row r="3239" spans="2:4" ht="16" thickBot="1" x14ac:dyDescent="0.25">
      <c r="B3239" s="5">
        <v>3234</v>
      </c>
      <c r="C3239" s="11">
        <v>536.02590894960372</v>
      </c>
      <c r="D3239" s="42"/>
    </row>
    <row r="3240" spans="2:4" ht="16" thickBot="1" x14ac:dyDescent="0.25">
      <c r="B3240" s="4">
        <v>3235</v>
      </c>
      <c r="C3240" s="10">
        <v>508.72902475076802</v>
      </c>
      <c r="D3240" s="42"/>
    </row>
    <row r="3241" spans="2:4" ht="16" thickBot="1" x14ac:dyDescent="0.25">
      <c r="B3241" s="5">
        <v>3236</v>
      </c>
      <c r="C3241" s="11">
        <v>401.55124996075278</v>
      </c>
      <c r="D3241" s="42"/>
    </row>
    <row r="3242" spans="2:4" ht="16" thickBot="1" x14ac:dyDescent="0.25">
      <c r="B3242" s="4">
        <v>3237</v>
      </c>
      <c r="C3242" s="10">
        <v>143.31661154604174</v>
      </c>
      <c r="D3242" s="42"/>
    </row>
    <row r="3243" spans="2:4" ht="16" thickBot="1" x14ac:dyDescent="0.25">
      <c r="B3243" s="5">
        <v>3238</v>
      </c>
      <c r="C3243" s="11">
        <v>222.60083179721005</v>
      </c>
      <c r="D3243" s="42"/>
    </row>
    <row r="3244" spans="2:4" ht="16" thickBot="1" x14ac:dyDescent="0.25">
      <c r="B3244" s="4">
        <v>3239</v>
      </c>
      <c r="C3244" s="10">
        <v>383.3902455675339</v>
      </c>
      <c r="D3244" s="42"/>
    </row>
    <row r="3245" spans="2:4" ht="16" thickBot="1" x14ac:dyDescent="0.25">
      <c r="B3245" s="5">
        <v>3240</v>
      </c>
      <c r="C3245" s="11">
        <v>149.4244259751527</v>
      </c>
      <c r="D3245" s="42"/>
    </row>
    <row r="3246" spans="2:4" ht="16" thickBot="1" x14ac:dyDescent="0.25">
      <c r="B3246" s="4">
        <v>3241</v>
      </c>
      <c r="C3246" s="10">
        <v>379.4208335897543</v>
      </c>
      <c r="D3246" s="42"/>
    </row>
    <row r="3247" spans="2:4" ht="16" thickBot="1" x14ac:dyDescent="0.25">
      <c r="B3247" s="5">
        <v>3242</v>
      </c>
      <c r="C3247" s="11">
        <v>229.97193671684701</v>
      </c>
      <c r="D3247" s="42"/>
    </row>
    <row r="3248" spans="2:4" ht="16" thickBot="1" x14ac:dyDescent="0.25">
      <c r="B3248" s="4">
        <v>3243</v>
      </c>
      <c r="C3248" s="10">
        <v>213.59926772895085</v>
      </c>
      <c r="D3248" s="42"/>
    </row>
    <row r="3249" spans="2:4" ht="16" thickBot="1" x14ac:dyDescent="0.25">
      <c r="B3249" s="5">
        <v>3244</v>
      </c>
      <c r="C3249" s="11">
        <v>139.95573050665502</v>
      </c>
      <c r="D3249" s="42"/>
    </row>
    <row r="3250" spans="2:4" ht="16" thickBot="1" x14ac:dyDescent="0.25">
      <c r="B3250" s="4">
        <v>3245</v>
      </c>
      <c r="C3250" s="10">
        <v>395.57344270071127</v>
      </c>
      <c r="D3250" s="42"/>
    </row>
    <row r="3251" spans="2:4" ht="16" thickBot="1" x14ac:dyDescent="0.25">
      <c r="B3251" s="5">
        <v>3246</v>
      </c>
      <c r="C3251" s="11">
        <v>347.65816171421943</v>
      </c>
      <c r="D3251" s="42"/>
    </row>
    <row r="3252" spans="2:4" ht="16" thickBot="1" x14ac:dyDescent="0.25">
      <c r="B3252" s="4">
        <v>3247</v>
      </c>
      <c r="C3252" s="10">
        <v>297.15330571509554</v>
      </c>
      <c r="D3252" s="42"/>
    </row>
    <row r="3253" spans="2:4" ht="16" thickBot="1" x14ac:dyDescent="0.25">
      <c r="B3253" s="5">
        <v>3248</v>
      </c>
      <c r="C3253" s="11">
        <v>213.44393036865006</v>
      </c>
      <c r="D3253" s="42"/>
    </row>
    <row r="3254" spans="2:4" ht="16" thickBot="1" x14ac:dyDescent="0.25">
      <c r="B3254" s="4">
        <v>3249</v>
      </c>
      <c r="C3254" s="10">
        <v>77.556804219625278</v>
      </c>
      <c r="D3254" s="42"/>
    </row>
    <row r="3255" spans="2:4" ht="16" thickBot="1" x14ac:dyDescent="0.25">
      <c r="B3255" s="5">
        <v>3250</v>
      </c>
      <c r="C3255" s="11">
        <v>435.39913168539493</v>
      </c>
      <c r="D3255" s="42"/>
    </row>
    <row r="3256" spans="2:4" ht="16" thickBot="1" x14ac:dyDescent="0.25">
      <c r="B3256" s="4">
        <v>3251</v>
      </c>
      <c r="C3256" s="10">
        <v>339.92334895217147</v>
      </c>
      <c r="D3256" s="42"/>
    </row>
    <row r="3257" spans="2:4" ht="16" thickBot="1" x14ac:dyDescent="0.25">
      <c r="B3257" s="5">
        <v>3252</v>
      </c>
      <c r="C3257" s="11">
        <v>196.30546787586991</v>
      </c>
      <c r="D3257" s="42"/>
    </row>
    <row r="3258" spans="2:4" ht="16" thickBot="1" x14ac:dyDescent="0.25">
      <c r="B3258" s="4">
        <v>3253</v>
      </c>
      <c r="C3258" s="10">
        <v>159.87586514516573</v>
      </c>
      <c r="D3258" s="42"/>
    </row>
    <row r="3259" spans="2:4" ht="16" thickBot="1" x14ac:dyDescent="0.25">
      <c r="B3259" s="5">
        <v>3254</v>
      </c>
      <c r="C3259" s="11">
        <v>438.43040974218798</v>
      </c>
      <c r="D3259" s="42"/>
    </row>
    <row r="3260" spans="2:4" ht="16" thickBot="1" x14ac:dyDescent="0.25">
      <c r="B3260" s="4">
        <v>3255</v>
      </c>
      <c r="C3260" s="10">
        <v>705.83288427452953</v>
      </c>
      <c r="D3260" s="42"/>
    </row>
    <row r="3261" spans="2:4" ht="16" thickBot="1" x14ac:dyDescent="0.25">
      <c r="B3261" s="5">
        <v>3256</v>
      </c>
      <c r="C3261" s="11">
        <v>260.31194695337206</v>
      </c>
      <c r="D3261" s="42"/>
    </row>
    <row r="3262" spans="2:4" ht="16" thickBot="1" x14ac:dyDescent="0.25">
      <c r="B3262" s="4">
        <v>3257</v>
      </c>
      <c r="C3262" s="10">
        <v>362.2629775244045</v>
      </c>
      <c r="D3262" s="42"/>
    </row>
    <row r="3263" spans="2:4" ht="16" thickBot="1" x14ac:dyDescent="0.25">
      <c r="B3263" s="5">
        <v>3258</v>
      </c>
      <c r="C3263" s="11">
        <v>233.93929294341058</v>
      </c>
      <c r="D3263" s="42"/>
    </row>
    <row r="3264" spans="2:4" ht="16" thickBot="1" x14ac:dyDescent="0.25">
      <c r="B3264" s="4">
        <v>3259</v>
      </c>
      <c r="C3264" s="10">
        <v>254.28618642954382</v>
      </c>
      <c r="D3264" s="42"/>
    </row>
    <row r="3265" spans="2:4" ht="16" thickBot="1" x14ac:dyDescent="0.25">
      <c r="B3265" s="5">
        <v>3260</v>
      </c>
      <c r="C3265" s="11">
        <v>324.4563001884278</v>
      </c>
      <c r="D3265" s="42"/>
    </row>
    <row r="3266" spans="2:4" ht="16" thickBot="1" x14ac:dyDescent="0.25">
      <c r="B3266" s="4">
        <v>3261</v>
      </c>
      <c r="C3266" s="10">
        <v>152.84116729882544</v>
      </c>
      <c r="D3266" s="42"/>
    </row>
    <row r="3267" spans="2:4" ht="16" thickBot="1" x14ac:dyDescent="0.25">
      <c r="B3267" s="5">
        <v>3262</v>
      </c>
      <c r="C3267" s="11">
        <v>121.51922747861576</v>
      </c>
      <c r="D3267" s="42"/>
    </row>
    <row r="3268" spans="2:4" ht="16" thickBot="1" x14ac:dyDescent="0.25">
      <c r="B3268" s="4">
        <v>3263</v>
      </c>
      <c r="C3268" s="10">
        <v>156.74240982405851</v>
      </c>
      <c r="D3268" s="42"/>
    </row>
    <row r="3269" spans="2:4" ht="16" thickBot="1" x14ac:dyDescent="0.25">
      <c r="B3269" s="5">
        <v>3264</v>
      </c>
      <c r="C3269" s="11">
        <v>225.74099822535163</v>
      </c>
      <c r="D3269" s="42"/>
    </row>
    <row r="3270" spans="2:4" ht="16" thickBot="1" x14ac:dyDescent="0.25">
      <c r="B3270" s="4">
        <v>3265</v>
      </c>
      <c r="C3270" s="10">
        <v>51.358816517371153</v>
      </c>
      <c r="D3270" s="42"/>
    </row>
    <row r="3271" spans="2:4" ht="16" thickBot="1" x14ac:dyDescent="0.25">
      <c r="B3271" s="5">
        <v>3266</v>
      </c>
      <c r="C3271" s="11">
        <v>791.31873784576442</v>
      </c>
      <c r="D3271" s="42"/>
    </row>
    <row r="3272" spans="2:4" ht="16" thickBot="1" x14ac:dyDescent="0.25">
      <c r="B3272" s="4">
        <v>3267</v>
      </c>
      <c r="C3272" s="10">
        <v>307.65696345828468</v>
      </c>
      <c r="D3272" s="42"/>
    </row>
    <row r="3273" spans="2:4" ht="16" thickBot="1" x14ac:dyDescent="0.25">
      <c r="B3273" s="5">
        <v>3268</v>
      </c>
      <c r="C3273" s="11">
        <v>64.272056630839785</v>
      </c>
      <c r="D3273" s="42"/>
    </row>
    <row r="3274" spans="2:4" ht="16" thickBot="1" x14ac:dyDescent="0.25">
      <c r="B3274" s="4">
        <v>3269</v>
      </c>
      <c r="C3274" s="10">
        <v>451.1675698125452</v>
      </c>
      <c r="D3274" s="42"/>
    </row>
    <row r="3275" spans="2:4" ht="16" thickBot="1" x14ac:dyDescent="0.25">
      <c r="B3275" s="5">
        <v>3270</v>
      </c>
      <c r="C3275" s="11">
        <v>328.54391743121357</v>
      </c>
      <c r="D3275" s="42"/>
    </row>
    <row r="3276" spans="2:4" ht="16" thickBot="1" x14ac:dyDescent="0.25">
      <c r="B3276" s="4">
        <v>3271</v>
      </c>
      <c r="C3276" s="10">
        <v>256.3640605288021</v>
      </c>
      <c r="D3276" s="42"/>
    </row>
    <row r="3277" spans="2:4" ht="16" thickBot="1" x14ac:dyDescent="0.25">
      <c r="B3277" s="5">
        <v>3272</v>
      </c>
      <c r="C3277" s="11">
        <v>352.39708375413585</v>
      </c>
      <c r="D3277" s="42"/>
    </row>
    <row r="3278" spans="2:4" ht="16" thickBot="1" x14ac:dyDescent="0.25">
      <c r="B3278" s="4">
        <v>3273</v>
      </c>
      <c r="C3278" s="10">
        <v>535.9650490777658</v>
      </c>
      <c r="D3278" s="42"/>
    </row>
    <row r="3279" spans="2:4" ht="16" thickBot="1" x14ac:dyDescent="0.25">
      <c r="B3279" s="5">
        <v>3274</v>
      </c>
      <c r="C3279" s="11">
        <v>246.61709026102139</v>
      </c>
      <c r="D3279" s="42"/>
    </row>
    <row r="3280" spans="2:4" ht="16" thickBot="1" x14ac:dyDescent="0.25">
      <c r="B3280" s="4">
        <v>3275</v>
      </c>
      <c r="C3280" s="10">
        <v>303.64532111067149</v>
      </c>
      <c r="D3280" s="42"/>
    </row>
    <row r="3281" spans="2:4" ht="16" thickBot="1" x14ac:dyDescent="0.25">
      <c r="B3281" s="5">
        <v>3276</v>
      </c>
      <c r="C3281" s="11">
        <v>328.51462880752848</v>
      </c>
      <c r="D3281" s="42"/>
    </row>
    <row r="3282" spans="2:4" ht="16" thickBot="1" x14ac:dyDescent="0.25">
      <c r="B3282" s="4">
        <v>3277</v>
      </c>
      <c r="C3282" s="10">
        <v>344.34250995571466</v>
      </c>
      <c r="D3282" s="42"/>
    </row>
    <row r="3283" spans="2:4" ht="16" thickBot="1" x14ac:dyDescent="0.25">
      <c r="B3283" s="5">
        <v>3278</v>
      </c>
      <c r="C3283" s="11">
        <v>416.4362292878298</v>
      </c>
      <c r="D3283" s="42"/>
    </row>
    <row r="3284" spans="2:4" ht="16" thickBot="1" x14ac:dyDescent="0.25">
      <c r="B3284" s="4">
        <v>3279</v>
      </c>
      <c r="C3284" s="10">
        <v>536.27847266595393</v>
      </c>
      <c r="D3284" s="42"/>
    </row>
    <row r="3285" spans="2:4" ht="16" thickBot="1" x14ac:dyDescent="0.25">
      <c r="B3285" s="5">
        <v>3280</v>
      </c>
      <c r="C3285" s="11">
        <v>75.829102834196391</v>
      </c>
      <c r="D3285" s="42"/>
    </row>
    <row r="3286" spans="2:4" ht="16" thickBot="1" x14ac:dyDescent="0.25">
      <c r="B3286" s="4">
        <v>3281</v>
      </c>
      <c r="C3286" s="10">
        <v>207.35477287608424</v>
      </c>
      <c r="D3286" s="42"/>
    </row>
    <row r="3287" spans="2:4" ht="16" thickBot="1" x14ac:dyDescent="0.25">
      <c r="B3287" s="5">
        <v>3282</v>
      </c>
      <c r="C3287" s="11">
        <v>283.75644343407822</v>
      </c>
      <c r="D3287" s="42"/>
    </row>
    <row r="3288" spans="2:4" ht="16" thickBot="1" x14ac:dyDescent="0.25">
      <c r="B3288" s="4">
        <v>3283</v>
      </c>
      <c r="C3288" s="10">
        <v>380.05034245587518</v>
      </c>
      <c r="D3288" s="42"/>
    </row>
    <row r="3289" spans="2:4" ht="16" thickBot="1" x14ac:dyDescent="0.25">
      <c r="B3289" s="5">
        <v>3284</v>
      </c>
      <c r="C3289" s="11">
        <v>384.82876369266262</v>
      </c>
      <c r="D3289" s="42"/>
    </row>
    <row r="3290" spans="2:4" ht="16" thickBot="1" x14ac:dyDescent="0.25">
      <c r="B3290" s="4">
        <v>3285</v>
      </c>
      <c r="C3290" s="10">
        <v>238.14395308389609</v>
      </c>
      <c r="D3290" s="42"/>
    </row>
    <row r="3291" spans="2:4" ht="16" thickBot="1" x14ac:dyDescent="0.25">
      <c r="B3291" s="5">
        <v>3286</v>
      </c>
      <c r="C3291" s="11">
        <v>169.69879906708184</v>
      </c>
      <c r="D3291" s="42"/>
    </row>
    <row r="3292" spans="2:4" ht="16" thickBot="1" x14ac:dyDescent="0.25">
      <c r="B3292" s="4">
        <v>3287</v>
      </c>
      <c r="C3292" s="10">
        <v>418.33471949393851</v>
      </c>
      <c r="D3292" s="42"/>
    </row>
    <row r="3293" spans="2:4" ht="16" thickBot="1" x14ac:dyDescent="0.25">
      <c r="B3293" s="5">
        <v>3288</v>
      </c>
      <c r="C3293" s="11">
        <v>192.03450922154488</v>
      </c>
      <c r="D3293" s="42"/>
    </row>
    <row r="3294" spans="2:4" ht="16" thickBot="1" x14ac:dyDescent="0.25">
      <c r="B3294" s="4">
        <v>3289</v>
      </c>
      <c r="C3294" s="10">
        <v>311.60311385684918</v>
      </c>
      <c r="D3294" s="42"/>
    </row>
    <row r="3295" spans="2:4" ht="16" thickBot="1" x14ac:dyDescent="0.25">
      <c r="B3295" s="5">
        <v>3290</v>
      </c>
      <c r="C3295" s="11">
        <v>209.1124723583028</v>
      </c>
      <c r="D3295" s="42"/>
    </row>
    <row r="3296" spans="2:4" ht="16" thickBot="1" x14ac:dyDescent="0.25">
      <c r="B3296" s="4">
        <v>3291</v>
      </c>
      <c r="C3296" s="10">
        <v>354.11115579480321</v>
      </c>
      <c r="D3296" s="42"/>
    </row>
    <row r="3297" spans="2:4" ht="16" thickBot="1" x14ac:dyDescent="0.25">
      <c r="B3297" s="5">
        <v>3292</v>
      </c>
      <c r="C3297" s="11">
        <v>52.924612131648402</v>
      </c>
      <c r="D3297" s="42"/>
    </row>
    <row r="3298" spans="2:4" ht="16" thickBot="1" x14ac:dyDescent="0.25">
      <c r="B3298" s="4">
        <v>3293</v>
      </c>
      <c r="C3298" s="10">
        <v>426.53502832053374</v>
      </c>
      <c r="D3298" s="42"/>
    </row>
    <row r="3299" spans="2:4" ht="16" thickBot="1" x14ac:dyDescent="0.25">
      <c r="B3299" s="5">
        <v>3294</v>
      </c>
      <c r="C3299" s="11">
        <v>181.97401405282253</v>
      </c>
      <c r="D3299" s="42"/>
    </row>
    <row r="3300" spans="2:4" ht="16" thickBot="1" x14ac:dyDescent="0.25">
      <c r="B3300" s="4">
        <v>3295</v>
      </c>
      <c r="C3300" s="10">
        <v>260.39974636549778</v>
      </c>
      <c r="D3300" s="42"/>
    </row>
    <row r="3301" spans="2:4" ht="16" thickBot="1" x14ac:dyDescent="0.25">
      <c r="B3301" s="5">
        <v>3296</v>
      </c>
      <c r="C3301" s="11">
        <v>314.43791252342237</v>
      </c>
      <c r="D3301" s="42"/>
    </row>
    <row r="3302" spans="2:4" ht="16" thickBot="1" x14ac:dyDescent="0.25">
      <c r="B3302" s="4">
        <v>3297</v>
      </c>
      <c r="C3302" s="10">
        <v>660.69032099271283</v>
      </c>
      <c r="D3302" s="42"/>
    </row>
    <row r="3303" spans="2:4" ht="16" thickBot="1" x14ac:dyDescent="0.25">
      <c r="B3303" s="5">
        <v>3298</v>
      </c>
      <c r="C3303" s="11">
        <v>101.30071850675677</v>
      </c>
      <c r="D3303" s="42"/>
    </row>
    <row r="3304" spans="2:4" ht="16" thickBot="1" x14ac:dyDescent="0.25">
      <c r="B3304" s="4">
        <v>3299</v>
      </c>
      <c r="C3304" s="10">
        <v>217.51449945900143</v>
      </c>
      <c r="D3304" s="42"/>
    </row>
    <row r="3305" spans="2:4" ht="16" thickBot="1" x14ac:dyDescent="0.25">
      <c r="B3305" s="5">
        <v>3300</v>
      </c>
      <c r="C3305" s="11">
        <v>255.21549665516557</v>
      </c>
      <c r="D3305" s="42"/>
    </row>
    <row r="3306" spans="2:4" ht="16" thickBot="1" x14ac:dyDescent="0.25">
      <c r="B3306" s="4">
        <v>3301</v>
      </c>
      <c r="C3306" s="10">
        <v>91.773264579816697</v>
      </c>
      <c r="D3306" s="42"/>
    </row>
    <row r="3307" spans="2:4" ht="16" thickBot="1" x14ac:dyDescent="0.25">
      <c r="B3307" s="5">
        <v>3302</v>
      </c>
      <c r="C3307" s="11">
        <v>203.83718371230623</v>
      </c>
      <c r="D3307" s="42"/>
    </row>
    <row r="3308" spans="2:4" ht="16" thickBot="1" x14ac:dyDescent="0.25">
      <c r="B3308" s="4">
        <v>3303</v>
      </c>
      <c r="C3308" s="10">
        <v>291.45266374634815</v>
      </c>
      <c r="D3308" s="42"/>
    </row>
    <row r="3309" spans="2:4" ht="16" thickBot="1" x14ac:dyDescent="0.25">
      <c r="B3309" s="5">
        <v>3304</v>
      </c>
      <c r="C3309" s="11">
        <v>462.34631562877968</v>
      </c>
      <c r="D3309" s="42"/>
    </row>
    <row r="3310" spans="2:4" ht="16" thickBot="1" x14ac:dyDescent="0.25">
      <c r="B3310" s="4">
        <v>3305</v>
      </c>
      <c r="C3310" s="10">
        <v>224.44357077883853</v>
      </c>
      <c r="D3310" s="42"/>
    </row>
    <row r="3311" spans="2:4" ht="16" thickBot="1" x14ac:dyDescent="0.25">
      <c r="B3311" s="5">
        <v>3306</v>
      </c>
      <c r="C3311" s="11">
        <v>679.45990754089701</v>
      </c>
      <c r="D3311" s="42"/>
    </row>
    <row r="3312" spans="2:4" ht="16" thickBot="1" x14ac:dyDescent="0.25">
      <c r="B3312" s="4">
        <v>3307</v>
      </c>
      <c r="C3312" s="10">
        <v>233.15820784881029</v>
      </c>
      <c r="D3312" s="42"/>
    </row>
    <row r="3313" spans="2:4" ht="16" thickBot="1" x14ac:dyDescent="0.25">
      <c r="B3313" s="5">
        <v>3308</v>
      </c>
      <c r="C3313" s="11">
        <v>367.57505422523701</v>
      </c>
      <c r="D3313" s="42"/>
    </row>
    <row r="3314" spans="2:4" ht="16" thickBot="1" x14ac:dyDescent="0.25">
      <c r="B3314" s="4">
        <v>3309</v>
      </c>
      <c r="C3314" s="10">
        <v>88.818625850487138</v>
      </c>
      <c r="D3314" s="42"/>
    </row>
    <row r="3315" spans="2:4" ht="16" thickBot="1" x14ac:dyDescent="0.25">
      <c r="B3315" s="5">
        <v>3310</v>
      </c>
      <c r="C3315" s="11">
        <v>321.73053935974957</v>
      </c>
      <c r="D3315" s="42"/>
    </row>
    <row r="3316" spans="2:4" ht="16" thickBot="1" x14ac:dyDescent="0.25">
      <c r="B3316" s="4">
        <v>3311</v>
      </c>
      <c r="C3316" s="10">
        <v>482.3528859270387</v>
      </c>
      <c r="D3316" s="42"/>
    </row>
    <row r="3317" spans="2:4" ht="16" thickBot="1" x14ac:dyDescent="0.25">
      <c r="B3317" s="5">
        <v>3312</v>
      </c>
      <c r="C3317" s="11">
        <v>160.10300363535066</v>
      </c>
      <c r="D3317" s="42"/>
    </row>
    <row r="3318" spans="2:4" ht="16" thickBot="1" x14ac:dyDescent="0.25">
      <c r="B3318" s="4">
        <v>3313</v>
      </c>
      <c r="C3318" s="10">
        <v>55.567379694045528</v>
      </c>
      <c r="D3318" s="42"/>
    </row>
    <row r="3319" spans="2:4" ht="16" thickBot="1" x14ac:dyDescent="0.25">
      <c r="B3319" s="5">
        <v>3314</v>
      </c>
      <c r="C3319" s="11">
        <v>186.32000846574513</v>
      </c>
      <c r="D3319" s="42"/>
    </row>
    <row r="3320" spans="2:4" ht="16" thickBot="1" x14ac:dyDescent="0.25">
      <c r="B3320" s="4">
        <v>3315</v>
      </c>
      <c r="C3320" s="10">
        <v>252.47373156977508</v>
      </c>
      <c r="D3320" s="42"/>
    </row>
    <row r="3321" spans="2:4" ht="16" thickBot="1" x14ac:dyDescent="0.25">
      <c r="B3321" s="5">
        <v>3316</v>
      </c>
      <c r="C3321" s="11">
        <v>220.38562695164239</v>
      </c>
      <c r="D3321" s="42"/>
    </row>
    <row r="3322" spans="2:4" ht="16" thickBot="1" x14ac:dyDescent="0.25">
      <c r="B3322" s="4">
        <v>3317</v>
      </c>
      <c r="C3322" s="10">
        <v>595.22375732647333</v>
      </c>
      <c r="D3322" s="42"/>
    </row>
    <row r="3323" spans="2:4" ht="16" thickBot="1" x14ac:dyDescent="0.25">
      <c r="B3323" s="5">
        <v>3318</v>
      </c>
      <c r="C3323" s="11">
        <v>253.9428327547372</v>
      </c>
      <c r="D3323" s="42"/>
    </row>
    <row r="3324" spans="2:4" ht="16" thickBot="1" x14ac:dyDescent="0.25">
      <c r="B3324" s="4">
        <v>3319</v>
      </c>
      <c r="C3324" s="10">
        <v>444.86451508013278</v>
      </c>
      <c r="D3324" s="42"/>
    </row>
    <row r="3325" spans="2:4" ht="16" thickBot="1" x14ac:dyDescent="0.25">
      <c r="B3325" s="5">
        <v>3320</v>
      </c>
      <c r="C3325" s="11">
        <v>147.22221118746296</v>
      </c>
      <c r="D3325" s="42"/>
    </row>
    <row r="3326" spans="2:4" ht="16" thickBot="1" x14ac:dyDescent="0.25">
      <c r="B3326" s="4">
        <v>3321</v>
      </c>
      <c r="C3326" s="10">
        <v>593.08561976226451</v>
      </c>
      <c r="D3326" s="42"/>
    </row>
    <row r="3327" spans="2:4" ht="16" thickBot="1" x14ac:dyDescent="0.25">
      <c r="B3327" s="5">
        <v>3322</v>
      </c>
      <c r="C3327" s="11">
        <v>148.4573442412086</v>
      </c>
      <c r="D3327" s="42"/>
    </row>
    <row r="3328" spans="2:4" ht="16" thickBot="1" x14ac:dyDescent="0.25">
      <c r="B3328" s="4">
        <v>3323</v>
      </c>
      <c r="C3328" s="10">
        <v>118.44828476216405</v>
      </c>
      <c r="D3328" s="42"/>
    </row>
    <row r="3329" spans="2:4" ht="16" thickBot="1" x14ac:dyDescent="0.25">
      <c r="B3329" s="5">
        <v>3324</v>
      </c>
      <c r="C3329" s="11">
        <v>151.42677893759236</v>
      </c>
      <c r="D3329" s="42"/>
    </row>
    <row r="3330" spans="2:4" ht="16" thickBot="1" x14ac:dyDescent="0.25">
      <c r="B3330" s="4">
        <v>3325</v>
      </c>
      <c r="C3330" s="10">
        <v>149.14446202244417</v>
      </c>
      <c r="D3330" s="42"/>
    </row>
    <row r="3331" spans="2:4" ht="16" thickBot="1" x14ac:dyDescent="0.25">
      <c r="B3331" s="5">
        <v>3326</v>
      </c>
      <c r="C3331" s="11">
        <v>246.71396178272116</v>
      </c>
      <c r="D3331" s="42"/>
    </row>
    <row r="3332" spans="2:4" ht="16" thickBot="1" x14ac:dyDescent="0.25">
      <c r="B3332" s="4">
        <v>3327</v>
      </c>
      <c r="C3332" s="10">
        <v>507.58312193185776</v>
      </c>
      <c r="D3332" s="42"/>
    </row>
    <row r="3333" spans="2:4" ht="16" thickBot="1" x14ac:dyDescent="0.25">
      <c r="B3333" s="5">
        <v>3328</v>
      </c>
      <c r="C3333" s="11">
        <v>318.82092286936722</v>
      </c>
      <c r="D3333" s="42"/>
    </row>
    <row r="3334" spans="2:4" ht="16" thickBot="1" x14ac:dyDescent="0.25">
      <c r="B3334" s="4">
        <v>3329</v>
      </c>
      <c r="C3334" s="10">
        <v>178.67999809783697</v>
      </c>
      <c r="D3334" s="42"/>
    </row>
    <row r="3335" spans="2:4" ht="16" thickBot="1" x14ac:dyDescent="0.25">
      <c r="B3335" s="5">
        <v>3330</v>
      </c>
      <c r="C3335" s="11">
        <v>137.18758023827152</v>
      </c>
      <c r="D3335" s="42"/>
    </row>
    <row r="3336" spans="2:4" ht="16" thickBot="1" x14ac:dyDescent="0.25">
      <c r="B3336" s="4">
        <v>3331</v>
      </c>
      <c r="C3336" s="10">
        <v>136.36596171787318</v>
      </c>
      <c r="D3336" s="42"/>
    </row>
    <row r="3337" spans="2:4" ht="16" thickBot="1" x14ac:dyDescent="0.25">
      <c r="B3337" s="5">
        <v>3332</v>
      </c>
      <c r="C3337" s="11">
        <v>169.53033789083753</v>
      </c>
      <c r="D3337" s="42"/>
    </row>
    <row r="3338" spans="2:4" ht="16" thickBot="1" x14ac:dyDescent="0.25">
      <c r="B3338" s="4">
        <v>3333</v>
      </c>
      <c r="C3338" s="10">
        <v>257.05388875012784</v>
      </c>
      <c r="D3338" s="42"/>
    </row>
    <row r="3339" spans="2:4" ht="16" thickBot="1" x14ac:dyDescent="0.25">
      <c r="B3339" s="5">
        <v>3334</v>
      </c>
      <c r="C3339" s="11">
        <v>315.10943017715971</v>
      </c>
      <c r="D3339" s="42"/>
    </row>
    <row r="3340" spans="2:4" ht="16" thickBot="1" x14ac:dyDescent="0.25">
      <c r="B3340" s="4">
        <v>3335</v>
      </c>
      <c r="C3340" s="10">
        <v>222.818442518268</v>
      </c>
      <c r="D3340" s="42"/>
    </row>
    <row r="3341" spans="2:4" ht="16" thickBot="1" x14ac:dyDescent="0.25">
      <c r="B3341" s="5">
        <v>3336</v>
      </c>
      <c r="C3341" s="11">
        <v>273.86712691959741</v>
      </c>
      <c r="D3341" s="42"/>
    </row>
    <row r="3342" spans="2:4" ht="16" thickBot="1" x14ac:dyDescent="0.25">
      <c r="B3342" s="4">
        <v>3337</v>
      </c>
      <c r="C3342" s="10">
        <v>140.24939325050062</v>
      </c>
      <c r="D3342" s="42"/>
    </row>
    <row r="3343" spans="2:4" ht="16" thickBot="1" x14ac:dyDescent="0.25">
      <c r="B3343" s="5">
        <v>3338</v>
      </c>
      <c r="C3343" s="11">
        <v>27.842432657327194</v>
      </c>
      <c r="D3343" s="42"/>
    </row>
    <row r="3344" spans="2:4" ht="16" thickBot="1" x14ac:dyDescent="0.25">
      <c r="B3344" s="4">
        <v>3339</v>
      </c>
      <c r="C3344" s="10">
        <v>567.38161975860999</v>
      </c>
      <c r="D3344" s="42"/>
    </row>
    <row r="3345" spans="2:4" ht="16" thickBot="1" x14ac:dyDescent="0.25">
      <c r="B3345" s="5">
        <v>3340</v>
      </c>
      <c r="C3345" s="11">
        <v>138.75827036753086</v>
      </c>
      <c r="D3345" s="42"/>
    </row>
    <row r="3346" spans="2:4" ht="16" thickBot="1" x14ac:dyDescent="0.25">
      <c r="B3346" s="4">
        <v>3341</v>
      </c>
      <c r="C3346" s="10">
        <v>456.24036377101919</v>
      </c>
      <c r="D3346" s="42"/>
    </row>
    <row r="3347" spans="2:4" ht="16" thickBot="1" x14ac:dyDescent="0.25">
      <c r="B3347" s="5">
        <v>3342</v>
      </c>
      <c r="C3347" s="11">
        <v>308.08801911912894</v>
      </c>
      <c r="D3347" s="42"/>
    </row>
    <row r="3348" spans="2:4" ht="16" thickBot="1" x14ac:dyDescent="0.25">
      <c r="B3348" s="4">
        <v>3343</v>
      </c>
      <c r="C3348" s="10">
        <v>199.46207701424436</v>
      </c>
      <c r="D3348" s="42"/>
    </row>
    <row r="3349" spans="2:4" ht="16" thickBot="1" x14ac:dyDescent="0.25">
      <c r="B3349" s="5">
        <v>3344</v>
      </c>
      <c r="C3349" s="11">
        <v>344.01572885764756</v>
      </c>
      <c r="D3349" s="42"/>
    </row>
    <row r="3350" spans="2:4" ht="16" thickBot="1" x14ac:dyDescent="0.25">
      <c r="B3350" s="4">
        <v>3345</v>
      </c>
      <c r="C3350" s="10">
        <v>238.44049576845313</v>
      </c>
      <c r="D3350" s="42"/>
    </row>
    <row r="3351" spans="2:4" ht="16" thickBot="1" x14ac:dyDescent="0.25">
      <c r="B3351" s="5">
        <v>3346</v>
      </c>
      <c r="C3351" s="11">
        <v>635.59380892984154</v>
      </c>
      <c r="D3351" s="42"/>
    </row>
    <row r="3352" spans="2:4" ht="16" thickBot="1" x14ac:dyDescent="0.25">
      <c r="B3352" s="4">
        <v>3347</v>
      </c>
      <c r="C3352" s="10">
        <v>137.66344915358388</v>
      </c>
      <c r="D3352" s="42"/>
    </row>
    <row r="3353" spans="2:4" ht="16" thickBot="1" x14ac:dyDescent="0.25">
      <c r="B3353" s="5">
        <v>3348</v>
      </c>
      <c r="C3353" s="11">
        <v>110.2655176988611</v>
      </c>
      <c r="D3353" s="42"/>
    </row>
    <row r="3354" spans="2:4" ht="16" thickBot="1" x14ac:dyDescent="0.25">
      <c r="B3354" s="4">
        <v>3349</v>
      </c>
      <c r="C3354" s="10">
        <v>130.67598805565117</v>
      </c>
      <c r="D3354" s="42"/>
    </row>
    <row r="3355" spans="2:4" ht="16" thickBot="1" x14ac:dyDescent="0.25">
      <c r="B3355" s="5">
        <v>3350</v>
      </c>
      <c r="C3355" s="11">
        <v>92.832208719219494</v>
      </c>
      <c r="D3355" s="42"/>
    </row>
    <row r="3356" spans="2:4" ht="16" thickBot="1" x14ac:dyDescent="0.25">
      <c r="B3356" s="4">
        <v>3351</v>
      </c>
      <c r="C3356" s="10">
        <v>392.30071734188641</v>
      </c>
      <c r="D3356" s="42"/>
    </row>
    <row r="3357" spans="2:4" ht="16" thickBot="1" x14ac:dyDescent="0.25">
      <c r="B3357" s="5">
        <v>3352</v>
      </c>
      <c r="C3357" s="11">
        <v>133.92479153621107</v>
      </c>
      <c r="D3357" s="42"/>
    </row>
    <row r="3358" spans="2:4" ht="16" thickBot="1" x14ac:dyDescent="0.25">
      <c r="B3358" s="4">
        <v>3353</v>
      </c>
      <c r="C3358" s="10">
        <v>148.21452075479161</v>
      </c>
      <c r="D3358" s="42"/>
    </row>
    <row r="3359" spans="2:4" ht="16" thickBot="1" x14ac:dyDescent="0.25">
      <c r="B3359" s="5">
        <v>3354</v>
      </c>
      <c r="C3359" s="11">
        <v>239.84012226314971</v>
      </c>
      <c r="D3359" s="42"/>
    </row>
    <row r="3360" spans="2:4" ht="16" thickBot="1" x14ac:dyDescent="0.25">
      <c r="B3360" s="4">
        <v>3355</v>
      </c>
      <c r="C3360" s="10">
        <v>205.66338470787508</v>
      </c>
      <c r="D3360" s="42"/>
    </row>
    <row r="3361" spans="2:4" ht="16" thickBot="1" x14ac:dyDescent="0.25">
      <c r="B3361" s="5">
        <v>3356</v>
      </c>
      <c r="C3361" s="11">
        <v>197.6551586043899</v>
      </c>
      <c r="D3361" s="42"/>
    </row>
    <row r="3362" spans="2:4" ht="16" thickBot="1" x14ac:dyDescent="0.25">
      <c r="B3362" s="4">
        <v>3357</v>
      </c>
      <c r="C3362" s="10">
        <v>277.52108988583086</v>
      </c>
      <c r="D3362" s="42"/>
    </row>
    <row r="3363" spans="2:4" ht="16" thickBot="1" x14ac:dyDescent="0.25">
      <c r="B3363" s="5">
        <v>3358</v>
      </c>
      <c r="C3363" s="11">
        <v>327.44760805735353</v>
      </c>
      <c r="D3363" s="42"/>
    </row>
    <row r="3364" spans="2:4" ht="16" thickBot="1" x14ac:dyDescent="0.25">
      <c r="B3364" s="4">
        <v>3359</v>
      </c>
      <c r="C3364" s="10">
        <v>400.57152603745186</v>
      </c>
      <c r="D3364" s="42"/>
    </row>
    <row r="3365" spans="2:4" ht="16" thickBot="1" x14ac:dyDescent="0.25">
      <c r="B3365" s="5">
        <v>3360</v>
      </c>
      <c r="C3365" s="11">
        <v>296.96998283264475</v>
      </c>
      <c r="D3365" s="42"/>
    </row>
    <row r="3366" spans="2:4" ht="16" thickBot="1" x14ac:dyDescent="0.25">
      <c r="B3366" s="4">
        <v>3361</v>
      </c>
      <c r="C3366" s="10">
        <v>164.87417758269476</v>
      </c>
      <c r="D3366" s="42"/>
    </row>
    <row r="3367" spans="2:4" ht="16" thickBot="1" x14ac:dyDescent="0.25">
      <c r="B3367" s="5">
        <v>3362</v>
      </c>
      <c r="C3367" s="11">
        <v>148.02482897447993</v>
      </c>
      <c r="D3367" s="42"/>
    </row>
    <row r="3368" spans="2:4" ht="16" thickBot="1" x14ac:dyDescent="0.25">
      <c r="B3368" s="4">
        <v>3363</v>
      </c>
      <c r="C3368" s="10">
        <v>54.865844930110867</v>
      </c>
      <c r="D3368" s="42"/>
    </row>
    <row r="3369" spans="2:4" ht="16" thickBot="1" x14ac:dyDescent="0.25">
      <c r="B3369" s="5">
        <v>3364</v>
      </c>
      <c r="C3369" s="11">
        <v>329.28352100661016</v>
      </c>
      <c r="D3369" s="42"/>
    </row>
    <row r="3370" spans="2:4" ht="16" thickBot="1" x14ac:dyDescent="0.25">
      <c r="B3370" s="4">
        <v>3365</v>
      </c>
      <c r="C3370" s="10">
        <v>533.51244732788575</v>
      </c>
      <c r="D3370" s="42"/>
    </row>
    <row r="3371" spans="2:4" ht="16" thickBot="1" x14ac:dyDescent="0.25">
      <c r="B3371" s="5">
        <v>3366</v>
      </c>
      <c r="C3371" s="11">
        <v>99.245231942371817</v>
      </c>
      <c r="D3371" s="42"/>
    </row>
    <row r="3372" spans="2:4" ht="16" thickBot="1" x14ac:dyDescent="0.25">
      <c r="B3372" s="4">
        <v>3367</v>
      </c>
      <c r="C3372" s="10">
        <v>177.59985193832998</v>
      </c>
      <c r="D3372" s="42"/>
    </row>
    <row r="3373" spans="2:4" ht="16" thickBot="1" x14ac:dyDescent="0.25">
      <c r="B3373" s="5">
        <v>3368</v>
      </c>
      <c r="C3373" s="11">
        <v>113.1678056145355</v>
      </c>
      <c r="D3373" s="42"/>
    </row>
    <row r="3374" spans="2:4" ht="16" thickBot="1" x14ac:dyDescent="0.25">
      <c r="B3374" s="4">
        <v>3369</v>
      </c>
      <c r="C3374" s="10">
        <v>298.27884401795194</v>
      </c>
      <c r="D3374" s="42"/>
    </row>
    <row r="3375" spans="2:4" ht="16" thickBot="1" x14ac:dyDescent="0.25">
      <c r="B3375" s="5">
        <v>3370</v>
      </c>
      <c r="C3375" s="11">
        <v>365.14468648121618</v>
      </c>
      <c r="D3375" s="42"/>
    </row>
    <row r="3376" spans="2:4" ht="16" thickBot="1" x14ac:dyDescent="0.25">
      <c r="B3376" s="4">
        <v>3371</v>
      </c>
      <c r="C3376" s="10">
        <v>237.45745528078606</v>
      </c>
      <c r="D3376" s="42"/>
    </row>
    <row r="3377" spans="2:4" ht="16" thickBot="1" x14ac:dyDescent="0.25">
      <c r="B3377" s="5">
        <v>3372</v>
      </c>
      <c r="C3377" s="11">
        <v>117.32076314150891</v>
      </c>
      <c r="D3377" s="42"/>
    </row>
    <row r="3378" spans="2:4" ht="16" thickBot="1" x14ac:dyDescent="0.25">
      <c r="B3378" s="4">
        <v>3373</v>
      </c>
      <c r="C3378" s="10">
        <v>656.46664114562395</v>
      </c>
      <c r="D3378" s="42"/>
    </row>
    <row r="3379" spans="2:4" ht="16" thickBot="1" x14ac:dyDescent="0.25">
      <c r="B3379" s="5">
        <v>3374</v>
      </c>
      <c r="C3379" s="11">
        <v>167.49121219261727</v>
      </c>
      <c r="D3379" s="42"/>
    </row>
    <row r="3380" spans="2:4" ht="16" thickBot="1" x14ac:dyDescent="0.25">
      <c r="B3380" s="4">
        <v>3375</v>
      </c>
      <c r="C3380" s="10">
        <v>299.76026889481028</v>
      </c>
      <c r="D3380" s="42"/>
    </row>
    <row r="3381" spans="2:4" ht="16" thickBot="1" x14ac:dyDescent="0.25">
      <c r="B3381" s="5">
        <v>3376</v>
      </c>
      <c r="C3381" s="11">
        <v>279.30926424639063</v>
      </c>
      <c r="D3381" s="42"/>
    </row>
    <row r="3382" spans="2:4" ht="16" thickBot="1" x14ac:dyDescent="0.25">
      <c r="B3382" s="4">
        <v>3377</v>
      </c>
      <c r="C3382" s="10">
        <v>312.22724934081515</v>
      </c>
      <c r="D3382" s="42"/>
    </row>
    <row r="3383" spans="2:4" ht="16" thickBot="1" x14ac:dyDescent="0.25">
      <c r="B3383" s="5">
        <v>3378</v>
      </c>
      <c r="C3383" s="11">
        <v>111.23243510086041</v>
      </c>
      <c r="D3383" s="42"/>
    </row>
    <row r="3384" spans="2:4" ht="16" thickBot="1" x14ac:dyDescent="0.25">
      <c r="B3384" s="4">
        <v>3379</v>
      </c>
      <c r="C3384" s="10">
        <v>487.10744887264912</v>
      </c>
      <c r="D3384" s="42"/>
    </row>
    <row r="3385" spans="2:4" ht="16" thickBot="1" x14ac:dyDescent="0.25">
      <c r="B3385" s="5">
        <v>3380</v>
      </c>
      <c r="C3385" s="11">
        <v>245.78558088011479</v>
      </c>
      <c r="D3385" s="42"/>
    </row>
    <row r="3386" spans="2:4" ht="16" thickBot="1" x14ac:dyDescent="0.25">
      <c r="B3386" s="4">
        <v>3381</v>
      </c>
      <c r="C3386" s="10">
        <v>312.88517104947704</v>
      </c>
      <c r="D3386" s="42"/>
    </row>
    <row r="3387" spans="2:4" ht="16" thickBot="1" x14ac:dyDescent="0.25">
      <c r="B3387" s="5">
        <v>3382</v>
      </c>
      <c r="C3387" s="11">
        <v>447.81272359359758</v>
      </c>
      <c r="D3387" s="42"/>
    </row>
    <row r="3388" spans="2:4" ht="16" thickBot="1" x14ac:dyDescent="0.25">
      <c r="B3388" s="4">
        <v>3383</v>
      </c>
      <c r="C3388" s="10">
        <v>85.997293435302765</v>
      </c>
      <c r="D3388" s="42"/>
    </row>
    <row r="3389" spans="2:4" ht="16" thickBot="1" x14ac:dyDescent="0.25">
      <c r="B3389" s="5">
        <v>3384</v>
      </c>
      <c r="C3389" s="11">
        <v>108.57797961529531</v>
      </c>
      <c r="D3389" s="42"/>
    </row>
    <row r="3390" spans="2:4" ht="16" thickBot="1" x14ac:dyDescent="0.25">
      <c r="B3390" s="4">
        <v>3385</v>
      </c>
      <c r="C3390" s="10">
        <v>122.74319663380771</v>
      </c>
      <c r="D3390" s="42"/>
    </row>
    <row r="3391" spans="2:4" ht="16" thickBot="1" x14ac:dyDescent="0.25">
      <c r="B3391" s="5">
        <v>3386</v>
      </c>
      <c r="C3391" s="11">
        <v>181.51277693377224</v>
      </c>
      <c r="D3391" s="42"/>
    </row>
    <row r="3392" spans="2:4" ht="16" thickBot="1" x14ac:dyDescent="0.25">
      <c r="B3392" s="4">
        <v>3387</v>
      </c>
      <c r="C3392" s="10">
        <v>413.46359970226013</v>
      </c>
      <c r="D3392" s="42"/>
    </row>
    <row r="3393" spans="2:4" ht="16" thickBot="1" x14ac:dyDescent="0.25">
      <c r="B3393" s="5">
        <v>3388</v>
      </c>
      <c r="C3393" s="11">
        <v>202.45529732927176</v>
      </c>
      <c r="D3393" s="42"/>
    </row>
    <row r="3394" spans="2:4" ht="16" thickBot="1" x14ac:dyDescent="0.25">
      <c r="B3394" s="4">
        <v>3389</v>
      </c>
      <c r="C3394" s="10">
        <v>222.73531580552492</v>
      </c>
      <c r="D3394" s="42"/>
    </row>
    <row r="3395" spans="2:4" ht="16" thickBot="1" x14ac:dyDescent="0.25">
      <c r="B3395" s="5">
        <v>3390</v>
      </c>
      <c r="C3395" s="11">
        <v>378.79168020478028</v>
      </c>
      <c r="D3395" s="42"/>
    </row>
    <row r="3396" spans="2:4" ht="16" thickBot="1" x14ac:dyDescent="0.25">
      <c r="B3396" s="4">
        <v>3391</v>
      </c>
      <c r="C3396" s="10">
        <v>122.43343691824748</v>
      </c>
      <c r="D3396" s="42"/>
    </row>
    <row r="3397" spans="2:4" ht="16" thickBot="1" x14ac:dyDescent="0.25">
      <c r="B3397" s="5">
        <v>3392</v>
      </c>
      <c r="C3397" s="11">
        <v>306.92203021624329</v>
      </c>
      <c r="D3397" s="42"/>
    </row>
    <row r="3398" spans="2:4" ht="16" thickBot="1" x14ac:dyDescent="0.25">
      <c r="B3398" s="4">
        <v>3393</v>
      </c>
      <c r="C3398" s="10">
        <v>588.93523681959437</v>
      </c>
      <c r="D3398" s="42"/>
    </row>
    <row r="3399" spans="2:4" ht="16" thickBot="1" x14ac:dyDescent="0.25">
      <c r="B3399" s="5">
        <v>3394</v>
      </c>
      <c r="C3399" s="11">
        <v>461.96220869484551</v>
      </c>
      <c r="D3399" s="42"/>
    </row>
    <row r="3400" spans="2:4" ht="16" thickBot="1" x14ac:dyDescent="0.25">
      <c r="B3400" s="4">
        <v>3395</v>
      </c>
      <c r="C3400" s="10">
        <v>482.21127414669036</v>
      </c>
      <c r="D3400" s="42"/>
    </row>
    <row r="3401" spans="2:4" ht="16" thickBot="1" x14ac:dyDescent="0.25">
      <c r="B3401" s="5">
        <v>3396</v>
      </c>
      <c r="C3401" s="11">
        <v>284.97569404427605</v>
      </c>
      <c r="D3401" s="42"/>
    </row>
    <row r="3402" spans="2:4" ht="16" thickBot="1" x14ac:dyDescent="0.25">
      <c r="B3402" s="4">
        <v>3397</v>
      </c>
      <c r="C3402" s="10">
        <v>108.60617307833527</v>
      </c>
      <c r="D3402" s="42"/>
    </row>
    <row r="3403" spans="2:4" ht="16" thickBot="1" x14ac:dyDescent="0.25">
      <c r="B3403" s="5">
        <v>3398</v>
      </c>
      <c r="C3403" s="11">
        <v>343.9179088446727</v>
      </c>
      <c r="D3403" s="42"/>
    </row>
    <row r="3404" spans="2:4" ht="16" thickBot="1" x14ac:dyDescent="0.25">
      <c r="B3404" s="4">
        <v>3399</v>
      </c>
      <c r="C3404" s="10">
        <v>251.53352422821729</v>
      </c>
      <c r="D3404" s="42"/>
    </row>
    <row r="3405" spans="2:4" ht="16" thickBot="1" x14ac:dyDescent="0.25">
      <c r="B3405" s="5">
        <v>3400</v>
      </c>
      <c r="C3405" s="11">
        <v>315.43186391482692</v>
      </c>
      <c r="D3405" s="42"/>
    </row>
    <row r="3406" spans="2:4" ht="16" thickBot="1" x14ac:dyDescent="0.25">
      <c r="B3406" s="4">
        <v>3401</v>
      </c>
      <c r="C3406" s="10">
        <v>157.77983907393639</v>
      </c>
      <c r="D3406" s="42"/>
    </row>
    <row r="3407" spans="2:4" ht="16" thickBot="1" x14ac:dyDescent="0.25">
      <c r="B3407" s="5">
        <v>3402</v>
      </c>
      <c r="C3407" s="11">
        <v>358.60947817372755</v>
      </c>
      <c r="D3407" s="42"/>
    </row>
    <row r="3408" spans="2:4" ht="16" thickBot="1" x14ac:dyDescent="0.25">
      <c r="B3408" s="4">
        <v>3403</v>
      </c>
      <c r="C3408" s="10">
        <v>210.23236378115135</v>
      </c>
      <c r="D3408" s="42"/>
    </row>
    <row r="3409" spans="2:4" ht="16" thickBot="1" x14ac:dyDescent="0.25">
      <c r="B3409" s="5">
        <v>3404</v>
      </c>
      <c r="C3409" s="11">
        <v>269.4151757543475</v>
      </c>
      <c r="D3409" s="42"/>
    </row>
    <row r="3410" spans="2:4" ht="16" thickBot="1" x14ac:dyDescent="0.25">
      <c r="B3410" s="4">
        <v>3405</v>
      </c>
      <c r="C3410" s="10">
        <v>132.81980976257381</v>
      </c>
      <c r="D3410" s="42"/>
    </row>
    <row r="3411" spans="2:4" ht="16" thickBot="1" x14ac:dyDescent="0.25">
      <c r="B3411" s="5">
        <v>3406</v>
      </c>
      <c r="C3411" s="11">
        <v>335.79789830222842</v>
      </c>
      <c r="D3411" s="42"/>
    </row>
    <row r="3412" spans="2:4" ht="16" thickBot="1" x14ac:dyDescent="0.25">
      <c r="B3412" s="4">
        <v>3407</v>
      </c>
      <c r="C3412" s="10">
        <v>544.31084149686717</v>
      </c>
      <c r="D3412" s="42"/>
    </row>
    <row r="3413" spans="2:4" ht="16" thickBot="1" x14ac:dyDescent="0.25">
      <c r="B3413" s="5">
        <v>3408</v>
      </c>
      <c r="C3413" s="11">
        <v>140.74544420616976</v>
      </c>
      <c r="D3413" s="42"/>
    </row>
    <row r="3414" spans="2:4" ht="16" thickBot="1" x14ac:dyDescent="0.25">
      <c r="B3414" s="4">
        <v>3409</v>
      </c>
      <c r="C3414" s="10">
        <v>259.07200815764475</v>
      </c>
      <c r="D3414" s="42"/>
    </row>
    <row r="3415" spans="2:4" ht="16" thickBot="1" x14ac:dyDescent="0.25">
      <c r="B3415" s="5">
        <v>3410</v>
      </c>
      <c r="C3415" s="11">
        <v>295.1932509190724</v>
      </c>
      <c r="D3415" s="42"/>
    </row>
    <row r="3416" spans="2:4" ht="16" thickBot="1" x14ac:dyDescent="0.25">
      <c r="B3416" s="4">
        <v>3411</v>
      </c>
      <c r="C3416" s="10">
        <v>285.07585483138962</v>
      </c>
      <c r="D3416" s="42"/>
    </row>
    <row r="3417" spans="2:4" ht="16" thickBot="1" x14ac:dyDescent="0.25">
      <c r="B3417" s="5">
        <v>3412</v>
      </c>
      <c r="C3417" s="11">
        <v>455.32812002174086</v>
      </c>
      <c r="D3417" s="42"/>
    </row>
    <row r="3418" spans="2:4" ht="16" thickBot="1" x14ac:dyDescent="0.25">
      <c r="B3418" s="4">
        <v>3413</v>
      </c>
      <c r="C3418" s="10">
        <v>381.75753336763569</v>
      </c>
      <c r="D3418" s="42"/>
    </row>
    <row r="3419" spans="2:4" ht="16" thickBot="1" x14ac:dyDescent="0.25">
      <c r="B3419" s="5">
        <v>3414</v>
      </c>
      <c r="C3419" s="11">
        <v>355.84284756415809</v>
      </c>
      <c r="D3419" s="42"/>
    </row>
    <row r="3420" spans="2:4" ht="16" thickBot="1" x14ac:dyDescent="0.25">
      <c r="B3420" s="4">
        <v>3415</v>
      </c>
      <c r="C3420" s="10">
        <v>379.28007748458458</v>
      </c>
      <c r="D3420" s="42"/>
    </row>
    <row r="3421" spans="2:4" ht="16" thickBot="1" x14ac:dyDescent="0.25">
      <c r="B3421" s="5">
        <v>3416</v>
      </c>
      <c r="C3421" s="11">
        <v>87.440047130163364</v>
      </c>
      <c r="D3421" s="42"/>
    </row>
    <row r="3422" spans="2:4" ht="16" thickBot="1" x14ac:dyDescent="0.25">
      <c r="B3422" s="4">
        <v>3417</v>
      </c>
      <c r="C3422" s="10">
        <v>340.89229753461194</v>
      </c>
      <c r="D3422" s="42"/>
    </row>
    <row r="3423" spans="2:4" ht="16" thickBot="1" x14ac:dyDescent="0.25">
      <c r="B3423" s="5">
        <v>3418</v>
      </c>
      <c r="C3423" s="11">
        <v>552.19227109107362</v>
      </c>
      <c r="D3423" s="42"/>
    </row>
    <row r="3424" spans="2:4" ht="16" thickBot="1" x14ac:dyDescent="0.25">
      <c r="B3424" s="4">
        <v>3419</v>
      </c>
      <c r="C3424" s="10">
        <v>143.26962432439106</v>
      </c>
      <c r="D3424" s="42"/>
    </row>
    <row r="3425" spans="2:4" ht="16" thickBot="1" x14ac:dyDescent="0.25">
      <c r="B3425" s="5">
        <v>3420</v>
      </c>
      <c r="C3425" s="11">
        <v>312.29430334952752</v>
      </c>
      <c r="D3425" s="42"/>
    </row>
    <row r="3426" spans="2:4" ht="16" thickBot="1" x14ac:dyDescent="0.25">
      <c r="B3426" s="4">
        <v>3421</v>
      </c>
      <c r="C3426" s="10">
        <v>423.74354778006006</v>
      </c>
      <c r="D3426" s="42"/>
    </row>
    <row r="3427" spans="2:4" ht="16" thickBot="1" x14ac:dyDescent="0.25">
      <c r="B3427" s="5">
        <v>3422</v>
      </c>
      <c r="C3427" s="11">
        <v>177.0611700808798</v>
      </c>
      <c r="D3427" s="42"/>
    </row>
    <row r="3428" spans="2:4" ht="16" thickBot="1" x14ac:dyDescent="0.25">
      <c r="B3428" s="4">
        <v>3423</v>
      </c>
      <c r="C3428" s="10">
        <v>442.42742353666961</v>
      </c>
      <c r="D3428" s="42"/>
    </row>
    <row r="3429" spans="2:4" ht="16" thickBot="1" x14ac:dyDescent="0.25">
      <c r="B3429" s="5">
        <v>3424</v>
      </c>
      <c r="C3429" s="11">
        <v>159.88319574520787</v>
      </c>
      <c r="D3429" s="42"/>
    </row>
    <row r="3430" spans="2:4" ht="16" thickBot="1" x14ac:dyDescent="0.25">
      <c r="B3430" s="4">
        <v>3425</v>
      </c>
      <c r="C3430" s="10">
        <v>624.40947437274394</v>
      </c>
      <c r="D3430" s="42"/>
    </row>
    <row r="3431" spans="2:4" ht="16" thickBot="1" x14ac:dyDescent="0.25">
      <c r="B3431" s="5">
        <v>3426</v>
      </c>
      <c r="C3431" s="11">
        <v>363.5367963534033</v>
      </c>
      <c r="D3431" s="42"/>
    </row>
    <row r="3432" spans="2:4" ht="16" thickBot="1" x14ac:dyDescent="0.25">
      <c r="B3432" s="4">
        <v>3427</v>
      </c>
      <c r="C3432" s="10">
        <v>227.68667151285749</v>
      </c>
      <c r="D3432" s="42"/>
    </row>
    <row r="3433" spans="2:4" ht="16" thickBot="1" x14ac:dyDescent="0.25">
      <c r="B3433" s="5">
        <v>3428</v>
      </c>
      <c r="C3433" s="11">
        <v>109.43882249885498</v>
      </c>
      <c r="D3433" s="42"/>
    </row>
    <row r="3434" spans="2:4" ht="16" thickBot="1" x14ac:dyDescent="0.25">
      <c r="B3434" s="4">
        <v>3429</v>
      </c>
      <c r="C3434" s="10">
        <v>97.168678134926992</v>
      </c>
      <c r="D3434" s="42"/>
    </row>
    <row r="3435" spans="2:4" ht="16" thickBot="1" x14ac:dyDescent="0.25">
      <c r="B3435" s="5">
        <v>3430</v>
      </c>
      <c r="C3435" s="11">
        <v>395.87389782681356</v>
      </c>
      <c r="D3435" s="42"/>
    </row>
    <row r="3436" spans="2:4" ht="16" thickBot="1" x14ac:dyDescent="0.25">
      <c r="B3436" s="4">
        <v>3431</v>
      </c>
      <c r="C3436" s="10">
        <v>482.10409379947163</v>
      </c>
      <c r="D3436" s="42"/>
    </row>
    <row r="3437" spans="2:4" ht="16" thickBot="1" x14ac:dyDescent="0.25">
      <c r="B3437" s="5">
        <v>3432</v>
      </c>
      <c r="C3437" s="11">
        <v>29.127231613852533</v>
      </c>
      <c r="D3437" s="42"/>
    </row>
    <row r="3438" spans="2:4" ht="16" thickBot="1" x14ac:dyDescent="0.25">
      <c r="B3438" s="4">
        <v>3433</v>
      </c>
      <c r="C3438" s="10">
        <v>477.93414385060106</v>
      </c>
      <c r="D3438" s="42"/>
    </row>
    <row r="3439" spans="2:4" ht="16" thickBot="1" x14ac:dyDescent="0.25">
      <c r="B3439" s="5">
        <v>3434</v>
      </c>
      <c r="C3439" s="11">
        <v>528.94956657417072</v>
      </c>
      <c r="D3439" s="42"/>
    </row>
    <row r="3440" spans="2:4" ht="16" thickBot="1" x14ac:dyDescent="0.25">
      <c r="B3440" s="4">
        <v>3435</v>
      </c>
      <c r="C3440" s="10">
        <v>221.99582937705813</v>
      </c>
      <c r="D3440" s="42"/>
    </row>
    <row r="3441" spans="2:4" ht="16" thickBot="1" x14ac:dyDescent="0.25">
      <c r="B3441" s="5">
        <v>3436</v>
      </c>
      <c r="C3441" s="11">
        <v>306.95639165429463</v>
      </c>
      <c r="D3441" s="42"/>
    </row>
    <row r="3442" spans="2:4" ht="16" thickBot="1" x14ac:dyDescent="0.25">
      <c r="B3442" s="4">
        <v>3437</v>
      </c>
      <c r="C3442" s="10">
        <v>459.30841460532878</v>
      </c>
      <c r="D3442" s="42"/>
    </row>
    <row r="3443" spans="2:4" ht="16" thickBot="1" x14ac:dyDescent="0.25">
      <c r="B3443" s="5">
        <v>3438</v>
      </c>
      <c r="C3443" s="11">
        <v>127.09842143029198</v>
      </c>
      <c r="D3443" s="42"/>
    </row>
    <row r="3444" spans="2:4" ht="16" thickBot="1" x14ac:dyDescent="0.25">
      <c r="B3444" s="4">
        <v>3439</v>
      </c>
      <c r="C3444" s="10">
        <v>321.90326227498372</v>
      </c>
      <c r="D3444" s="42"/>
    </row>
    <row r="3445" spans="2:4" ht="16" thickBot="1" x14ac:dyDescent="0.25">
      <c r="B3445" s="5">
        <v>3440</v>
      </c>
      <c r="C3445" s="11">
        <v>265.20181131750269</v>
      </c>
      <c r="D3445" s="42"/>
    </row>
    <row r="3446" spans="2:4" ht="16" thickBot="1" x14ac:dyDescent="0.25">
      <c r="B3446" s="4">
        <v>3441</v>
      </c>
      <c r="C3446" s="10">
        <v>91.720610850869846</v>
      </c>
      <c r="D3446" s="42"/>
    </row>
    <row r="3447" spans="2:4" ht="16" thickBot="1" x14ac:dyDescent="0.25">
      <c r="B3447" s="5">
        <v>3442</v>
      </c>
      <c r="C3447" s="11">
        <v>159.87968488644523</v>
      </c>
      <c r="D3447" s="42"/>
    </row>
    <row r="3448" spans="2:4" ht="16" thickBot="1" x14ac:dyDescent="0.25">
      <c r="B3448" s="4">
        <v>3443</v>
      </c>
      <c r="C3448" s="10">
        <v>212.97305233170221</v>
      </c>
      <c r="D3448" s="42"/>
    </row>
    <row r="3449" spans="2:4" ht="16" thickBot="1" x14ac:dyDescent="0.25">
      <c r="B3449" s="5">
        <v>3444</v>
      </c>
      <c r="C3449" s="11">
        <v>112.02065826930328</v>
      </c>
      <c r="D3449" s="42"/>
    </row>
    <row r="3450" spans="2:4" ht="16" thickBot="1" x14ac:dyDescent="0.25">
      <c r="B3450" s="4">
        <v>3445</v>
      </c>
      <c r="C3450" s="10">
        <v>123.35445133132278</v>
      </c>
      <c r="D3450" s="42"/>
    </row>
    <row r="3451" spans="2:4" ht="16" thickBot="1" x14ac:dyDescent="0.25">
      <c r="B3451" s="5">
        <v>3446</v>
      </c>
      <c r="C3451" s="11">
        <v>219.78835775713236</v>
      </c>
      <c r="D3451" s="42"/>
    </row>
    <row r="3452" spans="2:4" ht="16" thickBot="1" x14ac:dyDescent="0.25">
      <c r="B3452" s="4">
        <v>3447</v>
      </c>
      <c r="C3452" s="10">
        <v>400.20320221625093</v>
      </c>
      <c r="D3452" s="42"/>
    </row>
    <row r="3453" spans="2:4" ht="16" thickBot="1" x14ac:dyDescent="0.25">
      <c r="B3453" s="5">
        <v>3448</v>
      </c>
      <c r="C3453" s="11">
        <v>140.90707189905419</v>
      </c>
      <c r="D3453" s="42"/>
    </row>
    <row r="3454" spans="2:4" ht="16" thickBot="1" x14ac:dyDescent="0.25">
      <c r="B3454" s="4">
        <v>3449</v>
      </c>
      <c r="C3454" s="10">
        <v>217.67462058053206</v>
      </c>
      <c r="D3454" s="42"/>
    </row>
    <row r="3455" spans="2:4" ht="16" thickBot="1" x14ac:dyDescent="0.25">
      <c r="B3455" s="5">
        <v>3450</v>
      </c>
      <c r="C3455" s="11">
        <v>267.66572310578215</v>
      </c>
      <c r="D3455" s="42"/>
    </row>
    <row r="3456" spans="2:4" ht="16" thickBot="1" x14ac:dyDescent="0.25">
      <c r="B3456" s="4">
        <v>3451</v>
      </c>
      <c r="C3456" s="10">
        <v>246.07562698952228</v>
      </c>
      <c r="D3456" s="42"/>
    </row>
    <row r="3457" spans="2:4" ht="16" thickBot="1" x14ac:dyDescent="0.25">
      <c r="B3457" s="5">
        <v>3452</v>
      </c>
      <c r="C3457" s="11">
        <v>303.02632387308586</v>
      </c>
      <c r="D3457" s="42"/>
    </row>
    <row r="3458" spans="2:4" ht="16" thickBot="1" x14ac:dyDescent="0.25">
      <c r="B3458" s="4">
        <v>3453</v>
      </c>
      <c r="C3458" s="10">
        <v>310.86314246981061</v>
      </c>
      <c r="D3458" s="42"/>
    </row>
    <row r="3459" spans="2:4" ht="16" thickBot="1" x14ac:dyDescent="0.25">
      <c r="B3459" s="5">
        <v>3454</v>
      </c>
      <c r="C3459" s="11">
        <v>337.91268137040709</v>
      </c>
      <c r="D3459" s="42"/>
    </row>
    <row r="3460" spans="2:4" ht="16" thickBot="1" x14ac:dyDescent="0.25">
      <c r="B3460" s="4">
        <v>3455</v>
      </c>
      <c r="C3460" s="10">
        <v>405.43897582111413</v>
      </c>
      <c r="D3460" s="42"/>
    </row>
    <row r="3461" spans="2:4" ht="16" thickBot="1" x14ac:dyDescent="0.25">
      <c r="B3461" s="5">
        <v>3456</v>
      </c>
      <c r="C3461" s="11">
        <v>26.349037931220884</v>
      </c>
      <c r="D3461" s="42"/>
    </row>
    <row r="3462" spans="2:4" ht="16" thickBot="1" x14ac:dyDescent="0.25">
      <c r="B3462" s="4">
        <v>3457</v>
      </c>
      <c r="C3462" s="10">
        <v>535.87355890958565</v>
      </c>
      <c r="D3462" s="42"/>
    </row>
    <row r="3463" spans="2:4" ht="16" thickBot="1" x14ac:dyDescent="0.25">
      <c r="B3463" s="5">
        <v>3458</v>
      </c>
      <c r="C3463" s="11">
        <v>311.40288827312742</v>
      </c>
      <c r="D3463" s="42"/>
    </row>
    <row r="3464" spans="2:4" ht="16" thickBot="1" x14ac:dyDescent="0.25">
      <c r="B3464" s="4">
        <v>3459</v>
      </c>
      <c r="C3464" s="10">
        <v>296.52581252803151</v>
      </c>
      <c r="D3464" s="42"/>
    </row>
    <row r="3465" spans="2:4" ht="16" thickBot="1" x14ac:dyDescent="0.25">
      <c r="B3465" s="5">
        <v>3460</v>
      </c>
      <c r="C3465" s="11">
        <v>285.15601581392264</v>
      </c>
      <c r="D3465" s="42"/>
    </row>
    <row r="3466" spans="2:4" ht="16" thickBot="1" x14ac:dyDescent="0.25">
      <c r="B3466" s="4">
        <v>3461</v>
      </c>
      <c r="C3466" s="10">
        <v>413.18032677886254</v>
      </c>
      <c r="D3466" s="42"/>
    </row>
    <row r="3467" spans="2:4" ht="16" thickBot="1" x14ac:dyDescent="0.25">
      <c r="B3467" s="5">
        <v>3462</v>
      </c>
      <c r="C3467" s="11">
        <v>194.5389076050337</v>
      </c>
      <c r="D3467" s="42"/>
    </row>
    <row r="3468" spans="2:4" ht="16" thickBot="1" x14ac:dyDescent="0.25">
      <c r="B3468" s="4">
        <v>3463</v>
      </c>
      <c r="C3468" s="10">
        <v>332.77002570711181</v>
      </c>
      <c r="D3468" s="42"/>
    </row>
    <row r="3469" spans="2:4" ht="16" thickBot="1" x14ac:dyDescent="0.25">
      <c r="B3469" s="5">
        <v>3464</v>
      </c>
      <c r="C3469" s="11">
        <v>588.38367673758671</v>
      </c>
      <c r="D3469" s="42"/>
    </row>
    <row r="3470" spans="2:4" ht="16" thickBot="1" x14ac:dyDescent="0.25">
      <c r="B3470" s="4">
        <v>3465</v>
      </c>
      <c r="C3470" s="10">
        <v>329.74704648316532</v>
      </c>
      <c r="D3470" s="42"/>
    </row>
    <row r="3471" spans="2:4" ht="16" thickBot="1" x14ac:dyDescent="0.25">
      <c r="B3471" s="5">
        <v>3466</v>
      </c>
      <c r="C3471" s="11">
        <v>114.60132224746927</v>
      </c>
      <c r="D3471" s="42"/>
    </row>
    <row r="3472" spans="2:4" ht="16" thickBot="1" x14ac:dyDescent="0.25">
      <c r="B3472" s="4">
        <v>3467</v>
      </c>
      <c r="C3472" s="10">
        <v>215.23150614678943</v>
      </c>
      <c r="D3472" s="42"/>
    </row>
    <row r="3473" spans="2:4" ht="16" thickBot="1" x14ac:dyDescent="0.25">
      <c r="B3473" s="5">
        <v>3468</v>
      </c>
      <c r="C3473" s="11">
        <v>331.67968915570208</v>
      </c>
      <c r="D3473" s="42"/>
    </row>
    <row r="3474" spans="2:4" ht="16" thickBot="1" x14ac:dyDescent="0.25">
      <c r="B3474" s="4">
        <v>3469</v>
      </c>
      <c r="C3474" s="10">
        <v>56.533556704407815</v>
      </c>
      <c r="D3474" s="42"/>
    </row>
    <row r="3475" spans="2:4" ht="16" thickBot="1" x14ac:dyDescent="0.25">
      <c r="B3475" s="5">
        <v>3470</v>
      </c>
      <c r="C3475" s="11">
        <v>381.9266823901321</v>
      </c>
      <c r="D3475" s="42"/>
    </row>
    <row r="3476" spans="2:4" ht="16" thickBot="1" x14ac:dyDescent="0.25">
      <c r="B3476" s="4">
        <v>3471</v>
      </c>
      <c r="C3476" s="10">
        <v>128.532252814213</v>
      </c>
      <c r="D3476" s="42"/>
    </row>
    <row r="3477" spans="2:4" ht="16" thickBot="1" x14ac:dyDescent="0.25">
      <c r="B3477" s="5">
        <v>3472</v>
      </c>
      <c r="C3477" s="11">
        <v>598.7761670085772</v>
      </c>
      <c r="D3477" s="42"/>
    </row>
    <row r="3478" spans="2:4" ht="16" thickBot="1" x14ac:dyDescent="0.25">
      <c r="B3478" s="4">
        <v>3473</v>
      </c>
      <c r="C3478" s="10">
        <v>169.38039960946406</v>
      </c>
      <c r="D3478" s="42"/>
    </row>
    <row r="3479" spans="2:4" ht="16" thickBot="1" x14ac:dyDescent="0.25">
      <c r="B3479" s="5">
        <v>3474</v>
      </c>
      <c r="C3479" s="11">
        <v>329.5128324663487</v>
      </c>
      <c r="D3479" s="42"/>
    </row>
    <row r="3480" spans="2:4" ht="16" thickBot="1" x14ac:dyDescent="0.25">
      <c r="B3480" s="4">
        <v>3475</v>
      </c>
      <c r="C3480" s="10">
        <v>410.99308865841687</v>
      </c>
      <c r="D3480" s="42"/>
    </row>
    <row r="3481" spans="2:4" ht="16" thickBot="1" x14ac:dyDescent="0.25">
      <c r="B3481" s="5">
        <v>3476</v>
      </c>
      <c r="C3481" s="11">
        <v>150.46942586017951</v>
      </c>
      <c r="D3481" s="42"/>
    </row>
    <row r="3482" spans="2:4" ht="16" thickBot="1" x14ac:dyDescent="0.25">
      <c r="B3482" s="4">
        <v>3477</v>
      </c>
      <c r="C3482" s="10">
        <v>202.70472382016882</v>
      </c>
      <c r="D3482" s="42"/>
    </row>
    <row r="3483" spans="2:4" ht="16" thickBot="1" x14ac:dyDescent="0.25">
      <c r="B3483" s="5">
        <v>3478</v>
      </c>
      <c r="C3483" s="11">
        <v>246.40033972296905</v>
      </c>
      <c r="D3483" s="42"/>
    </row>
    <row r="3484" spans="2:4" ht="16" thickBot="1" x14ac:dyDescent="0.25">
      <c r="B3484" s="4">
        <v>3479</v>
      </c>
      <c r="C3484" s="10">
        <v>752.59257803742855</v>
      </c>
      <c r="D3484" s="42"/>
    </row>
    <row r="3485" spans="2:4" ht="16" thickBot="1" x14ac:dyDescent="0.25">
      <c r="B3485" s="5">
        <v>3480</v>
      </c>
      <c r="C3485" s="11">
        <v>333.29128904109848</v>
      </c>
      <c r="D3485" s="42"/>
    </row>
    <row r="3486" spans="2:4" ht="16" thickBot="1" x14ac:dyDescent="0.25">
      <c r="B3486" s="4">
        <v>3481</v>
      </c>
      <c r="C3486" s="10">
        <v>529.45842056624986</v>
      </c>
      <c r="D3486" s="42"/>
    </row>
    <row r="3487" spans="2:4" ht="16" thickBot="1" x14ac:dyDescent="0.25">
      <c r="B3487" s="5">
        <v>3482</v>
      </c>
      <c r="C3487" s="11">
        <v>172.37641837004668</v>
      </c>
      <c r="D3487" s="42"/>
    </row>
    <row r="3488" spans="2:4" ht="16" thickBot="1" x14ac:dyDescent="0.25">
      <c r="B3488" s="4">
        <v>3483</v>
      </c>
      <c r="C3488" s="10">
        <v>94.384507735999065</v>
      </c>
      <c r="D3488" s="42"/>
    </row>
    <row r="3489" spans="2:4" ht="16" thickBot="1" x14ac:dyDescent="0.25">
      <c r="B3489" s="5">
        <v>3484</v>
      </c>
      <c r="C3489" s="11">
        <v>297.17617582832202</v>
      </c>
      <c r="D3489" s="42"/>
    </row>
    <row r="3490" spans="2:4" ht="16" thickBot="1" x14ac:dyDescent="0.25">
      <c r="B3490" s="4">
        <v>3485</v>
      </c>
      <c r="C3490" s="10">
        <v>109.99943244280951</v>
      </c>
      <c r="D3490" s="42"/>
    </row>
    <row r="3491" spans="2:4" ht="16" thickBot="1" x14ac:dyDescent="0.25">
      <c r="B3491" s="5">
        <v>3486</v>
      </c>
      <c r="C3491" s="11">
        <v>163.79248076393191</v>
      </c>
      <c r="D3491" s="42"/>
    </row>
    <row r="3492" spans="2:4" ht="16" thickBot="1" x14ac:dyDescent="0.25">
      <c r="B3492" s="4">
        <v>3487</v>
      </c>
      <c r="C3492" s="10">
        <v>289.66794813153916</v>
      </c>
      <c r="D3492" s="42"/>
    </row>
    <row r="3493" spans="2:4" ht="16" thickBot="1" x14ac:dyDescent="0.25">
      <c r="B3493" s="5">
        <v>3488</v>
      </c>
      <c r="C3493" s="11">
        <v>128.32967119637252</v>
      </c>
      <c r="D3493" s="42"/>
    </row>
    <row r="3494" spans="2:4" ht="16" thickBot="1" x14ac:dyDescent="0.25">
      <c r="B3494" s="4">
        <v>3489</v>
      </c>
      <c r="C3494" s="10">
        <v>559.25298613387633</v>
      </c>
      <c r="D3494" s="42"/>
    </row>
    <row r="3495" spans="2:4" ht="16" thickBot="1" x14ac:dyDescent="0.25">
      <c r="B3495" s="5">
        <v>3490</v>
      </c>
      <c r="C3495" s="11">
        <v>707.91317597862906</v>
      </c>
      <c r="D3495" s="42"/>
    </row>
    <row r="3496" spans="2:4" ht="16" thickBot="1" x14ac:dyDescent="0.25">
      <c r="B3496" s="4">
        <v>3491</v>
      </c>
      <c r="C3496" s="10">
        <v>214.00881173860139</v>
      </c>
      <c r="D3496" s="42"/>
    </row>
    <row r="3497" spans="2:4" ht="16" thickBot="1" x14ac:dyDescent="0.25">
      <c r="B3497" s="5">
        <v>3492</v>
      </c>
      <c r="C3497" s="11">
        <v>558.87370158878377</v>
      </c>
      <c r="D3497" s="42"/>
    </row>
    <row r="3498" spans="2:4" ht="16" thickBot="1" x14ac:dyDescent="0.25">
      <c r="B3498" s="4">
        <v>3493</v>
      </c>
      <c r="C3498" s="10">
        <v>373.54702112277141</v>
      </c>
      <c r="D3498" s="42"/>
    </row>
    <row r="3499" spans="2:4" ht="16" thickBot="1" x14ac:dyDescent="0.25">
      <c r="B3499" s="5">
        <v>3494</v>
      </c>
      <c r="C3499" s="11">
        <v>221.37835682808884</v>
      </c>
      <c r="D3499" s="42"/>
    </row>
    <row r="3500" spans="2:4" ht="16" thickBot="1" x14ac:dyDescent="0.25">
      <c r="B3500" s="4">
        <v>3495</v>
      </c>
      <c r="C3500" s="10">
        <v>248.77093694369495</v>
      </c>
      <c r="D3500" s="42"/>
    </row>
    <row r="3501" spans="2:4" ht="16" thickBot="1" x14ac:dyDescent="0.25">
      <c r="B3501" s="5">
        <v>3496</v>
      </c>
      <c r="C3501" s="11">
        <v>465.51473240103036</v>
      </c>
      <c r="D3501" s="42"/>
    </row>
    <row r="3502" spans="2:4" ht="16" thickBot="1" x14ac:dyDescent="0.25">
      <c r="B3502" s="4">
        <v>3497</v>
      </c>
      <c r="C3502" s="10">
        <v>462.89133723840013</v>
      </c>
      <c r="D3502" s="42"/>
    </row>
    <row r="3503" spans="2:4" ht="16" thickBot="1" x14ac:dyDescent="0.25">
      <c r="B3503" s="5">
        <v>3498</v>
      </c>
      <c r="C3503" s="11">
        <v>420.15481309026126</v>
      </c>
      <c r="D3503" s="42"/>
    </row>
    <row r="3504" spans="2:4" ht="16" thickBot="1" x14ac:dyDescent="0.25">
      <c r="B3504" s="4">
        <v>3499</v>
      </c>
      <c r="C3504" s="10">
        <v>170.28600576716187</v>
      </c>
      <c r="D3504" s="42"/>
    </row>
    <row r="3505" spans="2:4" ht="16" thickBot="1" x14ac:dyDescent="0.25">
      <c r="B3505" s="5">
        <v>3500</v>
      </c>
      <c r="C3505" s="11">
        <v>153.97633191405939</v>
      </c>
      <c r="D3505" s="42"/>
    </row>
    <row r="3506" spans="2:4" ht="16" thickBot="1" x14ac:dyDescent="0.25">
      <c r="B3506" s="4">
        <v>3501</v>
      </c>
      <c r="C3506" s="10">
        <v>106.97090618181221</v>
      </c>
      <c r="D3506" s="42"/>
    </row>
    <row r="3507" spans="2:4" ht="16" thickBot="1" x14ac:dyDescent="0.25">
      <c r="B3507" s="5">
        <v>3502</v>
      </c>
      <c r="C3507" s="11">
        <v>174.60943208054223</v>
      </c>
      <c r="D3507" s="42"/>
    </row>
    <row r="3508" spans="2:4" ht="16" thickBot="1" x14ac:dyDescent="0.25">
      <c r="B3508" s="4">
        <v>3503</v>
      </c>
      <c r="C3508" s="10">
        <v>120.22251258662372</v>
      </c>
      <c r="D3508" s="42"/>
    </row>
    <row r="3509" spans="2:4" ht="16" thickBot="1" x14ac:dyDescent="0.25">
      <c r="B3509" s="5">
        <v>3504</v>
      </c>
      <c r="C3509" s="11">
        <v>299.08830851337797</v>
      </c>
      <c r="D3509" s="42"/>
    </row>
    <row r="3510" spans="2:4" ht="16" thickBot="1" x14ac:dyDescent="0.25">
      <c r="B3510" s="4">
        <v>3505</v>
      </c>
      <c r="C3510" s="10">
        <v>107.39448866281923</v>
      </c>
      <c r="D3510" s="42"/>
    </row>
    <row r="3511" spans="2:4" ht="16" thickBot="1" x14ac:dyDescent="0.25">
      <c r="B3511" s="5">
        <v>3506</v>
      </c>
      <c r="C3511" s="11">
        <v>177.28889048598597</v>
      </c>
      <c r="D3511" s="42"/>
    </row>
    <row r="3512" spans="2:4" ht="16" thickBot="1" x14ac:dyDescent="0.25">
      <c r="B3512" s="4">
        <v>3507</v>
      </c>
      <c r="C3512" s="10">
        <v>48.902842485547531</v>
      </c>
      <c r="D3512" s="42"/>
    </row>
    <row r="3513" spans="2:4" ht="16" thickBot="1" x14ac:dyDescent="0.25">
      <c r="B3513" s="5">
        <v>3508</v>
      </c>
      <c r="C3513" s="11">
        <v>180.7826440769432</v>
      </c>
      <c r="D3513" s="42"/>
    </row>
    <row r="3514" spans="2:4" ht="16" thickBot="1" x14ac:dyDescent="0.25">
      <c r="B3514" s="4">
        <v>3509</v>
      </c>
      <c r="C3514" s="10">
        <v>179.8992638726634</v>
      </c>
      <c r="D3514" s="42"/>
    </row>
    <row r="3515" spans="2:4" ht="16" thickBot="1" x14ac:dyDescent="0.25">
      <c r="B3515" s="5">
        <v>3510</v>
      </c>
      <c r="C3515" s="11">
        <v>138.409913635859</v>
      </c>
      <c r="D3515" s="42"/>
    </row>
    <row r="3516" spans="2:4" ht="16" thickBot="1" x14ac:dyDescent="0.25">
      <c r="B3516" s="4">
        <v>3511</v>
      </c>
      <c r="C3516" s="10">
        <v>289.34546106511175</v>
      </c>
      <c r="D3516" s="42"/>
    </row>
    <row r="3517" spans="2:4" ht="16" thickBot="1" x14ac:dyDescent="0.25">
      <c r="B3517" s="5">
        <v>3512</v>
      </c>
      <c r="C3517" s="11">
        <v>199.00266215968375</v>
      </c>
      <c r="D3517" s="42"/>
    </row>
    <row r="3518" spans="2:4" ht="16" thickBot="1" x14ac:dyDescent="0.25">
      <c r="B3518" s="4">
        <v>3513</v>
      </c>
      <c r="C3518" s="10">
        <v>325.48456938230447</v>
      </c>
      <c r="D3518" s="42"/>
    </row>
    <row r="3519" spans="2:4" ht="16" thickBot="1" x14ac:dyDescent="0.25">
      <c r="B3519" s="5">
        <v>3514</v>
      </c>
      <c r="C3519" s="11">
        <v>272.21378743743202</v>
      </c>
      <c r="D3519" s="42"/>
    </row>
    <row r="3520" spans="2:4" ht="16" thickBot="1" x14ac:dyDescent="0.25">
      <c r="B3520" s="4">
        <v>3515</v>
      </c>
      <c r="C3520" s="10">
        <v>999.90954633551087</v>
      </c>
      <c r="D3520" s="42"/>
    </row>
    <row r="3521" spans="2:4" ht="16" thickBot="1" x14ac:dyDescent="0.25">
      <c r="B3521" s="5">
        <v>3516</v>
      </c>
      <c r="C3521" s="11">
        <v>513.66661803930901</v>
      </c>
      <c r="D3521" s="42"/>
    </row>
    <row r="3522" spans="2:4" ht="16" thickBot="1" x14ac:dyDescent="0.25">
      <c r="B3522" s="4">
        <v>3517</v>
      </c>
      <c r="C3522" s="10">
        <v>147.42343759666045</v>
      </c>
      <c r="D3522" s="42"/>
    </row>
    <row r="3523" spans="2:4" ht="16" thickBot="1" x14ac:dyDescent="0.25">
      <c r="B3523" s="5">
        <v>3518</v>
      </c>
      <c r="C3523" s="11">
        <v>105.89210407767698</v>
      </c>
      <c r="D3523" s="42"/>
    </row>
    <row r="3524" spans="2:4" ht="16" thickBot="1" x14ac:dyDescent="0.25">
      <c r="B3524" s="4">
        <v>3519</v>
      </c>
      <c r="C3524" s="10">
        <v>332.40653760971713</v>
      </c>
      <c r="D3524" s="42"/>
    </row>
    <row r="3525" spans="2:4" ht="16" thickBot="1" x14ac:dyDescent="0.25">
      <c r="B3525" s="5">
        <v>3520</v>
      </c>
      <c r="C3525" s="11">
        <v>153.61544275997858</v>
      </c>
      <c r="D3525" s="42"/>
    </row>
    <row r="3526" spans="2:4" ht="16" thickBot="1" x14ac:dyDescent="0.25">
      <c r="B3526" s="4">
        <v>3521</v>
      </c>
      <c r="C3526" s="10">
        <v>140.54682915125946</v>
      </c>
      <c r="D3526" s="42"/>
    </row>
    <row r="3527" spans="2:4" ht="16" thickBot="1" x14ac:dyDescent="0.25">
      <c r="B3527" s="5">
        <v>3522</v>
      </c>
      <c r="C3527" s="11">
        <v>159.20742133553023</v>
      </c>
      <c r="D3527" s="42"/>
    </row>
    <row r="3528" spans="2:4" ht="16" thickBot="1" x14ac:dyDescent="0.25">
      <c r="B3528" s="4">
        <v>3523</v>
      </c>
      <c r="C3528" s="10">
        <v>316.99715294536753</v>
      </c>
      <c r="D3528" s="42"/>
    </row>
    <row r="3529" spans="2:4" ht="16" thickBot="1" x14ac:dyDescent="0.25">
      <c r="B3529" s="5">
        <v>3524</v>
      </c>
      <c r="C3529" s="11">
        <v>244.67098182006447</v>
      </c>
      <c r="D3529" s="42"/>
    </row>
    <row r="3530" spans="2:4" ht="16" thickBot="1" x14ac:dyDescent="0.25">
      <c r="B3530" s="4">
        <v>3525</v>
      </c>
      <c r="C3530" s="10">
        <v>94.722536988783375</v>
      </c>
      <c r="D3530" s="42"/>
    </row>
    <row r="3531" spans="2:4" ht="16" thickBot="1" x14ac:dyDescent="0.25">
      <c r="B3531" s="5">
        <v>3526</v>
      </c>
      <c r="C3531" s="11">
        <v>361.60448497608854</v>
      </c>
      <c r="D3531" s="42"/>
    </row>
    <row r="3532" spans="2:4" ht="16" thickBot="1" x14ac:dyDescent="0.25">
      <c r="B3532" s="4">
        <v>3527</v>
      </c>
      <c r="C3532" s="10">
        <v>215.59427450938639</v>
      </c>
      <c r="D3532" s="42"/>
    </row>
    <row r="3533" spans="2:4" ht="16" thickBot="1" x14ac:dyDescent="0.25">
      <c r="B3533" s="5">
        <v>3528</v>
      </c>
      <c r="C3533" s="11">
        <v>263.64013716080751</v>
      </c>
      <c r="D3533" s="42"/>
    </row>
    <row r="3534" spans="2:4" ht="16" thickBot="1" x14ac:dyDescent="0.25">
      <c r="B3534" s="4">
        <v>3529</v>
      </c>
      <c r="C3534" s="10">
        <v>233.56320964988902</v>
      </c>
      <c r="D3534" s="42"/>
    </row>
    <row r="3535" spans="2:4" ht="16" thickBot="1" x14ac:dyDescent="0.25">
      <c r="B3535" s="5">
        <v>3530</v>
      </c>
      <c r="C3535" s="11">
        <v>290.45986109978628</v>
      </c>
      <c r="D3535" s="42"/>
    </row>
    <row r="3536" spans="2:4" ht="16" thickBot="1" x14ac:dyDescent="0.25">
      <c r="B3536" s="4">
        <v>3531</v>
      </c>
      <c r="C3536" s="10">
        <v>532.62006716259225</v>
      </c>
      <c r="D3536" s="42"/>
    </row>
    <row r="3537" spans="2:4" ht="16" thickBot="1" x14ac:dyDescent="0.25">
      <c r="B3537" s="5">
        <v>3532</v>
      </c>
      <c r="C3537" s="11">
        <v>193.25906326237546</v>
      </c>
      <c r="D3537" s="42"/>
    </row>
    <row r="3538" spans="2:4" ht="16" thickBot="1" x14ac:dyDescent="0.25">
      <c r="B3538" s="4">
        <v>3533</v>
      </c>
      <c r="C3538" s="10">
        <v>559.98281876354258</v>
      </c>
      <c r="D3538" s="42"/>
    </row>
    <row r="3539" spans="2:4" ht="16" thickBot="1" x14ac:dyDescent="0.25">
      <c r="B3539" s="5">
        <v>3534</v>
      </c>
      <c r="C3539" s="11">
        <v>100.82472018168595</v>
      </c>
      <c r="D3539" s="42"/>
    </row>
    <row r="3540" spans="2:4" ht="16" thickBot="1" x14ac:dyDescent="0.25">
      <c r="B3540" s="4">
        <v>3535</v>
      </c>
      <c r="C3540" s="10">
        <v>370.29636384121324</v>
      </c>
      <c r="D3540" s="42"/>
    </row>
    <row r="3541" spans="2:4" ht="16" thickBot="1" x14ac:dyDescent="0.25">
      <c r="B3541" s="5">
        <v>3536</v>
      </c>
      <c r="C3541" s="11">
        <v>463.46562598919246</v>
      </c>
      <c r="D3541" s="42"/>
    </row>
    <row r="3542" spans="2:4" ht="16" thickBot="1" x14ac:dyDescent="0.25">
      <c r="B3542" s="4">
        <v>3537</v>
      </c>
      <c r="C3542" s="10">
        <v>144.61335630687023</v>
      </c>
      <c r="D3542" s="42"/>
    </row>
    <row r="3543" spans="2:4" ht="16" thickBot="1" x14ac:dyDescent="0.25">
      <c r="B3543" s="5">
        <v>3538</v>
      </c>
      <c r="C3543" s="11">
        <v>273.84209443851512</v>
      </c>
      <c r="D3543" s="42"/>
    </row>
    <row r="3544" spans="2:4" ht="16" thickBot="1" x14ac:dyDescent="0.25">
      <c r="B3544" s="4">
        <v>3539</v>
      </c>
      <c r="C3544" s="10">
        <v>196.60323953558446</v>
      </c>
      <c r="D3544" s="42"/>
    </row>
    <row r="3545" spans="2:4" ht="16" thickBot="1" x14ac:dyDescent="0.25">
      <c r="B3545" s="5">
        <v>3540</v>
      </c>
      <c r="C3545" s="11">
        <v>295.43042685672151</v>
      </c>
      <c r="D3545" s="42"/>
    </row>
    <row r="3546" spans="2:4" ht="16" thickBot="1" x14ac:dyDescent="0.25">
      <c r="B3546" s="4">
        <v>3541</v>
      </c>
      <c r="C3546" s="10">
        <v>276.8021682766323</v>
      </c>
      <c r="D3546" s="42"/>
    </row>
    <row r="3547" spans="2:4" ht="16" thickBot="1" x14ac:dyDescent="0.25">
      <c r="B3547" s="5">
        <v>3542</v>
      </c>
      <c r="C3547" s="11">
        <v>94.069215550912631</v>
      </c>
      <c r="D3547" s="42"/>
    </row>
    <row r="3548" spans="2:4" ht="16" thickBot="1" x14ac:dyDescent="0.25">
      <c r="B3548" s="4">
        <v>3543</v>
      </c>
      <c r="C3548" s="10">
        <v>126.95942316441555</v>
      </c>
      <c r="D3548" s="42"/>
    </row>
    <row r="3549" spans="2:4" ht="16" thickBot="1" x14ac:dyDescent="0.25">
      <c r="B3549" s="5">
        <v>3544</v>
      </c>
      <c r="C3549" s="11">
        <v>142.02532804331344</v>
      </c>
      <c r="D3549" s="42"/>
    </row>
    <row r="3550" spans="2:4" ht="16" thickBot="1" x14ac:dyDescent="0.25">
      <c r="B3550" s="4">
        <v>3545</v>
      </c>
      <c r="C3550" s="10">
        <v>306.12537989729088</v>
      </c>
      <c r="D3550" s="42"/>
    </row>
    <row r="3551" spans="2:4" ht="16" thickBot="1" x14ac:dyDescent="0.25">
      <c r="B3551" s="5">
        <v>3546</v>
      </c>
      <c r="C3551" s="11">
        <v>174.45543432101672</v>
      </c>
      <c r="D3551" s="42"/>
    </row>
    <row r="3552" spans="2:4" ht="16" thickBot="1" x14ac:dyDescent="0.25">
      <c r="B3552" s="4">
        <v>3547</v>
      </c>
      <c r="C3552" s="10">
        <v>138.3259803288679</v>
      </c>
      <c r="D3552" s="42"/>
    </row>
    <row r="3553" spans="2:4" ht="16" thickBot="1" x14ac:dyDescent="0.25">
      <c r="B3553" s="5">
        <v>3548</v>
      </c>
      <c r="C3553" s="11">
        <v>157.99442660194046</v>
      </c>
      <c r="D3553" s="42"/>
    </row>
    <row r="3554" spans="2:4" ht="16" thickBot="1" x14ac:dyDescent="0.25">
      <c r="B3554" s="4">
        <v>3549</v>
      </c>
      <c r="C3554" s="10">
        <v>253.96701173893777</v>
      </c>
      <c r="D3554" s="42"/>
    </row>
    <row r="3555" spans="2:4" ht="16" thickBot="1" x14ac:dyDescent="0.25">
      <c r="B3555" s="5">
        <v>3550</v>
      </c>
      <c r="C3555" s="11">
        <v>96.915670600267021</v>
      </c>
      <c r="D3555" s="42"/>
    </row>
    <row r="3556" spans="2:4" ht="16" thickBot="1" x14ac:dyDescent="0.25">
      <c r="B3556" s="4">
        <v>3551</v>
      </c>
      <c r="C3556" s="10">
        <v>193.70490558808928</v>
      </c>
      <c r="D3556" s="42"/>
    </row>
    <row r="3557" spans="2:4" ht="16" thickBot="1" x14ac:dyDescent="0.25">
      <c r="B3557" s="5">
        <v>3552</v>
      </c>
      <c r="C3557" s="11">
        <v>101.58482359248804</v>
      </c>
      <c r="D3557" s="42"/>
    </row>
    <row r="3558" spans="2:4" ht="16" thickBot="1" x14ac:dyDescent="0.25">
      <c r="B3558" s="4">
        <v>3553</v>
      </c>
      <c r="C3558" s="10">
        <v>117.15839921675311</v>
      </c>
      <c r="D3558" s="42"/>
    </row>
    <row r="3559" spans="2:4" ht="16" thickBot="1" x14ac:dyDescent="0.25">
      <c r="B3559" s="5">
        <v>3554</v>
      </c>
      <c r="C3559" s="11">
        <v>271.3488138031741</v>
      </c>
      <c r="D3559" s="42"/>
    </row>
    <row r="3560" spans="2:4" ht="16" thickBot="1" x14ac:dyDescent="0.25">
      <c r="B3560" s="4">
        <v>3555</v>
      </c>
      <c r="C3560" s="10">
        <v>176.60864853999192</v>
      </c>
      <c r="D3560" s="42"/>
    </row>
    <row r="3561" spans="2:4" ht="16" thickBot="1" x14ac:dyDescent="0.25">
      <c r="B3561" s="5">
        <v>3556</v>
      </c>
      <c r="C3561" s="11">
        <v>416.87554645565393</v>
      </c>
      <c r="D3561" s="42"/>
    </row>
    <row r="3562" spans="2:4" ht="16" thickBot="1" x14ac:dyDescent="0.25">
      <c r="B3562" s="4">
        <v>3557</v>
      </c>
      <c r="C3562" s="10">
        <v>180.61027673563038</v>
      </c>
      <c r="D3562" s="42"/>
    </row>
    <row r="3563" spans="2:4" ht="16" thickBot="1" x14ac:dyDescent="0.25">
      <c r="B3563" s="5">
        <v>3558</v>
      </c>
      <c r="C3563" s="11">
        <v>601.59126633609719</v>
      </c>
      <c r="D3563" s="42"/>
    </row>
    <row r="3564" spans="2:4" ht="16" thickBot="1" x14ac:dyDescent="0.25">
      <c r="B3564" s="4">
        <v>3559</v>
      </c>
      <c r="C3564" s="10">
        <v>224.94955285519075</v>
      </c>
      <c r="D3564" s="42"/>
    </row>
    <row r="3565" spans="2:4" ht="16" thickBot="1" x14ac:dyDescent="0.25">
      <c r="B3565" s="5">
        <v>3560</v>
      </c>
      <c r="C3565" s="11">
        <v>358.48768914084042</v>
      </c>
      <c r="D3565" s="42"/>
    </row>
    <row r="3566" spans="2:4" ht="16" thickBot="1" x14ac:dyDescent="0.25">
      <c r="B3566" s="4">
        <v>3561</v>
      </c>
      <c r="C3566" s="10">
        <v>203.15625738624234</v>
      </c>
      <c r="D3566" s="42"/>
    </row>
    <row r="3567" spans="2:4" ht="16" thickBot="1" x14ac:dyDescent="0.25">
      <c r="B3567" s="5">
        <v>3562</v>
      </c>
      <c r="C3567" s="11">
        <v>109.66697340734832</v>
      </c>
      <c r="D3567" s="42"/>
    </row>
    <row r="3568" spans="2:4" ht="16" thickBot="1" x14ac:dyDescent="0.25">
      <c r="B3568" s="4">
        <v>3563</v>
      </c>
      <c r="C3568" s="10">
        <v>176.18507555618655</v>
      </c>
      <c r="D3568" s="42"/>
    </row>
    <row r="3569" spans="2:4" ht="16" thickBot="1" x14ac:dyDescent="0.25">
      <c r="B3569" s="5">
        <v>3564</v>
      </c>
      <c r="C3569" s="11">
        <v>96.57367985505141</v>
      </c>
      <c r="D3569" s="42"/>
    </row>
    <row r="3570" spans="2:4" ht="16" thickBot="1" x14ac:dyDescent="0.25">
      <c r="B3570" s="4">
        <v>3565</v>
      </c>
      <c r="C3570" s="10">
        <v>300.61149285003319</v>
      </c>
      <c r="D3570" s="42"/>
    </row>
    <row r="3571" spans="2:4" ht="16" thickBot="1" x14ac:dyDescent="0.25">
      <c r="B3571" s="5">
        <v>3566</v>
      </c>
      <c r="C3571" s="11">
        <v>620.81188234151989</v>
      </c>
      <c r="D3571" s="42"/>
    </row>
    <row r="3572" spans="2:4" ht="16" thickBot="1" x14ac:dyDescent="0.25">
      <c r="B3572" s="4">
        <v>3567</v>
      </c>
      <c r="C3572" s="10">
        <v>382.96512080132015</v>
      </c>
      <c r="D3572" s="42"/>
    </row>
    <row r="3573" spans="2:4" ht="16" thickBot="1" x14ac:dyDescent="0.25">
      <c r="B3573" s="5">
        <v>3568</v>
      </c>
      <c r="C3573" s="11">
        <v>184.13405394654447</v>
      </c>
      <c r="D3573" s="42"/>
    </row>
    <row r="3574" spans="2:4" ht="16" thickBot="1" x14ac:dyDescent="0.25">
      <c r="B3574" s="4">
        <v>3569</v>
      </c>
      <c r="C3574" s="10">
        <v>397.42222568460426</v>
      </c>
      <c r="D3574" s="42"/>
    </row>
    <row r="3575" spans="2:4" ht="16" thickBot="1" x14ac:dyDescent="0.25">
      <c r="B3575" s="5">
        <v>3570</v>
      </c>
      <c r="C3575" s="11">
        <v>274.77266525587709</v>
      </c>
      <c r="D3575" s="42"/>
    </row>
    <row r="3576" spans="2:4" ht="16" thickBot="1" x14ac:dyDescent="0.25">
      <c r="B3576" s="4">
        <v>3571</v>
      </c>
      <c r="C3576" s="10">
        <v>66.363057501451507</v>
      </c>
      <c r="D3576" s="42"/>
    </row>
    <row r="3577" spans="2:4" ht="16" thickBot="1" x14ac:dyDescent="0.25">
      <c r="B3577" s="5">
        <v>3572</v>
      </c>
      <c r="C3577" s="11">
        <v>199.15494883548871</v>
      </c>
      <c r="D3577" s="42"/>
    </row>
    <row r="3578" spans="2:4" ht="16" thickBot="1" x14ac:dyDescent="0.25">
      <c r="B3578" s="4">
        <v>3573</v>
      </c>
      <c r="C3578" s="10">
        <v>370.5745222999376</v>
      </c>
      <c r="D3578" s="42"/>
    </row>
    <row r="3579" spans="2:4" ht="16" thickBot="1" x14ac:dyDescent="0.25">
      <c r="B3579" s="5">
        <v>3574</v>
      </c>
      <c r="C3579" s="11">
        <v>710.99254223505955</v>
      </c>
      <c r="D3579" s="42"/>
    </row>
    <row r="3580" spans="2:4" ht="16" thickBot="1" x14ac:dyDescent="0.25">
      <c r="B3580" s="4">
        <v>3575</v>
      </c>
      <c r="C3580" s="10">
        <v>298.11537105505187</v>
      </c>
      <c r="D3580" s="42"/>
    </row>
    <row r="3581" spans="2:4" ht="16" thickBot="1" x14ac:dyDescent="0.25">
      <c r="B3581" s="5">
        <v>3576</v>
      </c>
      <c r="C3581" s="11">
        <v>131.23545735688342</v>
      </c>
      <c r="D3581" s="42"/>
    </row>
    <row r="3582" spans="2:4" ht="16" thickBot="1" x14ac:dyDescent="0.25">
      <c r="B3582" s="4">
        <v>3577</v>
      </c>
      <c r="C3582" s="10">
        <v>105.28784009224024</v>
      </c>
      <c r="D3582" s="42"/>
    </row>
    <row r="3583" spans="2:4" ht="16" thickBot="1" x14ac:dyDescent="0.25">
      <c r="B3583" s="5">
        <v>3578</v>
      </c>
      <c r="C3583" s="11">
        <v>159.28246032931548</v>
      </c>
      <c r="D3583" s="42"/>
    </row>
    <row r="3584" spans="2:4" ht="16" thickBot="1" x14ac:dyDescent="0.25">
      <c r="B3584" s="4">
        <v>3579</v>
      </c>
      <c r="C3584" s="10">
        <v>493.86950922557895</v>
      </c>
      <c r="D3584" s="42"/>
    </row>
    <row r="3585" spans="2:4" ht="16" thickBot="1" x14ac:dyDescent="0.25">
      <c r="B3585" s="5">
        <v>3580</v>
      </c>
      <c r="C3585" s="11">
        <v>385.09103014949477</v>
      </c>
      <c r="D3585" s="42"/>
    </row>
    <row r="3586" spans="2:4" ht="16" thickBot="1" x14ac:dyDescent="0.25">
      <c r="B3586" s="4">
        <v>3581</v>
      </c>
      <c r="C3586" s="10">
        <v>301.81237682207853</v>
      </c>
      <c r="D3586" s="42"/>
    </row>
    <row r="3587" spans="2:4" ht="16" thickBot="1" x14ac:dyDescent="0.25">
      <c r="B3587" s="5">
        <v>3582</v>
      </c>
      <c r="C3587" s="11">
        <v>128.58614952929318</v>
      </c>
      <c r="D3587" s="42"/>
    </row>
    <row r="3588" spans="2:4" ht="16" thickBot="1" x14ac:dyDescent="0.25">
      <c r="B3588" s="4">
        <v>3583</v>
      </c>
      <c r="C3588" s="10">
        <v>68.884448457260987</v>
      </c>
      <c r="D3588" s="42"/>
    </row>
    <row r="3589" spans="2:4" ht="16" thickBot="1" x14ac:dyDescent="0.25">
      <c r="B3589" s="5">
        <v>3584</v>
      </c>
      <c r="C3589" s="11">
        <v>194.98286573647692</v>
      </c>
      <c r="D3589" s="42"/>
    </row>
    <row r="3590" spans="2:4" ht="16" thickBot="1" x14ac:dyDescent="0.25">
      <c r="B3590" s="4">
        <v>3585</v>
      </c>
      <c r="C3590" s="10">
        <v>297.24449998063938</v>
      </c>
      <c r="D3590" s="42"/>
    </row>
    <row r="3591" spans="2:4" ht="16" thickBot="1" x14ac:dyDescent="0.25">
      <c r="B3591" s="5">
        <v>3586</v>
      </c>
      <c r="C3591" s="11">
        <v>182.0213151702992</v>
      </c>
      <c r="D3591" s="42"/>
    </row>
    <row r="3592" spans="2:4" ht="16" thickBot="1" x14ac:dyDescent="0.25">
      <c r="B3592" s="4">
        <v>3587</v>
      </c>
      <c r="C3592" s="10">
        <v>419.20463055766879</v>
      </c>
      <c r="D3592" s="42"/>
    </row>
    <row r="3593" spans="2:4" ht="16" thickBot="1" x14ac:dyDescent="0.25">
      <c r="B3593" s="5">
        <v>3588</v>
      </c>
      <c r="C3593" s="11">
        <v>192.80206724169838</v>
      </c>
      <c r="D3593" s="42"/>
    </row>
    <row r="3594" spans="2:4" ht="16" thickBot="1" x14ac:dyDescent="0.25">
      <c r="B3594" s="4">
        <v>3589</v>
      </c>
      <c r="C3594" s="10">
        <v>219.94295050162941</v>
      </c>
      <c r="D3594" s="42"/>
    </row>
    <row r="3595" spans="2:4" ht="16" thickBot="1" x14ac:dyDescent="0.25">
      <c r="B3595" s="5">
        <v>3590</v>
      </c>
      <c r="C3595" s="11">
        <v>269.03994063377689</v>
      </c>
      <c r="D3595" s="42"/>
    </row>
    <row r="3596" spans="2:4" ht="16" thickBot="1" x14ac:dyDescent="0.25">
      <c r="B3596" s="4">
        <v>3591</v>
      </c>
      <c r="C3596" s="10">
        <v>408.93951846406077</v>
      </c>
      <c r="D3596" s="42"/>
    </row>
    <row r="3597" spans="2:4" ht="16" thickBot="1" x14ac:dyDescent="0.25">
      <c r="B3597" s="5">
        <v>3592</v>
      </c>
      <c r="C3597" s="11">
        <v>204.17656156146867</v>
      </c>
      <c r="D3597" s="42"/>
    </row>
    <row r="3598" spans="2:4" ht="16" thickBot="1" x14ac:dyDescent="0.25">
      <c r="B3598" s="4">
        <v>3593</v>
      </c>
      <c r="C3598" s="10">
        <v>287.97819037357266</v>
      </c>
      <c r="D3598" s="42"/>
    </row>
    <row r="3599" spans="2:4" ht="16" thickBot="1" x14ac:dyDescent="0.25">
      <c r="B3599" s="5">
        <v>3594</v>
      </c>
      <c r="C3599" s="11">
        <v>189.34962679089412</v>
      </c>
      <c r="D3599" s="42"/>
    </row>
    <row r="3600" spans="2:4" ht="16" thickBot="1" x14ac:dyDescent="0.25">
      <c r="B3600" s="4">
        <v>3595</v>
      </c>
      <c r="C3600" s="10">
        <v>1072.5751199900267</v>
      </c>
      <c r="D3600" s="42"/>
    </row>
    <row r="3601" spans="2:4" ht="16" thickBot="1" x14ac:dyDescent="0.25">
      <c r="B3601" s="5">
        <v>3596</v>
      </c>
      <c r="C3601" s="11">
        <v>398.04860045492092</v>
      </c>
      <c r="D3601" s="42"/>
    </row>
    <row r="3602" spans="2:4" ht="16" thickBot="1" x14ac:dyDescent="0.25">
      <c r="B3602" s="4">
        <v>3597</v>
      </c>
      <c r="C3602" s="10">
        <v>57.837331900135723</v>
      </c>
      <c r="D3602" s="42"/>
    </row>
    <row r="3603" spans="2:4" ht="16" thickBot="1" x14ac:dyDescent="0.25">
      <c r="B3603" s="5">
        <v>3598</v>
      </c>
      <c r="C3603" s="11">
        <v>128.59892270227508</v>
      </c>
      <c r="D3603" s="42"/>
    </row>
    <row r="3604" spans="2:4" ht="16" thickBot="1" x14ac:dyDescent="0.25">
      <c r="B3604" s="4">
        <v>3599</v>
      </c>
      <c r="C3604" s="10">
        <v>177.13526135963875</v>
      </c>
      <c r="D3604" s="42"/>
    </row>
    <row r="3605" spans="2:4" ht="16" thickBot="1" x14ac:dyDescent="0.25">
      <c r="B3605" s="5">
        <v>3600</v>
      </c>
      <c r="C3605" s="11">
        <v>477.92922909178009</v>
      </c>
      <c r="D3605" s="42"/>
    </row>
    <row r="3606" spans="2:4" ht="16" thickBot="1" x14ac:dyDescent="0.25">
      <c r="B3606" s="4">
        <v>3601</v>
      </c>
      <c r="C3606" s="10">
        <v>306.11210159991015</v>
      </c>
      <c r="D3606" s="42"/>
    </row>
    <row r="3607" spans="2:4" ht="16" thickBot="1" x14ac:dyDescent="0.25">
      <c r="B3607" s="5">
        <v>3602</v>
      </c>
      <c r="C3607" s="11">
        <v>305.56471068746242</v>
      </c>
      <c r="D3607" s="42"/>
    </row>
    <row r="3608" spans="2:4" ht="16" thickBot="1" x14ac:dyDescent="0.25">
      <c r="B3608" s="4">
        <v>3603</v>
      </c>
      <c r="C3608" s="10">
        <v>301.56798286580261</v>
      </c>
      <c r="D3608" s="42"/>
    </row>
    <row r="3609" spans="2:4" ht="16" thickBot="1" x14ac:dyDescent="0.25">
      <c r="B3609" s="5">
        <v>3604</v>
      </c>
      <c r="C3609" s="11">
        <v>167.75633862521994</v>
      </c>
      <c r="D3609" s="42"/>
    </row>
    <row r="3610" spans="2:4" ht="16" thickBot="1" x14ac:dyDescent="0.25">
      <c r="B3610" s="4">
        <v>3605</v>
      </c>
      <c r="C3610" s="10">
        <v>128.0490848719694</v>
      </c>
      <c r="D3610" s="42"/>
    </row>
    <row r="3611" spans="2:4" ht="16" thickBot="1" x14ac:dyDescent="0.25">
      <c r="B3611" s="5">
        <v>3606</v>
      </c>
      <c r="C3611" s="11">
        <v>343.98539699676161</v>
      </c>
      <c r="D3611" s="42"/>
    </row>
    <row r="3612" spans="2:4" ht="16" thickBot="1" x14ac:dyDescent="0.25">
      <c r="B3612" s="4">
        <v>3607</v>
      </c>
      <c r="C3612" s="10">
        <v>292.9388694933192</v>
      </c>
      <c r="D3612" s="42"/>
    </row>
    <row r="3613" spans="2:4" ht="16" thickBot="1" x14ac:dyDescent="0.25">
      <c r="B3613" s="5">
        <v>3608</v>
      </c>
      <c r="C3613" s="11">
        <v>226.12242363624819</v>
      </c>
      <c r="D3613" s="42"/>
    </row>
    <row r="3614" spans="2:4" ht="16" thickBot="1" x14ac:dyDescent="0.25">
      <c r="B3614" s="4">
        <v>3609</v>
      </c>
      <c r="C3614" s="10">
        <v>379.41185363350195</v>
      </c>
      <c r="D3614" s="42"/>
    </row>
    <row r="3615" spans="2:4" ht="16" thickBot="1" x14ac:dyDescent="0.25">
      <c r="B3615" s="5">
        <v>3610</v>
      </c>
      <c r="C3615" s="11">
        <v>350.09170837255147</v>
      </c>
      <c r="D3615" s="42"/>
    </row>
    <row r="3616" spans="2:4" ht="16" thickBot="1" x14ac:dyDescent="0.25">
      <c r="B3616" s="4">
        <v>3611</v>
      </c>
      <c r="C3616" s="10">
        <v>501.51235938424196</v>
      </c>
      <c r="D3616" s="42"/>
    </row>
    <row r="3617" spans="2:4" ht="16" thickBot="1" x14ac:dyDescent="0.25">
      <c r="B3617" s="5">
        <v>3612</v>
      </c>
      <c r="C3617" s="11">
        <v>141.01712105024154</v>
      </c>
      <c r="D3617" s="42"/>
    </row>
    <row r="3618" spans="2:4" ht="16" thickBot="1" x14ac:dyDescent="0.25">
      <c r="B3618" s="4">
        <v>3613</v>
      </c>
      <c r="C3618" s="10">
        <v>64.885436327428991</v>
      </c>
      <c r="D3618" s="42"/>
    </row>
    <row r="3619" spans="2:4" ht="16" thickBot="1" x14ac:dyDescent="0.25">
      <c r="B3619" s="5">
        <v>3614</v>
      </c>
      <c r="C3619" s="11">
        <v>285.89770583384143</v>
      </c>
      <c r="D3619" s="42"/>
    </row>
    <row r="3620" spans="2:4" ht="16" thickBot="1" x14ac:dyDescent="0.25">
      <c r="B3620" s="4">
        <v>3615</v>
      </c>
      <c r="C3620" s="10">
        <v>452.78049504667507</v>
      </c>
      <c r="D3620" s="42"/>
    </row>
    <row r="3621" spans="2:4" ht="16" thickBot="1" x14ac:dyDescent="0.25">
      <c r="B3621" s="5">
        <v>3616</v>
      </c>
      <c r="C3621" s="11">
        <v>88.5040760998575</v>
      </c>
      <c r="D3621" s="42"/>
    </row>
    <row r="3622" spans="2:4" ht="16" thickBot="1" x14ac:dyDescent="0.25">
      <c r="B3622" s="4">
        <v>3617</v>
      </c>
      <c r="C3622" s="10">
        <v>460.29581990060365</v>
      </c>
      <c r="D3622" s="42"/>
    </row>
    <row r="3623" spans="2:4" ht="16" thickBot="1" x14ac:dyDescent="0.25">
      <c r="B3623" s="5">
        <v>3618</v>
      </c>
      <c r="C3623" s="11">
        <v>410.74752317367086</v>
      </c>
      <c r="D3623" s="42"/>
    </row>
    <row r="3624" spans="2:4" ht="16" thickBot="1" x14ac:dyDescent="0.25">
      <c r="B3624" s="4">
        <v>3619</v>
      </c>
      <c r="C3624" s="10">
        <v>383.51716876580514</v>
      </c>
      <c r="D3624" s="42"/>
    </row>
    <row r="3625" spans="2:4" ht="16" thickBot="1" x14ac:dyDescent="0.25">
      <c r="B3625" s="5">
        <v>3620</v>
      </c>
      <c r="C3625" s="11">
        <v>581.5227568095147</v>
      </c>
      <c r="D3625" s="42"/>
    </row>
    <row r="3626" spans="2:4" ht="16" thickBot="1" x14ac:dyDescent="0.25">
      <c r="B3626" s="4">
        <v>3621</v>
      </c>
      <c r="C3626" s="10">
        <v>166.18324042134242</v>
      </c>
      <c r="D3626" s="42"/>
    </row>
    <row r="3627" spans="2:4" ht="16" thickBot="1" x14ac:dyDescent="0.25">
      <c r="B3627" s="5">
        <v>3622</v>
      </c>
      <c r="C3627" s="11">
        <v>191.9213812348878</v>
      </c>
      <c r="D3627" s="42"/>
    </row>
    <row r="3628" spans="2:4" ht="16" thickBot="1" x14ac:dyDescent="0.25">
      <c r="B3628" s="4">
        <v>3623</v>
      </c>
      <c r="C3628" s="10">
        <v>370.53095772401167</v>
      </c>
      <c r="D3628" s="42"/>
    </row>
    <row r="3629" spans="2:4" ht="16" thickBot="1" x14ac:dyDescent="0.25">
      <c r="B3629" s="5">
        <v>3624</v>
      </c>
      <c r="C3629" s="11">
        <v>346.66628865576052</v>
      </c>
      <c r="D3629" s="42"/>
    </row>
    <row r="3630" spans="2:4" ht="16" thickBot="1" x14ac:dyDescent="0.25">
      <c r="B3630" s="4">
        <v>3625</v>
      </c>
      <c r="C3630" s="10">
        <v>229.97229946687946</v>
      </c>
      <c r="D3630" s="42"/>
    </row>
    <row r="3631" spans="2:4" ht="16" thickBot="1" x14ac:dyDescent="0.25">
      <c r="B3631" s="5">
        <v>3626</v>
      </c>
      <c r="C3631" s="11">
        <v>168.41292062276395</v>
      </c>
      <c r="D3631" s="42"/>
    </row>
    <row r="3632" spans="2:4" ht="16" thickBot="1" x14ac:dyDescent="0.25">
      <c r="B3632" s="4">
        <v>3627</v>
      </c>
      <c r="C3632" s="10">
        <v>307.38025223847609</v>
      </c>
      <c r="D3632" s="42"/>
    </row>
    <row r="3633" spans="2:4" ht="16" thickBot="1" x14ac:dyDescent="0.25">
      <c r="B3633" s="5">
        <v>3628</v>
      </c>
      <c r="C3633" s="11">
        <v>188.46348364167332</v>
      </c>
      <c r="D3633" s="42"/>
    </row>
    <row r="3634" spans="2:4" ht="16" thickBot="1" x14ac:dyDescent="0.25">
      <c r="B3634" s="4">
        <v>3629</v>
      </c>
      <c r="C3634" s="10">
        <v>433.54416494611951</v>
      </c>
      <c r="D3634" s="42"/>
    </row>
    <row r="3635" spans="2:4" ht="16" thickBot="1" x14ac:dyDescent="0.25">
      <c r="B3635" s="5">
        <v>3630</v>
      </c>
      <c r="C3635" s="11">
        <v>159.71875104463527</v>
      </c>
      <c r="D3635" s="42"/>
    </row>
    <row r="3636" spans="2:4" ht="16" thickBot="1" x14ac:dyDescent="0.25">
      <c r="B3636" s="4">
        <v>3631</v>
      </c>
      <c r="C3636" s="10">
        <v>273.69068727502679</v>
      </c>
      <c r="D3636" s="42"/>
    </row>
    <row r="3637" spans="2:4" ht="16" thickBot="1" x14ac:dyDescent="0.25">
      <c r="B3637" s="5">
        <v>3632</v>
      </c>
      <c r="C3637" s="11">
        <v>21.669112745427814</v>
      </c>
      <c r="D3637" s="42"/>
    </row>
    <row r="3638" spans="2:4" ht="16" thickBot="1" x14ac:dyDescent="0.25">
      <c r="B3638" s="4">
        <v>3633</v>
      </c>
      <c r="C3638" s="10">
        <v>349.12671329086442</v>
      </c>
      <c r="D3638" s="42"/>
    </row>
    <row r="3639" spans="2:4" ht="16" thickBot="1" x14ac:dyDescent="0.25">
      <c r="B3639" s="5">
        <v>3634</v>
      </c>
      <c r="C3639" s="11">
        <v>66.848999237897488</v>
      </c>
      <c r="D3639" s="42"/>
    </row>
    <row r="3640" spans="2:4" ht="16" thickBot="1" x14ac:dyDescent="0.25">
      <c r="B3640" s="4">
        <v>3635</v>
      </c>
      <c r="C3640" s="10">
        <v>153.31642495612306</v>
      </c>
      <c r="D3640" s="42"/>
    </row>
    <row r="3641" spans="2:4" ht="16" thickBot="1" x14ac:dyDescent="0.25">
      <c r="B3641" s="5">
        <v>3636</v>
      </c>
      <c r="C3641" s="11">
        <v>456.91572064544459</v>
      </c>
      <c r="D3641" s="42"/>
    </row>
    <row r="3642" spans="2:4" ht="16" thickBot="1" x14ac:dyDescent="0.25">
      <c r="B3642" s="4">
        <v>3637</v>
      </c>
      <c r="C3642" s="10">
        <v>398.83832577975323</v>
      </c>
      <c r="D3642" s="42"/>
    </row>
    <row r="3643" spans="2:4" ht="16" thickBot="1" x14ac:dyDescent="0.25">
      <c r="B3643" s="5">
        <v>3638</v>
      </c>
      <c r="C3643" s="11">
        <v>397.59035042530053</v>
      </c>
      <c r="D3643" s="42"/>
    </row>
    <row r="3644" spans="2:4" ht="16" thickBot="1" x14ac:dyDescent="0.25">
      <c r="B3644" s="4">
        <v>3639</v>
      </c>
      <c r="C3644" s="10">
        <v>443.28402807806754</v>
      </c>
      <c r="D3644" s="42"/>
    </row>
    <row r="3645" spans="2:4" ht="16" thickBot="1" x14ac:dyDescent="0.25">
      <c r="B3645" s="5">
        <v>3640</v>
      </c>
      <c r="C3645" s="11">
        <v>58.778130608742529</v>
      </c>
      <c r="D3645" s="42"/>
    </row>
    <row r="3646" spans="2:4" ht="16" thickBot="1" x14ac:dyDescent="0.25">
      <c r="B3646" s="4">
        <v>3641</v>
      </c>
      <c r="C3646" s="10">
        <v>699.34342068790272</v>
      </c>
      <c r="D3646" s="42"/>
    </row>
    <row r="3647" spans="2:4" ht="16" thickBot="1" x14ac:dyDescent="0.25">
      <c r="B3647" s="5">
        <v>3642</v>
      </c>
      <c r="C3647" s="11">
        <v>301.16676412469224</v>
      </c>
      <c r="D3647" s="42"/>
    </row>
    <row r="3648" spans="2:4" ht="16" thickBot="1" x14ac:dyDescent="0.25">
      <c r="B3648" s="4">
        <v>3643</v>
      </c>
      <c r="C3648" s="10">
        <v>240.9839539639292</v>
      </c>
      <c r="D3648" s="42"/>
    </row>
    <row r="3649" spans="2:4" ht="16" thickBot="1" x14ac:dyDescent="0.25">
      <c r="B3649" s="5">
        <v>3644</v>
      </c>
      <c r="C3649" s="11">
        <v>245.64716829126795</v>
      </c>
      <c r="D3649" s="42"/>
    </row>
    <row r="3650" spans="2:4" ht="16" thickBot="1" x14ac:dyDescent="0.25">
      <c r="B3650" s="4">
        <v>3645</v>
      </c>
      <c r="C3650" s="10">
        <v>238.22249471090814</v>
      </c>
      <c r="D3650" s="42"/>
    </row>
    <row r="3651" spans="2:4" ht="16" thickBot="1" x14ac:dyDescent="0.25">
      <c r="B3651" s="5">
        <v>3646</v>
      </c>
      <c r="C3651" s="11">
        <v>76.659221994373056</v>
      </c>
      <c r="D3651" s="42"/>
    </row>
    <row r="3652" spans="2:4" ht="16" thickBot="1" x14ac:dyDescent="0.25">
      <c r="B3652" s="4">
        <v>3647</v>
      </c>
      <c r="C3652" s="10">
        <v>163.09911766234688</v>
      </c>
      <c r="D3652" s="42"/>
    </row>
    <row r="3653" spans="2:4" ht="16" thickBot="1" x14ac:dyDescent="0.25">
      <c r="B3653" s="5">
        <v>3648</v>
      </c>
      <c r="C3653" s="11">
        <v>210.22630792856427</v>
      </c>
      <c r="D3653" s="42"/>
    </row>
    <row r="3654" spans="2:4" ht="16" thickBot="1" x14ac:dyDescent="0.25">
      <c r="B3654" s="4">
        <v>3649</v>
      </c>
      <c r="C3654" s="10">
        <v>284.23805025039138</v>
      </c>
      <c r="D3654" s="42"/>
    </row>
    <row r="3655" spans="2:4" ht="16" thickBot="1" x14ac:dyDescent="0.25">
      <c r="B3655" s="5">
        <v>3650</v>
      </c>
      <c r="C3655" s="11">
        <v>506.2274892910624</v>
      </c>
      <c r="D3655" s="42"/>
    </row>
    <row r="3656" spans="2:4" ht="16" thickBot="1" x14ac:dyDescent="0.25">
      <c r="B3656" s="4">
        <v>3651</v>
      </c>
      <c r="C3656" s="10">
        <v>549.19927544547318</v>
      </c>
      <c r="D3656" s="42"/>
    </row>
    <row r="3657" spans="2:4" ht="16" thickBot="1" x14ac:dyDescent="0.25">
      <c r="B3657" s="5">
        <v>3652</v>
      </c>
      <c r="C3657" s="11">
        <v>236.80537667774126</v>
      </c>
      <c r="D3657" s="42"/>
    </row>
    <row r="3658" spans="2:4" ht="16" thickBot="1" x14ac:dyDescent="0.25">
      <c r="B3658" s="4">
        <v>3653</v>
      </c>
      <c r="C3658" s="10">
        <v>163.09023410041917</v>
      </c>
      <c r="D3658" s="42"/>
    </row>
    <row r="3659" spans="2:4" ht="16" thickBot="1" x14ac:dyDescent="0.25">
      <c r="B3659" s="5">
        <v>3654</v>
      </c>
      <c r="C3659" s="11">
        <v>161.36794049431447</v>
      </c>
      <c r="D3659" s="42"/>
    </row>
    <row r="3660" spans="2:4" ht="16" thickBot="1" x14ac:dyDescent="0.25">
      <c r="B3660" s="4">
        <v>3655</v>
      </c>
      <c r="C3660" s="10">
        <v>197.96091756940942</v>
      </c>
      <c r="D3660" s="42"/>
    </row>
    <row r="3661" spans="2:4" ht="16" thickBot="1" x14ac:dyDescent="0.25">
      <c r="B3661" s="5">
        <v>3656</v>
      </c>
      <c r="C3661" s="11">
        <v>256.05798541234611</v>
      </c>
      <c r="D3661" s="42"/>
    </row>
    <row r="3662" spans="2:4" ht="16" thickBot="1" x14ac:dyDescent="0.25">
      <c r="B3662" s="4">
        <v>3657</v>
      </c>
      <c r="C3662" s="10">
        <v>54.369969128613789</v>
      </c>
      <c r="D3662" s="42"/>
    </row>
    <row r="3663" spans="2:4" ht="16" thickBot="1" x14ac:dyDescent="0.25">
      <c r="B3663" s="5">
        <v>3658</v>
      </c>
      <c r="C3663" s="11">
        <v>236.26062210895603</v>
      </c>
      <c r="D3663" s="42"/>
    </row>
    <row r="3664" spans="2:4" ht="16" thickBot="1" x14ac:dyDescent="0.25">
      <c r="B3664" s="4">
        <v>3659</v>
      </c>
      <c r="C3664" s="10">
        <v>368.74128618529278</v>
      </c>
      <c r="D3664" s="42"/>
    </row>
    <row r="3665" spans="2:4" ht="16" thickBot="1" x14ac:dyDescent="0.25">
      <c r="B3665" s="5">
        <v>3660</v>
      </c>
      <c r="C3665" s="11">
        <v>146.22226741332963</v>
      </c>
      <c r="D3665" s="42"/>
    </row>
    <row r="3666" spans="2:4" ht="16" thickBot="1" x14ac:dyDescent="0.25">
      <c r="B3666" s="4">
        <v>3661</v>
      </c>
      <c r="C3666" s="10">
        <v>119.42891611514601</v>
      </c>
      <c r="D3666" s="42"/>
    </row>
    <row r="3667" spans="2:4" ht="16" thickBot="1" x14ac:dyDescent="0.25">
      <c r="B3667" s="5">
        <v>3662</v>
      </c>
      <c r="C3667" s="11">
        <v>410.41046706939005</v>
      </c>
      <c r="D3667" s="42"/>
    </row>
    <row r="3668" spans="2:4" ht="16" thickBot="1" x14ac:dyDescent="0.25">
      <c r="B3668" s="4">
        <v>3663</v>
      </c>
      <c r="C3668" s="10">
        <v>469.79698469238201</v>
      </c>
      <c r="D3668" s="42"/>
    </row>
    <row r="3669" spans="2:4" ht="16" thickBot="1" x14ac:dyDescent="0.25">
      <c r="B3669" s="5">
        <v>3664</v>
      </c>
      <c r="C3669" s="11">
        <v>474.61553691487433</v>
      </c>
      <c r="D3669" s="42"/>
    </row>
    <row r="3670" spans="2:4" ht="16" thickBot="1" x14ac:dyDescent="0.25">
      <c r="B3670" s="4">
        <v>3665</v>
      </c>
      <c r="C3670" s="10">
        <v>211.06936421781316</v>
      </c>
      <c r="D3670" s="42"/>
    </row>
    <row r="3671" spans="2:4" ht="16" thickBot="1" x14ac:dyDescent="0.25">
      <c r="B3671" s="5">
        <v>3666</v>
      </c>
      <c r="C3671" s="11">
        <v>423.66109816109201</v>
      </c>
      <c r="D3671" s="42"/>
    </row>
    <row r="3672" spans="2:4" ht="16" thickBot="1" x14ac:dyDescent="0.25">
      <c r="B3672" s="4">
        <v>3667</v>
      </c>
      <c r="C3672" s="10">
        <v>67.694682623273209</v>
      </c>
      <c r="D3672" s="42"/>
    </row>
    <row r="3673" spans="2:4" ht="16" thickBot="1" x14ac:dyDescent="0.25">
      <c r="B3673" s="5">
        <v>3668</v>
      </c>
      <c r="C3673" s="11">
        <v>49.7198922556708</v>
      </c>
      <c r="D3673" s="42"/>
    </row>
    <row r="3674" spans="2:4" ht="16" thickBot="1" x14ac:dyDescent="0.25">
      <c r="B3674" s="4">
        <v>3669</v>
      </c>
      <c r="C3674" s="10">
        <v>127.72437577762062</v>
      </c>
      <c r="D3674" s="42"/>
    </row>
    <row r="3675" spans="2:4" ht="16" thickBot="1" x14ac:dyDescent="0.25">
      <c r="B3675" s="5">
        <v>3670</v>
      </c>
      <c r="C3675" s="11">
        <v>68.676060397469769</v>
      </c>
      <c r="D3675" s="42"/>
    </row>
    <row r="3676" spans="2:4" ht="16" thickBot="1" x14ac:dyDescent="0.25">
      <c r="B3676" s="4">
        <v>3671</v>
      </c>
      <c r="C3676" s="10">
        <v>124.03201547013452</v>
      </c>
      <c r="D3676" s="42"/>
    </row>
    <row r="3677" spans="2:4" ht="16" thickBot="1" x14ac:dyDescent="0.25">
      <c r="B3677" s="5">
        <v>3672</v>
      </c>
      <c r="C3677" s="11">
        <v>70.421992160144029</v>
      </c>
      <c r="D3677" s="42"/>
    </row>
    <row r="3678" spans="2:4" ht="16" thickBot="1" x14ac:dyDescent="0.25">
      <c r="B3678" s="4">
        <v>3673</v>
      </c>
      <c r="C3678" s="10">
        <v>195.75550235929111</v>
      </c>
      <c r="D3678" s="42"/>
    </row>
    <row r="3679" spans="2:4" ht="16" thickBot="1" x14ac:dyDescent="0.25">
      <c r="B3679" s="5">
        <v>3674</v>
      </c>
      <c r="C3679" s="11">
        <v>360.19987955944401</v>
      </c>
      <c r="D3679" s="42"/>
    </row>
    <row r="3680" spans="2:4" ht="16" thickBot="1" x14ac:dyDescent="0.25">
      <c r="B3680" s="4">
        <v>3675</v>
      </c>
      <c r="C3680" s="10">
        <v>213.78233398494592</v>
      </c>
      <c r="D3680" s="42"/>
    </row>
    <row r="3681" spans="2:4" ht="16" thickBot="1" x14ac:dyDescent="0.25">
      <c r="B3681" s="5">
        <v>3676</v>
      </c>
      <c r="C3681" s="11">
        <v>179.19056208180456</v>
      </c>
      <c r="D3681" s="42"/>
    </row>
    <row r="3682" spans="2:4" ht="16" thickBot="1" x14ac:dyDescent="0.25">
      <c r="B3682" s="4">
        <v>3677</v>
      </c>
      <c r="C3682" s="10">
        <v>417.78675365958611</v>
      </c>
      <c r="D3682" s="42"/>
    </row>
    <row r="3683" spans="2:4" ht="16" thickBot="1" x14ac:dyDescent="0.25">
      <c r="B3683" s="5">
        <v>3678</v>
      </c>
      <c r="C3683" s="11">
        <v>400.16756452421936</v>
      </c>
      <c r="D3683" s="42"/>
    </row>
    <row r="3684" spans="2:4" ht="16" thickBot="1" x14ac:dyDescent="0.25">
      <c r="B3684" s="4">
        <v>3679</v>
      </c>
      <c r="C3684" s="10">
        <v>508.25082649355824</v>
      </c>
      <c r="D3684" s="42"/>
    </row>
    <row r="3685" spans="2:4" ht="16" thickBot="1" x14ac:dyDescent="0.25">
      <c r="B3685" s="5">
        <v>3680</v>
      </c>
      <c r="C3685" s="11">
        <v>357.536904286283</v>
      </c>
      <c r="D3685" s="42"/>
    </row>
    <row r="3686" spans="2:4" ht="16" thickBot="1" x14ac:dyDescent="0.25">
      <c r="B3686" s="4">
        <v>3681</v>
      </c>
      <c r="C3686" s="10">
        <v>331.61323923904899</v>
      </c>
      <c r="D3686" s="42"/>
    </row>
    <row r="3687" spans="2:4" ht="16" thickBot="1" x14ac:dyDescent="0.25">
      <c r="B3687" s="5">
        <v>3682</v>
      </c>
      <c r="C3687" s="11">
        <v>106.28019410850531</v>
      </c>
      <c r="D3687" s="42"/>
    </row>
    <row r="3688" spans="2:4" ht="16" thickBot="1" x14ac:dyDescent="0.25">
      <c r="B3688" s="4">
        <v>3683</v>
      </c>
      <c r="C3688" s="10">
        <v>351.39354538523952</v>
      </c>
      <c r="D3688" s="42"/>
    </row>
    <row r="3689" spans="2:4" ht="16" thickBot="1" x14ac:dyDescent="0.25">
      <c r="B3689" s="5">
        <v>3684</v>
      </c>
      <c r="C3689" s="11">
        <v>312.95701165569164</v>
      </c>
      <c r="D3689" s="42"/>
    </row>
    <row r="3690" spans="2:4" ht="16" thickBot="1" x14ac:dyDescent="0.25">
      <c r="B3690" s="4">
        <v>3685</v>
      </c>
      <c r="C3690" s="10">
        <v>167.75411625508607</v>
      </c>
      <c r="D3690" s="42"/>
    </row>
    <row r="3691" spans="2:4" ht="16" thickBot="1" x14ac:dyDescent="0.25">
      <c r="B3691" s="5">
        <v>3686</v>
      </c>
      <c r="C3691" s="11">
        <v>417.35657493003754</v>
      </c>
      <c r="D3691" s="42"/>
    </row>
    <row r="3692" spans="2:4" ht="16" thickBot="1" x14ac:dyDescent="0.25">
      <c r="B3692" s="4">
        <v>3687</v>
      </c>
      <c r="C3692" s="10">
        <v>385.28204807165855</v>
      </c>
      <c r="D3692" s="42"/>
    </row>
    <row r="3693" spans="2:4" ht="16" thickBot="1" x14ac:dyDescent="0.25">
      <c r="B3693" s="5">
        <v>3688</v>
      </c>
      <c r="C3693" s="11">
        <v>61.400241880400806</v>
      </c>
      <c r="D3693" s="42"/>
    </row>
    <row r="3694" spans="2:4" ht="16" thickBot="1" x14ac:dyDescent="0.25">
      <c r="B3694" s="4">
        <v>3689</v>
      </c>
      <c r="C3694" s="10">
        <v>636.78219679340486</v>
      </c>
      <c r="D3694" s="42"/>
    </row>
    <row r="3695" spans="2:4" ht="16" thickBot="1" x14ac:dyDescent="0.25">
      <c r="B3695" s="5">
        <v>3690</v>
      </c>
      <c r="C3695" s="11">
        <v>31.969347754214073</v>
      </c>
      <c r="D3695" s="42"/>
    </row>
    <row r="3696" spans="2:4" ht="16" thickBot="1" x14ac:dyDescent="0.25">
      <c r="B3696" s="4">
        <v>3691</v>
      </c>
      <c r="C3696" s="10">
        <v>293.69004644346461</v>
      </c>
      <c r="D3696" s="42"/>
    </row>
    <row r="3697" spans="2:4" ht="16" thickBot="1" x14ac:dyDescent="0.25">
      <c r="B3697" s="5">
        <v>3692</v>
      </c>
      <c r="C3697" s="11">
        <v>362.11561460909905</v>
      </c>
      <c r="D3697" s="42"/>
    </row>
    <row r="3698" spans="2:4" ht="16" thickBot="1" x14ac:dyDescent="0.25">
      <c r="B3698" s="4">
        <v>3693</v>
      </c>
      <c r="C3698" s="10">
        <v>146.82425195063533</v>
      </c>
      <c r="D3698" s="42"/>
    </row>
    <row r="3699" spans="2:4" ht="16" thickBot="1" x14ac:dyDescent="0.25">
      <c r="B3699" s="5">
        <v>3694</v>
      </c>
      <c r="C3699" s="11">
        <v>38.035369043622858</v>
      </c>
      <c r="D3699" s="42"/>
    </row>
    <row r="3700" spans="2:4" ht="16" thickBot="1" x14ac:dyDescent="0.25">
      <c r="B3700" s="4">
        <v>3695</v>
      </c>
      <c r="C3700" s="10">
        <v>71.487616301837335</v>
      </c>
      <c r="D3700" s="42"/>
    </row>
    <row r="3701" spans="2:4" ht="16" thickBot="1" x14ac:dyDescent="0.25">
      <c r="B3701" s="5">
        <v>3696</v>
      </c>
      <c r="C3701" s="11">
        <v>89.022957483234549</v>
      </c>
      <c r="D3701" s="42"/>
    </row>
    <row r="3702" spans="2:4" ht="16" thickBot="1" x14ac:dyDescent="0.25">
      <c r="B3702" s="4">
        <v>3697</v>
      </c>
      <c r="C3702" s="10">
        <v>319.1272233701128</v>
      </c>
      <c r="D3702" s="42"/>
    </row>
    <row r="3703" spans="2:4" ht="16" thickBot="1" x14ac:dyDescent="0.25">
      <c r="B3703" s="5">
        <v>3698</v>
      </c>
      <c r="C3703" s="11">
        <v>284.0833354063526</v>
      </c>
      <c r="D3703" s="42"/>
    </row>
    <row r="3704" spans="2:4" ht="16" thickBot="1" x14ac:dyDescent="0.25">
      <c r="B3704" s="4">
        <v>3699</v>
      </c>
      <c r="C3704" s="10">
        <v>199.91785364624127</v>
      </c>
      <c r="D3704" s="42"/>
    </row>
    <row r="3705" spans="2:4" ht="16" thickBot="1" x14ac:dyDescent="0.25">
      <c r="B3705" s="5">
        <v>3700</v>
      </c>
      <c r="C3705" s="11">
        <v>403.11444524790187</v>
      </c>
      <c r="D3705" s="42"/>
    </row>
    <row r="3706" spans="2:4" ht="16" thickBot="1" x14ac:dyDescent="0.25">
      <c r="B3706" s="4">
        <v>3701</v>
      </c>
      <c r="C3706" s="10">
        <v>711.55256585884661</v>
      </c>
      <c r="D3706" s="42"/>
    </row>
    <row r="3707" spans="2:4" ht="16" thickBot="1" x14ac:dyDescent="0.25">
      <c r="B3707" s="5">
        <v>3702</v>
      </c>
      <c r="C3707" s="11">
        <v>205.8068515561904</v>
      </c>
      <c r="D3707" s="42"/>
    </row>
    <row r="3708" spans="2:4" ht="16" thickBot="1" x14ac:dyDescent="0.25">
      <c r="B3708" s="4">
        <v>3703</v>
      </c>
      <c r="C3708" s="10">
        <v>307.46567629719237</v>
      </c>
      <c r="D3708" s="42"/>
    </row>
    <row r="3709" spans="2:4" ht="16" thickBot="1" x14ac:dyDescent="0.25">
      <c r="B3709" s="5">
        <v>3704</v>
      </c>
      <c r="C3709" s="11">
        <v>191.76714352118867</v>
      </c>
      <c r="D3709" s="42"/>
    </row>
    <row r="3710" spans="2:4" ht="16" thickBot="1" x14ac:dyDescent="0.25">
      <c r="B3710" s="4">
        <v>3705</v>
      </c>
      <c r="C3710" s="10">
        <v>170.1272441784316</v>
      </c>
      <c r="D3710" s="42"/>
    </row>
    <row r="3711" spans="2:4" ht="16" thickBot="1" x14ac:dyDescent="0.25">
      <c r="B3711" s="5">
        <v>3706</v>
      </c>
      <c r="C3711" s="11">
        <v>352.90696222774648</v>
      </c>
      <c r="D3711" s="42"/>
    </row>
    <row r="3712" spans="2:4" ht="16" thickBot="1" x14ac:dyDescent="0.25">
      <c r="B3712" s="4">
        <v>3707</v>
      </c>
      <c r="C3712" s="10">
        <v>271.59753324500912</v>
      </c>
      <c r="D3712" s="42"/>
    </row>
    <row r="3713" spans="2:4" ht="16" thickBot="1" x14ac:dyDescent="0.25">
      <c r="B3713" s="5">
        <v>3708</v>
      </c>
      <c r="C3713" s="11">
        <v>468.00388172031529</v>
      </c>
      <c r="D3713" s="42"/>
    </row>
    <row r="3714" spans="2:4" ht="16" thickBot="1" x14ac:dyDescent="0.25">
      <c r="B3714" s="4">
        <v>3709</v>
      </c>
      <c r="C3714" s="10">
        <v>222.95228555174893</v>
      </c>
      <c r="D3714" s="42"/>
    </row>
    <row r="3715" spans="2:4" ht="16" thickBot="1" x14ac:dyDescent="0.25">
      <c r="B3715" s="5">
        <v>3710</v>
      </c>
      <c r="C3715" s="11">
        <v>174.28454783767859</v>
      </c>
      <c r="D3715" s="42"/>
    </row>
    <row r="3716" spans="2:4" ht="16" thickBot="1" x14ac:dyDescent="0.25">
      <c r="B3716" s="4">
        <v>3711</v>
      </c>
      <c r="C3716" s="10">
        <v>115.7364331171316</v>
      </c>
      <c r="D3716" s="42"/>
    </row>
    <row r="3717" spans="2:4" ht="16" thickBot="1" x14ac:dyDescent="0.25">
      <c r="B3717" s="5">
        <v>3712</v>
      </c>
      <c r="C3717" s="11">
        <v>100.11403563088271</v>
      </c>
      <c r="D3717" s="42"/>
    </row>
    <row r="3718" spans="2:4" ht="16" thickBot="1" x14ac:dyDescent="0.25">
      <c r="B3718" s="4">
        <v>3713</v>
      </c>
      <c r="C3718" s="10">
        <v>628.96153155763761</v>
      </c>
      <c r="D3718" s="42"/>
    </row>
    <row r="3719" spans="2:4" ht="16" thickBot="1" x14ac:dyDescent="0.25">
      <c r="B3719" s="5">
        <v>3714</v>
      </c>
      <c r="C3719" s="11">
        <v>362.09696045312131</v>
      </c>
      <c r="D3719" s="42"/>
    </row>
    <row r="3720" spans="2:4" ht="16" thickBot="1" x14ac:dyDescent="0.25">
      <c r="B3720" s="4">
        <v>3715</v>
      </c>
      <c r="C3720" s="10">
        <v>226.5441192018217</v>
      </c>
      <c r="D3720" s="42"/>
    </row>
    <row r="3721" spans="2:4" ht="16" thickBot="1" x14ac:dyDescent="0.25">
      <c r="B3721" s="5">
        <v>3716</v>
      </c>
      <c r="C3721" s="11">
        <v>468.62031355559083</v>
      </c>
      <c r="D3721" s="42"/>
    </row>
    <row r="3722" spans="2:4" ht="16" thickBot="1" x14ac:dyDescent="0.25">
      <c r="B3722" s="4">
        <v>3717</v>
      </c>
      <c r="C3722" s="10">
        <v>209.47964627240552</v>
      </c>
      <c r="D3722" s="42"/>
    </row>
    <row r="3723" spans="2:4" ht="16" thickBot="1" x14ac:dyDescent="0.25">
      <c r="B3723" s="5">
        <v>3718</v>
      </c>
      <c r="C3723" s="11">
        <v>135.79759738898036</v>
      </c>
      <c r="D3723" s="42"/>
    </row>
    <row r="3724" spans="2:4" ht="16" thickBot="1" x14ac:dyDescent="0.25">
      <c r="B3724" s="4">
        <v>3719</v>
      </c>
      <c r="C3724" s="10">
        <v>575.25821122118793</v>
      </c>
      <c r="D3724" s="42"/>
    </row>
    <row r="3725" spans="2:4" ht="16" thickBot="1" x14ac:dyDescent="0.25">
      <c r="B3725" s="5">
        <v>3720</v>
      </c>
      <c r="C3725" s="11">
        <v>166.65892162470709</v>
      </c>
      <c r="D3725" s="42"/>
    </row>
    <row r="3726" spans="2:4" ht="16" thickBot="1" x14ac:dyDescent="0.25">
      <c r="B3726" s="4">
        <v>3721</v>
      </c>
      <c r="C3726" s="10">
        <v>54.65216646700587</v>
      </c>
      <c r="D3726" s="42"/>
    </row>
    <row r="3727" spans="2:4" ht="16" thickBot="1" x14ac:dyDescent="0.25">
      <c r="B3727" s="5">
        <v>3722</v>
      </c>
      <c r="C3727" s="11">
        <v>635.2837712186913</v>
      </c>
      <c r="D3727" s="42"/>
    </row>
    <row r="3728" spans="2:4" ht="16" thickBot="1" x14ac:dyDescent="0.25">
      <c r="B3728" s="4">
        <v>3723</v>
      </c>
      <c r="C3728" s="10">
        <v>172.75921667089568</v>
      </c>
      <c r="D3728" s="42"/>
    </row>
    <row r="3729" spans="2:4" ht="16" thickBot="1" x14ac:dyDescent="0.25">
      <c r="B3729" s="5">
        <v>3724</v>
      </c>
      <c r="C3729" s="11">
        <v>158.44903521208929</v>
      </c>
      <c r="D3729" s="42"/>
    </row>
    <row r="3730" spans="2:4" ht="16" thickBot="1" x14ac:dyDescent="0.25">
      <c r="B3730" s="4">
        <v>3725</v>
      </c>
      <c r="C3730" s="10">
        <v>324.91276464095279</v>
      </c>
      <c r="D3730" s="42"/>
    </row>
    <row r="3731" spans="2:4" ht="16" thickBot="1" x14ac:dyDescent="0.25">
      <c r="B3731" s="5">
        <v>3726</v>
      </c>
      <c r="C3731" s="11">
        <v>330.68886207144362</v>
      </c>
      <c r="D3731" s="42"/>
    </row>
    <row r="3732" spans="2:4" ht="16" thickBot="1" x14ac:dyDescent="0.25">
      <c r="B3732" s="4">
        <v>3727</v>
      </c>
      <c r="C3732" s="10">
        <v>237.98385765353041</v>
      </c>
      <c r="D3732" s="42"/>
    </row>
    <row r="3733" spans="2:4" ht="16" thickBot="1" x14ac:dyDescent="0.25">
      <c r="B3733" s="5">
        <v>3728</v>
      </c>
      <c r="C3733" s="11">
        <v>165.61958013065643</v>
      </c>
      <c r="D3733" s="42"/>
    </row>
    <row r="3734" spans="2:4" ht="16" thickBot="1" x14ac:dyDescent="0.25">
      <c r="B3734" s="4">
        <v>3729</v>
      </c>
      <c r="C3734" s="10">
        <v>184.68086713726444</v>
      </c>
      <c r="D3734" s="42"/>
    </row>
    <row r="3735" spans="2:4" ht="16" thickBot="1" x14ac:dyDescent="0.25">
      <c r="B3735" s="5">
        <v>3730</v>
      </c>
      <c r="C3735" s="11">
        <v>232.16048599985132</v>
      </c>
      <c r="D3735" s="42"/>
    </row>
    <row r="3736" spans="2:4" ht="16" thickBot="1" x14ac:dyDescent="0.25">
      <c r="B3736" s="4">
        <v>3731</v>
      </c>
      <c r="C3736" s="10">
        <v>413.58397376528541</v>
      </c>
      <c r="D3736" s="42"/>
    </row>
    <row r="3737" spans="2:4" ht="16" thickBot="1" x14ac:dyDescent="0.25">
      <c r="B3737" s="5">
        <v>3732</v>
      </c>
      <c r="C3737" s="11">
        <v>204.485569249528</v>
      </c>
      <c r="D3737" s="42"/>
    </row>
    <row r="3738" spans="2:4" ht="16" thickBot="1" x14ac:dyDescent="0.25">
      <c r="B3738" s="4">
        <v>3733</v>
      </c>
      <c r="C3738" s="10">
        <v>152.93674838224646</v>
      </c>
      <c r="D3738" s="42"/>
    </row>
    <row r="3739" spans="2:4" ht="16" thickBot="1" x14ac:dyDescent="0.25">
      <c r="B3739" s="5">
        <v>3734</v>
      </c>
      <c r="C3739" s="11">
        <v>279.27982467371572</v>
      </c>
      <c r="D3739" s="42"/>
    </row>
    <row r="3740" spans="2:4" ht="16" thickBot="1" x14ac:dyDescent="0.25">
      <c r="B3740" s="4">
        <v>3735</v>
      </c>
      <c r="C3740" s="10">
        <v>133.74794668834929</v>
      </c>
      <c r="D3740" s="42"/>
    </row>
    <row r="3741" spans="2:4" ht="16" thickBot="1" x14ac:dyDescent="0.25">
      <c r="B3741" s="5">
        <v>3736</v>
      </c>
      <c r="C3741" s="11">
        <v>278.55875016805123</v>
      </c>
      <c r="D3741" s="42"/>
    </row>
    <row r="3742" spans="2:4" ht="16" thickBot="1" x14ac:dyDescent="0.25">
      <c r="B3742" s="4">
        <v>3737</v>
      </c>
      <c r="C3742" s="10">
        <v>181.70470978497622</v>
      </c>
      <c r="D3742" s="42"/>
    </row>
    <row r="3743" spans="2:4" ht="16" thickBot="1" x14ac:dyDescent="0.25">
      <c r="B3743" s="5">
        <v>3738</v>
      </c>
      <c r="C3743" s="11">
        <v>206.09457319149465</v>
      </c>
      <c r="D3743" s="42"/>
    </row>
    <row r="3744" spans="2:4" ht="16" thickBot="1" x14ac:dyDescent="0.25">
      <c r="B3744" s="4">
        <v>3739</v>
      </c>
      <c r="C3744" s="10">
        <v>252.76059977066322</v>
      </c>
      <c r="D3744" s="42"/>
    </row>
    <row r="3745" spans="2:4" ht="16" thickBot="1" x14ac:dyDescent="0.25">
      <c r="B3745" s="5">
        <v>3740</v>
      </c>
      <c r="C3745" s="11">
        <v>184.21999254592487</v>
      </c>
      <c r="D3745" s="42"/>
    </row>
    <row r="3746" spans="2:4" ht="16" thickBot="1" x14ac:dyDescent="0.25">
      <c r="B3746" s="4">
        <v>3741</v>
      </c>
      <c r="C3746" s="10">
        <v>151.17122762063676</v>
      </c>
      <c r="D3746" s="42"/>
    </row>
    <row r="3747" spans="2:4" ht="16" thickBot="1" x14ac:dyDescent="0.25">
      <c r="B3747" s="5">
        <v>3742</v>
      </c>
      <c r="C3747" s="11">
        <v>303.18714431284207</v>
      </c>
      <c r="D3747" s="42"/>
    </row>
    <row r="3748" spans="2:4" ht="16" thickBot="1" x14ac:dyDescent="0.25">
      <c r="B3748" s="4">
        <v>3743</v>
      </c>
      <c r="C3748" s="10">
        <v>183.37737530263092</v>
      </c>
      <c r="D3748" s="42"/>
    </row>
    <row r="3749" spans="2:4" ht="16" thickBot="1" x14ac:dyDescent="0.25">
      <c r="B3749" s="5">
        <v>3744</v>
      </c>
      <c r="C3749" s="11">
        <v>135.12918333510552</v>
      </c>
      <c r="D3749" s="42"/>
    </row>
    <row r="3750" spans="2:4" ht="16" thickBot="1" x14ac:dyDescent="0.25">
      <c r="B3750" s="4">
        <v>3745</v>
      </c>
      <c r="C3750" s="10">
        <v>127.93321674711834</v>
      </c>
      <c r="D3750" s="42"/>
    </row>
    <row r="3751" spans="2:4" ht="16" thickBot="1" x14ac:dyDescent="0.25">
      <c r="B3751" s="5">
        <v>3746</v>
      </c>
      <c r="C3751" s="11">
        <v>139.84129079159717</v>
      </c>
      <c r="D3751" s="42"/>
    </row>
    <row r="3752" spans="2:4" ht="16" thickBot="1" x14ac:dyDescent="0.25">
      <c r="B3752" s="4">
        <v>3747</v>
      </c>
      <c r="C3752" s="10">
        <v>102.23573461458722</v>
      </c>
      <c r="D3752" s="42"/>
    </row>
    <row r="3753" spans="2:4" ht="16" thickBot="1" x14ac:dyDescent="0.25">
      <c r="B3753" s="5">
        <v>3748</v>
      </c>
      <c r="C3753" s="11">
        <v>145.25114887364711</v>
      </c>
      <c r="D3753" s="42"/>
    </row>
    <row r="3754" spans="2:4" ht="16" thickBot="1" x14ac:dyDescent="0.25">
      <c r="B3754" s="4">
        <v>3749</v>
      </c>
      <c r="C3754" s="10">
        <v>226.54155048871033</v>
      </c>
      <c r="D3754" s="42"/>
    </row>
    <row r="3755" spans="2:4" ht="16" thickBot="1" x14ac:dyDescent="0.25">
      <c r="B3755" s="5">
        <v>3750</v>
      </c>
      <c r="C3755" s="11">
        <v>306.77687362460648</v>
      </c>
      <c r="D3755" s="42"/>
    </row>
    <row r="3756" spans="2:4" ht="16" thickBot="1" x14ac:dyDescent="0.25">
      <c r="B3756" s="4">
        <v>3751</v>
      </c>
      <c r="C3756" s="10">
        <v>259.19048271142532</v>
      </c>
      <c r="D3756" s="42"/>
    </row>
    <row r="3757" spans="2:4" ht="16" thickBot="1" x14ac:dyDescent="0.25">
      <c r="B3757" s="5">
        <v>3752</v>
      </c>
      <c r="C3757" s="11">
        <v>306.86016715512403</v>
      </c>
      <c r="D3757" s="42"/>
    </row>
    <row r="3758" spans="2:4" ht="16" thickBot="1" x14ac:dyDescent="0.25">
      <c r="B3758" s="4">
        <v>3753</v>
      </c>
      <c r="C3758" s="10">
        <v>261.34607846112328</v>
      </c>
      <c r="D3758" s="42"/>
    </row>
    <row r="3759" spans="2:4" ht="16" thickBot="1" x14ac:dyDescent="0.25">
      <c r="B3759" s="5">
        <v>3754</v>
      </c>
      <c r="C3759" s="11">
        <v>72.956525374132951</v>
      </c>
      <c r="D3759" s="42"/>
    </row>
    <row r="3760" spans="2:4" ht="16" thickBot="1" x14ac:dyDescent="0.25">
      <c r="B3760" s="4">
        <v>3755</v>
      </c>
      <c r="C3760" s="10">
        <v>139.09425600114835</v>
      </c>
      <c r="D3760" s="42"/>
    </row>
    <row r="3761" spans="2:4" ht="16" thickBot="1" x14ac:dyDescent="0.25">
      <c r="B3761" s="5">
        <v>3756</v>
      </c>
      <c r="C3761" s="11">
        <v>296.37767612171865</v>
      </c>
      <c r="D3761" s="42"/>
    </row>
    <row r="3762" spans="2:4" ht="16" thickBot="1" x14ac:dyDescent="0.25">
      <c r="B3762" s="4">
        <v>3757</v>
      </c>
      <c r="C3762" s="10">
        <v>166.97134796714897</v>
      </c>
      <c r="D3762" s="42"/>
    </row>
    <row r="3763" spans="2:4" ht="16" thickBot="1" x14ac:dyDescent="0.25">
      <c r="B3763" s="5">
        <v>3758</v>
      </c>
      <c r="C3763" s="11">
        <v>295.21596789847752</v>
      </c>
      <c r="D3763" s="42"/>
    </row>
    <row r="3764" spans="2:4" ht="16" thickBot="1" x14ac:dyDescent="0.25">
      <c r="B3764" s="4">
        <v>3759</v>
      </c>
      <c r="C3764" s="10">
        <v>249.34630879909636</v>
      </c>
      <c r="D3764" s="42"/>
    </row>
    <row r="3765" spans="2:4" ht="16" thickBot="1" x14ac:dyDescent="0.25">
      <c r="B3765" s="5">
        <v>3760</v>
      </c>
      <c r="C3765" s="11">
        <v>230.48800270168502</v>
      </c>
      <c r="D3765" s="42"/>
    </row>
    <row r="3766" spans="2:4" ht="16" thickBot="1" x14ac:dyDescent="0.25">
      <c r="B3766" s="4">
        <v>3761</v>
      </c>
      <c r="C3766" s="10">
        <v>33.963959741600753</v>
      </c>
      <c r="D3766" s="42"/>
    </row>
    <row r="3767" spans="2:4" ht="16" thickBot="1" x14ac:dyDescent="0.25">
      <c r="B3767" s="5">
        <v>3762</v>
      </c>
      <c r="C3767" s="11">
        <v>145.01226586871309</v>
      </c>
      <c r="D3767" s="42"/>
    </row>
    <row r="3768" spans="2:4" ht="16" thickBot="1" x14ac:dyDescent="0.25">
      <c r="B3768" s="4">
        <v>3763</v>
      </c>
      <c r="C3768" s="10">
        <v>275.94993545226993</v>
      </c>
      <c r="D3768" s="42"/>
    </row>
    <row r="3769" spans="2:4" ht="16" thickBot="1" x14ac:dyDescent="0.25">
      <c r="B3769" s="5">
        <v>3764</v>
      </c>
      <c r="C3769" s="11">
        <v>220.16561606904523</v>
      </c>
      <c r="D3769" s="42"/>
    </row>
    <row r="3770" spans="2:4" ht="16" thickBot="1" x14ac:dyDescent="0.25">
      <c r="B3770" s="4">
        <v>3765</v>
      </c>
      <c r="C3770" s="10">
        <v>500.61974601082289</v>
      </c>
      <c r="D3770" s="42"/>
    </row>
    <row r="3771" spans="2:4" ht="16" thickBot="1" x14ac:dyDescent="0.25">
      <c r="B3771" s="5">
        <v>3766</v>
      </c>
      <c r="C3771" s="11">
        <v>456.91196382248211</v>
      </c>
      <c r="D3771" s="42"/>
    </row>
    <row r="3772" spans="2:4" ht="16" thickBot="1" x14ac:dyDescent="0.25">
      <c r="B3772" s="4">
        <v>3767</v>
      </c>
      <c r="C3772" s="10">
        <v>570.44377504209785</v>
      </c>
      <c r="D3772" s="42"/>
    </row>
    <row r="3773" spans="2:4" ht="16" thickBot="1" x14ac:dyDescent="0.25">
      <c r="B3773" s="5">
        <v>3768</v>
      </c>
      <c r="C3773" s="11">
        <v>719.33458453863102</v>
      </c>
      <c r="D3773" s="42"/>
    </row>
    <row r="3774" spans="2:4" ht="16" thickBot="1" x14ac:dyDescent="0.25">
      <c r="B3774" s="4">
        <v>3769</v>
      </c>
      <c r="C3774" s="10">
        <v>272.87200216893052</v>
      </c>
      <c r="D3774" s="42"/>
    </row>
    <row r="3775" spans="2:4" ht="16" thickBot="1" x14ac:dyDescent="0.25">
      <c r="B3775" s="5">
        <v>3770</v>
      </c>
      <c r="C3775" s="11">
        <v>431.07584616454051</v>
      </c>
      <c r="D3775" s="42"/>
    </row>
    <row r="3776" spans="2:4" ht="16" thickBot="1" x14ac:dyDescent="0.25">
      <c r="B3776" s="4">
        <v>3771</v>
      </c>
      <c r="C3776" s="10">
        <v>101.25892494899921</v>
      </c>
      <c r="D3776" s="42"/>
    </row>
    <row r="3777" spans="2:4" ht="16" thickBot="1" x14ac:dyDescent="0.25">
      <c r="B3777" s="5">
        <v>3772</v>
      </c>
      <c r="C3777" s="11">
        <v>359.50564288921493</v>
      </c>
      <c r="D3777" s="42"/>
    </row>
    <row r="3778" spans="2:4" ht="16" thickBot="1" x14ac:dyDescent="0.25">
      <c r="B3778" s="4">
        <v>3773</v>
      </c>
      <c r="C3778" s="10">
        <v>182.8841976533576</v>
      </c>
      <c r="D3778" s="42"/>
    </row>
    <row r="3779" spans="2:4" ht="16" thickBot="1" x14ac:dyDescent="0.25">
      <c r="B3779" s="5">
        <v>3774</v>
      </c>
      <c r="C3779" s="11">
        <v>57.398760138370605</v>
      </c>
      <c r="D3779" s="42"/>
    </row>
    <row r="3780" spans="2:4" ht="16" thickBot="1" x14ac:dyDescent="0.25">
      <c r="B3780" s="4">
        <v>3775</v>
      </c>
      <c r="C3780" s="10">
        <v>217.00323137803741</v>
      </c>
      <c r="D3780" s="42"/>
    </row>
    <row r="3781" spans="2:4" ht="16" thickBot="1" x14ac:dyDescent="0.25">
      <c r="B3781" s="5">
        <v>3776</v>
      </c>
      <c r="C3781" s="11">
        <v>345.49318164837098</v>
      </c>
      <c r="D3781" s="42"/>
    </row>
    <row r="3782" spans="2:4" ht="16" thickBot="1" x14ac:dyDescent="0.25">
      <c r="B3782" s="4">
        <v>3777</v>
      </c>
      <c r="C3782" s="10">
        <v>221.03827440815598</v>
      </c>
      <c r="D3782" s="42"/>
    </row>
    <row r="3783" spans="2:4" ht="16" thickBot="1" x14ac:dyDescent="0.25">
      <c r="B3783" s="5">
        <v>3778</v>
      </c>
      <c r="C3783" s="11">
        <v>582.69257542659261</v>
      </c>
      <c r="D3783" s="42"/>
    </row>
    <row r="3784" spans="2:4" ht="16" thickBot="1" x14ac:dyDescent="0.25">
      <c r="B3784" s="4">
        <v>3779</v>
      </c>
      <c r="C3784" s="10">
        <v>52.178405513298095</v>
      </c>
      <c r="D3784" s="42"/>
    </row>
    <row r="3785" spans="2:4" ht="16" thickBot="1" x14ac:dyDescent="0.25">
      <c r="B3785" s="5">
        <v>3780</v>
      </c>
      <c r="C3785" s="11">
        <v>690.01930737590851</v>
      </c>
      <c r="D3785" s="42"/>
    </row>
    <row r="3786" spans="2:4" ht="16" thickBot="1" x14ac:dyDescent="0.25">
      <c r="B3786" s="4">
        <v>3781</v>
      </c>
      <c r="C3786" s="10">
        <v>272.16279301434929</v>
      </c>
      <c r="D3786" s="42"/>
    </row>
    <row r="3787" spans="2:4" ht="16" thickBot="1" x14ac:dyDescent="0.25">
      <c r="B3787" s="5">
        <v>3782</v>
      </c>
      <c r="C3787" s="11">
        <v>84.453022252616137</v>
      </c>
      <c r="D3787" s="42"/>
    </row>
    <row r="3788" spans="2:4" ht="16" thickBot="1" x14ac:dyDescent="0.25">
      <c r="B3788" s="4">
        <v>3783</v>
      </c>
      <c r="C3788" s="10">
        <v>182.21658209273284</v>
      </c>
      <c r="D3788" s="42"/>
    </row>
    <row r="3789" spans="2:4" ht="16" thickBot="1" x14ac:dyDescent="0.25">
      <c r="B3789" s="5">
        <v>3784</v>
      </c>
      <c r="C3789" s="11">
        <v>286.29374749195915</v>
      </c>
      <c r="D3789" s="42"/>
    </row>
    <row r="3790" spans="2:4" ht="16" thickBot="1" x14ac:dyDescent="0.25">
      <c r="B3790" s="4">
        <v>3785</v>
      </c>
      <c r="C3790" s="10">
        <v>149.08345025833748</v>
      </c>
      <c r="D3790" s="42"/>
    </row>
    <row r="3791" spans="2:4" ht="16" thickBot="1" x14ac:dyDescent="0.25">
      <c r="B3791" s="5">
        <v>3786</v>
      </c>
      <c r="C3791" s="11">
        <v>268.71742490695596</v>
      </c>
      <c r="D3791" s="42"/>
    </row>
    <row r="3792" spans="2:4" ht="16" thickBot="1" x14ac:dyDescent="0.25">
      <c r="B3792" s="4">
        <v>3787</v>
      </c>
      <c r="C3792" s="10">
        <v>79.216356030598291</v>
      </c>
      <c r="D3792" s="42"/>
    </row>
    <row r="3793" spans="2:4" ht="16" thickBot="1" x14ac:dyDescent="0.25">
      <c r="B3793" s="5">
        <v>3788</v>
      </c>
      <c r="C3793" s="11">
        <v>317.79497146926582</v>
      </c>
      <c r="D3793" s="42"/>
    </row>
    <row r="3794" spans="2:4" ht="16" thickBot="1" x14ac:dyDescent="0.25">
      <c r="B3794" s="4">
        <v>3789</v>
      </c>
      <c r="C3794" s="10">
        <v>174.86694315016493</v>
      </c>
      <c r="D3794" s="42"/>
    </row>
    <row r="3795" spans="2:4" ht="16" thickBot="1" x14ac:dyDescent="0.25">
      <c r="B3795" s="5">
        <v>3790</v>
      </c>
      <c r="C3795" s="11">
        <v>112.85373617759736</v>
      </c>
      <c r="D3795" s="42"/>
    </row>
    <row r="3796" spans="2:4" ht="16" thickBot="1" x14ac:dyDescent="0.25">
      <c r="B3796" s="4">
        <v>3791</v>
      </c>
      <c r="C3796" s="10">
        <v>94.898314384521811</v>
      </c>
      <c r="D3796" s="42"/>
    </row>
    <row r="3797" spans="2:4" ht="16" thickBot="1" x14ac:dyDescent="0.25">
      <c r="B3797" s="5">
        <v>3792</v>
      </c>
      <c r="C3797" s="11">
        <v>112.54253435464955</v>
      </c>
      <c r="D3797" s="42"/>
    </row>
    <row r="3798" spans="2:4" ht="16" thickBot="1" x14ac:dyDescent="0.25">
      <c r="B3798" s="4">
        <v>3793</v>
      </c>
      <c r="C3798" s="10">
        <v>46.30977878613897</v>
      </c>
      <c r="D3798" s="42"/>
    </row>
    <row r="3799" spans="2:4" ht="16" thickBot="1" x14ac:dyDescent="0.25">
      <c r="B3799" s="5">
        <v>3794</v>
      </c>
      <c r="C3799" s="11">
        <v>60.674896498992261</v>
      </c>
      <c r="D3799" s="42"/>
    </row>
    <row r="3800" spans="2:4" ht="16" thickBot="1" x14ac:dyDescent="0.25">
      <c r="B3800" s="4">
        <v>3795</v>
      </c>
      <c r="C3800" s="10">
        <v>191.85089293581626</v>
      </c>
      <c r="D3800" s="42"/>
    </row>
    <row r="3801" spans="2:4" ht="16" thickBot="1" x14ac:dyDescent="0.25">
      <c r="B3801" s="5">
        <v>3796</v>
      </c>
      <c r="C3801" s="11">
        <v>277.97726381423973</v>
      </c>
      <c r="D3801" s="42"/>
    </row>
    <row r="3802" spans="2:4" ht="16" thickBot="1" x14ac:dyDescent="0.25">
      <c r="B3802" s="4">
        <v>3797</v>
      </c>
      <c r="C3802" s="10">
        <v>288.53696006395398</v>
      </c>
      <c r="D3802" s="42"/>
    </row>
    <row r="3803" spans="2:4" ht="16" thickBot="1" x14ac:dyDescent="0.25">
      <c r="B3803" s="5">
        <v>3798</v>
      </c>
      <c r="C3803" s="11">
        <v>278.0139109161006</v>
      </c>
      <c r="D3803" s="42"/>
    </row>
    <row r="3804" spans="2:4" ht="16" thickBot="1" x14ac:dyDescent="0.25">
      <c r="B3804" s="4">
        <v>3799</v>
      </c>
      <c r="C3804" s="10">
        <v>335.3784351690141</v>
      </c>
      <c r="D3804" s="42"/>
    </row>
    <row r="3805" spans="2:4" ht="16" thickBot="1" x14ac:dyDescent="0.25">
      <c r="B3805" s="5">
        <v>3800</v>
      </c>
      <c r="C3805" s="11">
        <v>172.02318726551357</v>
      </c>
      <c r="D3805" s="42"/>
    </row>
    <row r="3806" spans="2:4" ht="16" thickBot="1" x14ac:dyDescent="0.25">
      <c r="B3806" s="4">
        <v>3801</v>
      </c>
      <c r="C3806" s="10">
        <v>107.03555259096392</v>
      </c>
      <c r="D3806" s="42"/>
    </row>
    <row r="3807" spans="2:4" ht="16" thickBot="1" x14ac:dyDescent="0.25">
      <c r="B3807" s="5">
        <v>3802</v>
      </c>
      <c r="C3807" s="11">
        <v>605.00731241660264</v>
      </c>
      <c r="D3807" s="42"/>
    </row>
    <row r="3808" spans="2:4" ht="16" thickBot="1" x14ac:dyDescent="0.25">
      <c r="B3808" s="4">
        <v>3803</v>
      </c>
      <c r="C3808" s="10">
        <v>82.846068098034451</v>
      </c>
      <c r="D3808" s="42"/>
    </row>
    <row r="3809" spans="2:4" ht="16" thickBot="1" x14ac:dyDescent="0.25">
      <c r="B3809" s="5">
        <v>3804</v>
      </c>
      <c r="C3809" s="11">
        <v>213.74457563860003</v>
      </c>
      <c r="D3809" s="42"/>
    </row>
    <row r="3810" spans="2:4" ht="16" thickBot="1" x14ac:dyDescent="0.25">
      <c r="B3810" s="4">
        <v>3805</v>
      </c>
      <c r="C3810" s="10">
        <v>345.29018347098486</v>
      </c>
      <c r="D3810" s="42"/>
    </row>
    <row r="3811" spans="2:4" ht="16" thickBot="1" x14ac:dyDescent="0.25">
      <c r="B3811" s="5">
        <v>3806</v>
      </c>
      <c r="C3811" s="11">
        <v>312.10024128614401</v>
      </c>
      <c r="D3811" s="42"/>
    </row>
    <row r="3812" spans="2:4" ht="16" thickBot="1" x14ac:dyDescent="0.25">
      <c r="B3812" s="4">
        <v>3807</v>
      </c>
      <c r="C3812" s="10">
        <v>389.56877676904776</v>
      </c>
      <c r="D3812" s="42"/>
    </row>
    <row r="3813" spans="2:4" ht="16" thickBot="1" x14ac:dyDescent="0.25">
      <c r="B3813" s="5">
        <v>3808</v>
      </c>
      <c r="C3813" s="11">
        <v>694.18585026913956</v>
      </c>
      <c r="D3813" s="42"/>
    </row>
    <row r="3814" spans="2:4" ht="16" thickBot="1" x14ac:dyDescent="0.25">
      <c r="B3814" s="4">
        <v>3809</v>
      </c>
      <c r="C3814" s="10">
        <v>305.87001420679314</v>
      </c>
      <c r="D3814" s="42"/>
    </row>
    <row r="3815" spans="2:4" ht="16" thickBot="1" x14ac:dyDescent="0.25">
      <c r="B3815" s="5">
        <v>3810</v>
      </c>
      <c r="C3815" s="11">
        <v>173.34177392019416</v>
      </c>
      <c r="D3815" s="42"/>
    </row>
    <row r="3816" spans="2:4" ht="16" thickBot="1" x14ac:dyDescent="0.25">
      <c r="B3816" s="4">
        <v>3811</v>
      </c>
      <c r="C3816" s="10">
        <v>96.76483457494146</v>
      </c>
      <c r="D3816" s="42"/>
    </row>
    <row r="3817" spans="2:4" ht="16" thickBot="1" x14ac:dyDescent="0.25">
      <c r="B3817" s="5">
        <v>3812</v>
      </c>
      <c r="C3817" s="11">
        <v>107.37902081820589</v>
      </c>
      <c r="D3817" s="42"/>
    </row>
    <row r="3818" spans="2:4" ht="16" thickBot="1" x14ac:dyDescent="0.25">
      <c r="B3818" s="4">
        <v>3813</v>
      </c>
      <c r="C3818" s="10">
        <v>388.90077086065889</v>
      </c>
      <c r="D3818" s="42"/>
    </row>
    <row r="3819" spans="2:4" ht="16" thickBot="1" x14ac:dyDescent="0.25">
      <c r="B3819" s="5">
        <v>3814</v>
      </c>
      <c r="C3819" s="11">
        <v>861.01871959077903</v>
      </c>
      <c r="D3819" s="42"/>
    </row>
    <row r="3820" spans="2:4" ht="16" thickBot="1" x14ac:dyDescent="0.25">
      <c r="B3820" s="4">
        <v>3815</v>
      </c>
      <c r="C3820" s="10">
        <v>252.47568893266299</v>
      </c>
      <c r="D3820" s="42"/>
    </row>
    <row r="3821" spans="2:4" ht="16" thickBot="1" x14ac:dyDescent="0.25">
      <c r="B3821" s="5">
        <v>3816</v>
      </c>
      <c r="C3821" s="11">
        <v>231.96446493944725</v>
      </c>
      <c r="D3821" s="42"/>
    </row>
    <row r="3822" spans="2:4" ht="16" thickBot="1" x14ac:dyDescent="0.25">
      <c r="B3822" s="4">
        <v>3817</v>
      </c>
      <c r="C3822" s="10">
        <v>601.9889502100981</v>
      </c>
      <c r="D3822" s="42"/>
    </row>
    <row r="3823" spans="2:4" ht="16" thickBot="1" x14ac:dyDescent="0.25">
      <c r="B3823" s="5">
        <v>3818</v>
      </c>
      <c r="C3823" s="11">
        <v>234.60298354783296</v>
      </c>
      <c r="D3823" s="42"/>
    </row>
    <row r="3824" spans="2:4" ht="16" thickBot="1" x14ac:dyDescent="0.25">
      <c r="B3824" s="4">
        <v>3819</v>
      </c>
      <c r="C3824" s="10">
        <v>378.92370333639798</v>
      </c>
      <c r="D3824" s="42"/>
    </row>
    <row r="3825" spans="2:4" ht="16" thickBot="1" x14ac:dyDescent="0.25">
      <c r="B3825" s="5">
        <v>3820</v>
      </c>
      <c r="C3825" s="11">
        <v>109.08610714270253</v>
      </c>
      <c r="D3825" s="42"/>
    </row>
    <row r="3826" spans="2:4" ht="16" thickBot="1" x14ac:dyDescent="0.25">
      <c r="B3826" s="4">
        <v>3821</v>
      </c>
      <c r="C3826" s="10">
        <v>377.43318974263792</v>
      </c>
      <c r="D3826" s="42"/>
    </row>
    <row r="3827" spans="2:4" ht="16" thickBot="1" x14ac:dyDescent="0.25">
      <c r="B3827" s="5">
        <v>3822</v>
      </c>
      <c r="C3827" s="11">
        <v>128.9970596636411</v>
      </c>
      <c r="D3827" s="42"/>
    </row>
    <row r="3828" spans="2:4" ht="16" thickBot="1" x14ac:dyDescent="0.25">
      <c r="B3828" s="4">
        <v>3823</v>
      </c>
      <c r="C3828" s="10">
        <v>241.17022707026729</v>
      </c>
      <c r="D3828" s="42"/>
    </row>
    <row r="3829" spans="2:4" ht="16" thickBot="1" x14ac:dyDescent="0.25">
      <c r="B3829" s="5">
        <v>3824</v>
      </c>
      <c r="C3829" s="11">
        <v>173.76422059974061</v>
      </c>
      <c r="D3829" s="42"/>
    </row>
    <row r="3830" spans="2:4" ht="16" thickBot="1" x14ac:dyDescent="0.25">
      <c r="B3830" s="4">
        <v>3825</v>
      </c>
      <c r="C3830" s="10">
        <v>328.90997574860228</v>
      </c>
      <c r="D3830" s="42"/>
    </row>
    <row r="3831" spans="2:4" ht="16" thickBot="1" x14ac:dyDescent="0.25">
      <c r="B3831" s="5">
        <v>3826</v>
      </c>
      <c r="C3831" s="11">
        <v>108.84815362834088</v>
      </c>
      <c r="D3831" s="42"/>
    </row>
    <row r="3832" spans="2:4" ht="16" thickBot="1" x14ac:dyDescent="0.25">
      <c r="B3832" s="4">
        <v>3827</v>
      </c>
      <c r="C3832" s="10">
        <v>445.51816998448271</v>
      </c>
      <c r="D3832" s="42"/>
    </row>
    <row r="3833" spans="2:4" ht="16" thickBot="1" x14ac:dyDescent="0.25">
      <c r="B3833" s="5">
        <v>3828</v>
      </c>
      <c r="C3833" s="11">
        <v>563.30979078751977</v>
      </c>
      <c r="D3833" s="42"/>
    </row>
    <row r="3834" spans="2:4" ht="16" thickBot="1" x14ac:dyDescent="0.25">
      <c r="B3834" s="4">
        <v>3829</v>
      </c>
      <c r="C3834" s="10">
        <v>221.80557849643264</v>
      </c>
      <c r="D3834" s="42"/>
    </row>
    <row r="3835" spans="2:4" ht="16" thickBot="1" x14ac:dyDescent="0.25">
      <c r="B3835" s="5">
        <v>3830</v>
      </c>
      <c r="C3835" s="11">
        <v>457.12067269964149</v>
      </c>
      <c r="D3835" s="42"/>
    </row>
    <row r="3836" spans="2:4" ht="16" thickBot="1" x14ac:dyDescent="0.25">
      <c r="B3836" s="4">
        <v>3831</v>
      </c>
      <c r="C3836" s="10">
        <v>216.30638190698528</v>
      </c>
      <c r="D3836" s="42"/>
    </row>
    <row r="3837" spans="2:4" ht="16" thickBot="1" x14ac:dyDescent="0.25">
      <c r="B3837" s="5">
        <v>3832</v>
      </c>
      <c r="C3837" s="11">
        <v>385.25118511428906</v>
      </c>
      <c r="D3837" s="42"/>
    </row>
    <row r="3838" spans="2:4" ht="16" thickBot="1" x14ac:dyDescent="0.25">
      <c r="B3838" s="4">
        <v>3833</v>
      </c>
      <c r="C3838" s="10">
        <v>372.13025411887514</v>
      </c>
      <c r="D3838" s="42"/>
    </row>
    <row r="3839" spans="2:4" ht="16" thickBot="1" x14ac:dyDescent="0.25">
      <c r="B3839" s="5">
        <v>3834</v>
      </c>
      <c r="C3839" s="11">
        <v>232.92501699516467</v>
      </c>
      <c r="D3839" s="42"/>
    </row>
    <row r="3840" spans="2:4" ht="16" thickBot="1" x14ac:dyDescent="0.25">
      <c r="B3840" s="4">
        <v>3835</v>
      </c>
      <c r="C3840" s="10">
        <v>111.76421846407547</v>
      </c>
      <c r="D3840" s="42"/>
    </row>
    <row r="3841" spans="2:4" ht="16" thickBot="1" x14ac:dyDescent="0.25">
      <c r="B3841" s="5">
        <v>3836</v>
      </c>
      <c r="C3841" s="11">
        <v>341.5979629513966</v>
      </c>
      <c r="D3841" s="42"/>
    </row>
    <row r="3842" spans="2:4" ht="16" thickBot="1" x14ac:dyDescent="0.25">
      <c r="B3842" s="4">
        <v>3837</v>
      </c>
      <c r="C3842" s="10">
        <v>530.20138197982408</v>
      </c>
      <c r="D3842" s="42"/>
    </row>
    <row r="3843" spans="2:4" ht="16" thickBot="1" x14ac:dyDescent="0.25">
      <c r="B3843" s="5">
        <v>3838</v>
      </c>
      <c r="C3843" s="11">
        <v>240.81293552409667</v>
      </c>
      <c r="D3843" s="42"/>
    </row>
    <row r="3844" spans="2:4" ht="16" thickBot="1" x14ac:dyDescent="0.25">
      <c r="B3844" s="4">
        <v>3839</v>
      </c>
      <c r="C3844" s="10">
        <v>91.43139940065609</v>
      </c>
      <c r="D3844" s="42"/>
    </row>
    <row r="3845" spans="2:4" ht="16" thickBot="1" x14ac:dyDescent="0.25">
      <c r="B3845" s="5">
        <v>3840</v>
      </c>
      <c r="C3845" s="11">
        <v>125.78477889831611</v>
      </c>
      <c r="D3845" s="42"/>
    </row>
    <row r="3846" spans="2:4" ht="16" thickBot="1" x14ac:dyDescent="0.25">
      <c r="B3846" s="4">
        <v>3841</v>
      </c>
      <c r="C3846" s="10">
        <v>296.99496738272381</v>
      </c>
      <c r="D3846" s="42"/>
    </row>
    <row r="3847" spans="2:4" ht="16" thickBot="1" x14ac:dyDescent="0.25">
      <c r="B3847" s="5">
        <v>3842</v>
      </c>
      <c r="C3847" s="11">
        <v>327.99673142136231</v>
      </c>
      <c r="D3847" s="42"/>
    </row>
    <row r="3848" spans="2:4" ht="16" thickBot="1" x14ac:dyDescent="0.25">
      <c r="B3848" s="4">
        <v>3843</v>
      </c>
      <c r="C3848" s="10">
        <v>402.65927834648988</v>
      </c>
      <c r="D3848" s="42"/>
    </row>
    <row r="3849" spans="2:4" ht="16" thickBot="1" x14ac:dyDescent="0.25">
      <c r="B3849" s="5">
        <v>3844</v>
      </c>
      <c r="C3849" s="11">
        <v>260.10569275138499</v>
      </c>
      <c r="D3849" s="42"/>
    </row>
    <row r="3850" spans="2:4" ht="16" thickBot="1" x14ac:dyDescent="0.25">
      <c r="B3850" s="4">
        <v>3845</v>
      </c>
      <c r="C3850" s="10">
        <v>347.70917653906088</v>
      </c>
      <c r="D3850" s="42"/>
    </row>
    <row r="3851" spans="2:4" ht="16" thickBot="1" x14ac:dyDescent="0.25">
      <c r="B3851" s="5">
        <v>3846</v>
      </c>
      <c r="C3851" s="11">
        <v>212.1121549516017</v>
      </c>
      <c r="D3851" s="42"/>
    </row>
    <row r="3852" spans="2:4" ht="16" thickBot="1" x14ac:dyDescent="0.25">
      <c r="B3852" s="4">
        <v>3847</v>
      </c>
      <c r="C3852" s="10">
        <v>568.49525640482852</v>
      </c>
      <c r="D3852" s="42"/>
    </row>
    <row r="3853" spans="2:4" ht="16" thickBot="1" x14ac:dyDescent="0.25">
      <c r="B3853" s="5">
        <v>3848</v>
      </c>
      <c r="C3853" s="11">
        <v>431.32287454578403</v>
      </c>
      <c r="D3853" s="42"/>
    </row>
    <row r="3854" spans="2:4" ht="16" thickBot="1" x14ac:dyDescent="0.25">
      <c r="B3854" s="4">
        <v>3849</v>
      </c>
      <c r="C3854" s="10">
        <v>452.79966423296611</v>
      </c>
      <c r="D3854" s="42"/>
    </row>
    <row r="3855" spans="2:4" ht="16" thickBot="1" x14ac:dyDescent="0.25">
      <c r="B3855" s="5">
        <v>3850</v>
      </c>
      <c r="C3855" s="11">
        <v>72.081126431930898</v>
      </c>
      <c r="D3855" s="42"/>
    </row>
    <row r="3856" spans="2:4" ht="16" thickBot="1" x14ac:dyDescent="0.25">
      <c r="B3856" s="4">
        <v>3851</v>
      </c>
      <c r="C3856" s="10">
        <v>206.64176975661849</v>
      </c>
      <c r="D3856" s="42"/>
    </row>
    <row r="3857" spans="2:4" ht="16" thickBot="1" x14ac:dyDescent="0.25">
      <c r="B3857" s="5">
        <v>3852</v>
      </c>
      <c r="C3857" s="11">
        <v>351.27957612833086</v>
      </c>
      <c r="D3857" s="42"/>
    </row>
    <row r="3858" spans="2:4" ht="16" thickBot="1" x14ac:dyDescent="0.25">
      <c r="B3858" s="4">
        <v>3853</v>
      </c>
      <c r="C3858" s="10">
        <v>346.72581813136117</v>
      </c>
      <c r="D3858" s="42"/>
    </row>
    <row r="3859" spans="2:4" ht="16" thickBot="1" x14ac:dyDescent="0.25">
      <c r="B3859" s="5">
        <v>3854</v>
      </c>
      <c r="C3859" s="11">
        <v>298.91332773584389</v>
      </c>
      <c r="D3859" s="42"/>
    </row>
    <row r="3860" spans="2:4" ht="16" thickBot="1" x14ac:dyDescent="0.25">
      <c r="B3860" s="4">
        <v>3855</v>
      </c>
      <c r="C3860" s="10">
        <v>207.0895066101144</v>
      </c>
      <c r="D3860" s="42"/>
    </row>
    <row r="3861" spans="2:4" ht="16" thickBot="1" x14ac:dyDescent="0.25">
      <c r="B3861" s="5">
        <v>3856</v>
      </c>
      <c r="C3861" s="11">
        <v>288.26770003024012</v>
      </c>
      <c r="D3861" s="42"/>
    </row>
    <row r="3862" spans="2:4" ht="16" thickBot="1" x14ac:dyDescent="0.25">
      <c r="B3862" s="4">
        <v>3857</v>
      </c>
      <c r="C3862" s="10">
        <v>182.769365704129</v>
      </c>
      <c r="D3862" s="42"/>
    </row>
    <row r="3863" spans="2:4" ht="16" thickBot="1" x14ac:dyDescent="0.25">
      <c r="B3863" s="5">
        <v>3858</v>
      </c>
      <c r="C3863" s="11">
        <v>170.00898765463964</v>
      </c>
      <c r="D3863" s="42"/>
    </row>
    <row r="3864" spans="2:4" ht="16" thickBot="1" x14ac:dyDescent="0.25">
      <c r="B3864" s="4">
        <v>3859</v>
      </c>
      <c r="C3864" s="10">
        <v>691.93451719923894</v>
      </c>
      <c r="D3864" s="42"/>
    </row>
    <row r="3865" spans="2:4" ht="16" thickBot="1" x14ac:dyDescent="0.25">
      <c r="B3865" s="5">
        <v>3860</v>
      </c>
      <c r="C3865" s="11">
        <v>186.38869903290038</v>
      </c>
      <c r="D3865" s="42"/>
    </row>
    <row r="3866" spans="2:4" ht="16" thickBot="1" x14ac:dyDescent="0.25">
      <c r="B3866" s="4">
        <v>3861</v>
      </c>
      <c r="C3866" s="10">
        <v>158.35883738182972</v>
      </c>
      <c r="D3866" s="42"/>
    </row>
    <row r="3867" spans="2:4" ht="16" thickBot="1" x14ac:dyDescent="0.25">
      <c r="B3867" s="5">
        <v>3862</v>
      </c>
      <c r="C3867" s="11">
        <v>117.87361068658949</v>
      </c>
      <c r="D3867" s="42"/>
    </row>
    <row r="3868" spans="2:4" ht="16" thickBot="1" x14ac:dyDescent="0.25">
      <c r="B3868" s="4">
        <v>3863</v>
      </c>
      <c r="C3868" s="10">
        <v>537.52374091578702</v>
      </c>
      <c r="D3868" s="42"/>
    </row>
    <row r="3869" spans="2:4" ht="16" thickBot="1" x14ac:dyDescent="0.25">
      <c r="B3869" s="5">
        <v>3864</v>
      </c>
      <c r="C3869" s="11">
        <v>337.36866785109231</v>
      </c>
      <c r="D3869" s="42"/>
    </row>
    <row r="3870" spans="2:4" ht="16" thickBot="1" x14ac:dyDescent="0.25">
      <c r="B3870" s="4">
        <v>3865</v>
      </c>
      <c r="C3870" s="10">
        <v>430.98800741285248</v>
      </c>
      <c r="D3870" s="42"/>
    </row>
    <row r="3871" spans="2:4" ht="16" thickBot="1" x14ac:dyDescent="0.25">
      <c r="B3871" s="5">
        <v>3866</v>
      </c>
      <c r="C3871" s="11">
        <v>282.79514362838717</v>
      </c>
      <c r="D3871" s="42"/>
    </row>
    <row r="3872" spans="2:4" ht="16" thickBot="1" x14ac:dyDescent="0.25">
      <c r="B3872" s="4">
        <v>3867</v>
      </c>
      <c r="C3872" s="10">
        <v>241.83269809524089</v>
      </c>
      <c r="D3872" s="42"/>
    </row>
    <row r="3873" spans="2:4" ht="16" thickBot="1" x14ac:dyDescent="0.25">
      <c r="B3873" s="5">
        <v>3868</v>
      </c>
      <c r="C3873" s="11">
        <v>244.94533603403173</v>
      </c>
      <c r="D3873" s="42"/>
    </row>
    <row r="3874" spans="2:4" ht="16" thickBot="1" x14ac:dyDescent="0.25">
      <c r="B3874" s="4">
        <v>3869</v>
      </c>
      <c r="C3874" s="10">
        <v>110.71587069777208</v>
      </c>
      <c r="D3874" s="42"/>
    </row>
    <row r="3875" spans="2:4" ht="16" thickBot="1" x14ac:dyDescent="0.25">
      <c r="B3875" s="5">
        <v>3870</v>
      </c>
      <c r="C3875" s="11">
        <v>329.46431049586619</v>
      </c>
      <c r="D3875" s="42"/>
    </row>
    <row r="3876" spans="2:4" ht="16" thickBot="1" x14ac:dyDescent="0.25">
      <c r="B3876" s="4">
        <v>3871</v>
      </c>
      <c r="C3876" s="10">
        <v>233.93403384806601</v>
      </c>
      <c r="D3876" s="42"/>
    </row>
    <row r="3877" spans="2:4" ht="16" thickBot="1" x14ac:dyDescent="0.25">
      <c r="B3877" s="5">
        <v>3872</v>
      </c>
      <c r="C3877" s="11">
        <v>146.19213148215115</v>
      </c>
      <c r="D3877" s="42"/>
    </row>
    <row r="3878" spans="2:4" ht="16" thickBot="1" x14ac:dyDescent="0.25">
      <c r="B3878" s="4">
        <v>3873</v>
      </c>
      <c r="C3878" s="10">
        <v>265.75940182156933</v>
      </c>
      <c r="D3878" s="42"/>
    </row>
    <row r="3879" spans="2:4" ht="16" thickBot="1" x14ac:dyDescent="0.25">
      <c r="B3879" s="5">
        <v>3874</v>
      </c>
      <c r="C3879" s="11">
        <v>222.02813320572614</v>
      </c>
      <c r="D3879" s="42"/>
    </row>
    <row r="3880" spans="2:4" ht="16" thickBot="1" x14ac:dyDescent="0.25">
      <c r="B3880" s="4">
        <v>3875</v>
      </c>
      <c r="C3880" s="10">
        <v>601.49263394903176</v>
      </c>
      <c r="D3880" s="42"/>
    </row>
    <row r="3881" spans="2:4" ht="16" thickBot="1" x14ac:dyDescent="0.25">
      <c r="B3881" s="5">
        <v>3876</v>
      </c>
      <c r="C3881" s="11">
        <v>541.79926676261982</v>
      </c>
      <c r="D3881" s="42"/>
    </row>
    <row r="3882" spans="2:4" ht="16" thickBot="1" x14ac:dyDescent="0.25">
      <c r="B3882" s="4">
        <v>3877</v>
      </c>
      <c r="C3882" s="10">
        <v>304.33900560402583</v>
      </c>
      <c r="D3882" s="42"/>
    </row>
    <row r="3883" spans="2:4" ht="16" thickBot="1" x14ac:dyDescent="0.25">
      <c r="B3883" s="5">
        <v>3878</v>
      </c>
      <c r="C3883" s="11">
        <v>486.71868179886513</v>
      </c>
      <c r="D3883" s="42"/>
    </row>
    <row r="3884" spans="2:4" ht="16" thickBot="1" x14ac:dyDescent="0.25">
      <c r="B3884" s="4">
        <v>3879</v>
      </c>
      <c r="C3884" s="10">
        <v>63.602310469476357</v>
      </c>
      <c r="D3884" s="42"/>
    </row>
    <row r="3885" spans="2:4" ht="16" thickBot="1" x14ac:dyDescent="0.25">
      <c r="B3885" s="5">
        <v>3880</v>
      </c>
      <c r="C3885" s="11">
        <v>411.59823307087873</v>
      </c>
      <c r="D3885" s="42"/>
    </row>
    <row r="3886" spans="2:4" ht="16" thickBot="1" x14ac:dyDescent="0.25">
      <c r="B3886" s="4">
        <v>3881</v>
      </c>
      <c r="C3886" s="10">
        <v>147.44207328171311</v>
      </c>
      <c r="D3886" s="42"/>
    </row>
    <row r="3887" spans="2:4" ht="16" thickBot="1" x14ac:dyDescent="0.25">
      <c r="B3887" s="5">
        <v>3882</v>
      </c>
      <c r="C3887" s="11">
        <v>339.71753822187003</v>
      </c>
      <c r="D3887" s="42"/>
    </row>
    <row r="3888" spans="2:4" ht="16" thickBot="1" x14ac:dyDescent="0.25">
      <c r="B3888" s="4">
        <v>3883</v>
      </c>
      <c r="C3888" s="10">
        <v>214.77518206647113</v>
      </c>
      <c r="D3888" s="42"/>
    </row>
    <row r="3889" spans="2:4" ht="16" thickBot="1" x14ac:dyDescent="0.25">
      <c r="B3889" s="5">
        <v>3884</v>
      </c>
      <c r="C3889" s="11">
        <v>151.34078560602876</v>
      </c>
      <c r="D3889" s="42"/>
    </row>
    <row r="3890" spans="2:4" ht="16" thickBot="1" x14ac:dyDescent="0.25">
      <c r="B3890" s="4">
        <v>3885</v>
      </c>
      <c r="C3890" s="10">
        <v>188.91821138223438</v>
      </c>
      <c r="D3890" s="42"/>
    </row>
    <row r="3891" spans="2:4" ht="16" thickBot="1" x14ac:dyDescent="0.25">
      <c r="B3891" s="5">
        <v>3886</v>
      </c>
      <c r="C3891" s="11">
        <v>512.3547577127963</v>
      </c>
      <c r="D3891" s="42"/>
    </row>
    <row r="3892" spans="2:4" ht="16" thickBot="1" x14ac:dyDescent="0.25">
      <c r="B3892" s="4">
        <v>3887</v>
      </c>
      <c r="C3892" s="10">
        <v>104.9507798772507</v>
      </c>
      <c r="D3892" s="42"/>
    </row>
    <row r="3893" spans="2:4" ht="16" thickBot="1" x14ac:dyDescent="0.25">
      <c r="B3893" s="5">
        <v>3888</v>
      </c>
      <c r="C3893" s="11">
        <v>94.846816678537024</v>
      </c>
      <c r="D3893" s="42"/>
    </row>
    <row r="3894" spans="2:4" ht="16" thickBot="1" x14ac:dyDescent="0.25">
      <c r="B3894" s="4">
        <v>3889</v>
      </c>
      <c r="C3894" s="10">
        <v>209.18367174687754</v>
      </c>
      <c r="D3894" s="42"/>
    </row>
    <row r="3895" spans="2:4" ht="16" thickBot="1" x14ac:dyDescent="0.25">
      <c r="B3895" s="5">
        <v>3890</v>
      </c>
      <c r="C3895" s="11">
        <v>228.2632181743208</v>
      </c>
      <c r="D3895" s="42"/>
    </row>
    <row r="3896" spans="2:4" ht="16" thickBot="1" x14ac:dyDescent="0.25">
      <c r="B3896" s="4">
        <v>3891</v>
      </c>
      <c r="C3896" s="10">
        <v>25.074972115300497</v>
      </c>
      <c r="D3896" s="42"/>
    </row>
    <row r="3897" spans="2:4" ht="16" thickBot="1" x14ac:dyDescent="0.25">
      <c r="B3897" s="5">
        <v>3892</v>
      </c>
      <c r="C3897" s="11">
        <v>171.12025132991349</v>
      </c>
      <c r="D3897" s="42"/>
    </row>
    <row r="3898" spans="2:4" ht="16" thickBot="1" x14ac:dyDescent="0.25">
      <c r="B3898" s="4">
        <v>3893</v>
      </c>
      <c r="C3898" s="10">
        <v>763.09561701165524</v>
      </c>
      <c r="D3898" s="42"/>
    </row>
    <row r="3899" spans="2:4" ht="16" thickBot="1" x14ac:dyDescent="0.25">
      <c r="B3899" s="5">
        <v>3894</v>
      </c>
      <c r="C3899" s="11">
        <v>127.87968534586847</v>
      </c>
      <c r="D3899" s="42"/>
    </row>
    <row r="3900" spans="2:4" ht="16" thickBot="1" x14ac:dyDescent="0.25">
      <c r="B3900" s="4">
        <v>3895</v>
      </c>
      <c r="C3900" s="10">
        <v>381.33395129067577</v>
      </c>
      <c r="D3900" s="42"/>
    </row>
    <row r="3901" spans="2:4" ht="16" thickBot="1" x14ac:dyDescent="0.25">
      <c r="B3901" s="5">
        <v>3896</v>
      </c>
      <c r="C3901" s="11">
        <v>255.38863034453132</v>
      </c>
      <c r="D3901" s="42"/>
    </row>
    <row r="3902" spans="2:4" ht="16" thickBot="1" x14ac:dyDescent="0.25">
      <c r="B3902" s="4">
        <v>3897</v>
      </c>
      <c r="C3902" s="10">
        <v>196.80939338336034</v>
      </c>
      <c r="D3902" s="42"/>
    </row>
    <row r="3903" spans="2:4" ht="16" thickBot="1" x14ac:dyDescent="0.25">
      <c r="B3903" s="5">
        <v>3898</v>
      </c>
      <c r="C3903" s="11">
        <v>201.02505893859782</v>
      </c>
      <c r="D3903" s="42"/>
    </row>
    <row r="3904" spans="2:4" ht="16" thickBot="1" x14ac:dyDescent="0.25">
      <c r="B3904" s="4">
        <v>3899</v>
      </c>
      <c r="C3904" s="10">
        <v>172.70204129586901</v>
      </c>
      <c r="D3904" s="42"/>
    </row>
    <row r="3905" spans="2:4" ht="16" thickBot="1" x14ac:dyDescent="0.25">
      <c r="B3905" s="5">
        <v>3900</v>
      </c>
      <c r="C3905" s="11">
        <v>71.228237084082849</v>
      </c>
      <c r="D3905" s="42"/>
    </row>
    <row r="3906" spans="2:4" ht="16" thickBot="1" x14ac:dyDescent="0.25">
      <c r="B3906" s="4">
        <v>3901</v>
      </c>
      <c r="C3906" s="10">
        <v>738.85479889089208</v>
      </c>
      <c r="D3906" s="42"/>
    </row>
    <row r="3907" spans="2:4" ht="16" thickBot="1" x14ac:dyDescent="0.25">
      <c r="B3907" s="5">
        <v>3902</v>
      </c>
      <c r="C3907" s="11">
        <v>327.88421549289137</v>
      </c>
      <c r="D3907" s="42"/>
    </row>
    <row r="3908" spans="2:4" ht="16" thickBot="1" x14ac:dyDescent="0.25">
      <c r="B3908" s="4">
        <v>3903</v>
      </c>
      <c r="C3908" s="10">
        <v>303.59196491939173</v>
      </c>
      <c r="D3908" s="42"/>
    </row>
    <row r="3909" spans="2:4" ht="16" thickBot="1" x14ac:dyDescent="0.25">
      <c r="B3909" s="5">
        <v>3904</v>
      </c>
      <c r="C3909" s="11">
        <v>213.00151814953972</v>
      </c>
      <c r="D3909" s="42"/>
    </row>
    <row r="3910" spans="2:4" ht="16" thickBot="1" x14ac:dyDescent="0.25">
      <c r="B3910" s="4">
        <v>3905</v>
      </c>
      <c r="C3910" s="10">
        <v>130.53599276667757</v>
      </c>
      <c r="D3910" s="42"/>
    </row>
    <row r="3911" spans="2:4" ht="16" thickBot="1" x14ac:dyDescent="0.25">
      <c r="B3911" s="5">
        <v>3906</v>
      </c>
      <c r="C3911" s="11">
        <v>305.64713736140192</v>
      </c>
      <c r="D3911" s="42"/>
    </row>
    <row r="3912" spans="2:4" ht="16" thickBot="1" x14ac:dyDescent="0.25">
      <c r="B3912" s="4">
        <v>3907</v>
      </c>
      <c r="C3912" s="10">
        <v>295.21942728419776</v>
      </c>
      <c r="D3912" s="42"/>
    </row>
    <row r="3913" spans="2:4" ht="16" thickBot="1" x14ac:dyDescent="0.25">
      <c r="B3913" s="5">
        <v>3908</v>
      </c>
      <c r="C3913" s="11">
        <v>75.398657482885881</v>
      </c>
      <c r="D3913" s="42"/>
    </row>
    <row r="3914" spans="2:4" ht="16" thickBot="1" x14ac:dyDescent="0.25">
      <c r="B3914" s="4">
        <v>3909</v>
      </c>
      <c r="C3914" s="10">
        <v>219.69264974580952</v>
      </c>
      <c r="D3914" s="42"/>
    </row>
    <row r="3915" spans="2:4" ht="16" thickBot="1" x14ac:dyDescent="0.25">
      <c r="B3915" s="5">
        <v>3910</v>
      </c>
      <c r="C3915" s="11">
        <v>334.07124385957769</v>
      </c>
      <c r="D3915" s="42"/>
    </row>
    <row r="3916" spans="2:4" ht="16" thickBot="1" x14ac:dyDescent="0.25">
      <c r="B3916" s="4">
        <v>3911</v>
      </c>
      <c r="C3916" s="10">
        <v>155.80381041388091</v>
      </c>
      <c r="D3916" s="42"/>
    </row>
    <row r="3917" spans="2:4" ht="16" thickBot="1" x14ac:dyDescent="0.25">
      <c r="B3917" s="5">
        <v>3912</v>
      </c>
      <c r="C3917" s="11">
        <v>117.89116309922353</v>
      </c>
      <c r="D3917" s="42"/>
    </row>
    <row r="3918" spans="2:4" ht="16" thickBot="1" x14ac:dyDescent="0.25">
      <c r="B3918" s="4">
        <v>3913</v>
      </c>
      <c r="C3918" s="10">
        <v>182.91259737517433</v>
      </c>
      <c r="D3918" s="42"/>
    </row>
    <row r="3919" spans="2:4" ht="16" thickBot="1" x14ac:dyDescent="0.25">
      <c r="B3919" s="5">
        <v>3914</v>
      </c>
      <c r="C3919" s="11">
        <v>238.60319906520971</v>
      </c>
      <c r="D3919" s="42"/>
    </row>
    <row r="3920" spans="2:4" ht="16" thickBot="1" x14ac:dyDescent="0.25">
      <c r="B3920" s="4">
        <v>3915</v>
      </c>
      <c r="C3920" s="10">
        <v>260.19140945510134</v>
      </c>
      <c r="D3920" s="42"/>
    </row>
    <row r="3921" spans="2:4" ht="16" thickBot="1" x14ac:dyDescent="0.25">
      <c r="B3921" s="5">
        <v>3916</v>
      </c>
      <c r="C3921" s="11">
        <v>485.52110011955625</v>
      </c>
      <c r="D3921" s="42"/>
    </row>
    <row r="3922" spans="2:4" ht="16" thickBot="1" x14ac:dyDescent="0.25">
      <c r="B3922" s="4">
        <v>3917</v>
      </c>
      <c r="C3922" s="10">
        <v>378.15031303609021</v>
      </c>
      <c r="D3922" s="42"/>
    </row>
    <row r="3923" spans="2:4" ht="16" thickBot="1" x14ac:dyDescent="0.25">
      <c r="B3923" s="5">
        <v>3918</v>
      </c>
      <c r="C3923" s="11">
        <v>365.98396282664294</v>
      </c>
      <c r="D3923" s="42"/>
    </row>
    <row r="3924" spans="2:4" ht="16" thickBot="1" x14ac:dyDescent="0.25">
      <c r="B3924" s="4">
        <v>3919</v>
      </c>
      <c r="C3924" s="10">
        <v>338.12735071936447</v>
      </c>
      <c r="D3924" s="42"/>
    </row>
    <row r="3925" spans="2:4" ht="16" thickBot="1" x14ac:dyDescent="0.25">
      <c r="B3925" s="5">
        <v>3920</v>
      </c>
      <c r="C3925" s="11">
        <v>368.53879958343839</v>
      </c>
      <c r="D3925" s="42"/>
    </row>
    <row r="3926" spans="2:4" ht="16" thickBot="1" x14ac:dyDescent="0.25">
      <c r="B3926" s="4">
        <v>3921</v>
      </c>
      <c r="C3926" s="10">
        <v>550.05752911250011</v>
      </c>
      <c r="D3926" s="42"/>
    </row>
    <row r="3927" spans="2:4" ht="16" thickBot="1" x14ac:dyDescent="0.25">
      <c r="B3927" s="5">
        <v>3922</v>
      </c>
      <c r="C3927" s="11">
        <v>249.22606115324302</v>
      </c>
      <c r="D3927" s="42"/>
    </row>
    <row r="3928" spans="2:4" ht="16" thickBot="1" x14ac:dyDescent="0.25">
      <c r="B3928" s="4">
        <v>3923</v>
      </c>
      <c r="C3928" s="10">
        <v>377.60013759663411</v>
      </c>
      <c r="D3928" s="42"/>
    </row>
    <row r="3929" spans="2:4" ht="16" thickBot="1" x14ac:dyDescent="0.25">
      <c r="B3929" s="5">
        <v>3924</v>
      </c>
      <c r="C3929" s="11">
        <v>273.30725392817681</v>
      </c>
      <c r="D3929" s="42"/>
    </row>
    <row r="3930" spans="2:4" ht="16" thickBot="1" x14ac:dyDescent="0.25">
      <c r="B3930" s="4">
        <v>3925</v>
      </c>
      <c r="C3930" s="10">
        <v>139.7629062022437</v>
      </c>
      <c r="D3930" s="42"/>
    </row>
    <row r="3931" spans="2:4" ht="16" thickBot="1" x14ac:dyDescent="0.25">
      <c r="B3931" s="5">
        <v>3926</v>
      </c>
      <c r="C3931" s="11">
        <v>166.2783790090059</v>
      </c>
      <c r="D3931" s="42"/>
    </row>
    <row r="3932" spans="2:4" ht="16" thickBot="1" x14ac:dyDescent="0.25">
      <c r="B3932" s="4">
        <v>3927</v>
      </c>
      <c r="C3932" s="10">
        <v>420.45296660614747</v>
      </c>
      <c r="D3932" s="42"/>
    </row>
    <row r="3933" spans="2:4" ht="16" thickBot="1" x14ac:dyDescent="0.25">
      <c r="B3933" s="5">
        <v>3928</v>
      </c>
      <c r="C3933" s="11">
        <v>392.03130135304195</v>
      </c>
      <c r="D3933" s="42"/>
    </row>
    <row r="3934" spans="2:4" ht="16" thickBot="1" x14ac:dyDescent="0.25">
      <c r="B3934" s="4">
        <v>3929</v>
      </c>
      <c r="C3934" s="10">
        <v>520.50575375139817</v>
      </c>
      <c r="D3934" s="42"/>
    </row>
    <row r="3935" spans="2:4" ht="16" thickBot="1" x14ac:dyDescent="0.25">
      <c r="B3935" s="5">
        <v>3930</v>
      </c>
      <c r="C3935" s="11">
        <v>401.23009953380904</v>
      </c>
      <c r="D3935" s="42"/>
    </row>
    <row r="3936" spans="2:4" ht="16" thickBot="1" x14ac:dyDescent="0.25">
      <c r="B3936" s="4">
        <v>3931</v>
      </c>
      <c r="C3936" s="10">
        <v>121.86270954688524</v>
      </c>
      <c r="D3936" s="42"/>
    </row>
    <row r="3937" spans="2:4" ht="16" thickBot="1" x14ac:dyDescent="0.25">
      <c r="B3937" s="5">
        <v>3932</v>
      </c>
      <c r="C3937" s="11">
        <v>252.06099537374925</v>
      </c>
      <c r="D3937" s="42"/>
    </row>
    <row r="3938" spans="2:4" ht="16" thickBot="1" x14ac:dyDescent="0.25">
      <c r="B3938" s="4">
        <v>3933</v>
      </c>
      <c r="C3938" s="10">
        <v>335.41254807901993</v>
      </c>
      <c r="D3938" s="42"/>
    </row>
    <row r="3939" spans="2:4" ht="16" thickBot="1" x14ac:dyDescent="0.25">
      <c r="B3939" s="5">
        <v>3934</v>
      </c>
      <c r="C3939" s="11">
        <v>101.26058868600353</v>
      </c>
      <c r="D3939" s="42"/>
    </row>
    <row r="3940" spans="2:4" ht="16" thickBot="1" x14ac:dyDescent="0.25">
      <c r="B3940" s="4">
        <v>3935</v>
      </c>
      <c r="C3940" s="10">
        <v>107.56046089752897</v>
      </c>
      <c r="D3940" s="42"/>
    </row>
    <row r="3941" spans="2:4" ht="16" thickBot="1" x14ac:dyDescent="0.25">
      <c r="B3941" s="5">
        <v>3936</v>
      </c>
      <c r="C3941" s="11">
        <v>243.37932155225536</v>
      </c>
      <c r="D3941" s="42"/>
    </row>
    <row r="3942" spans="2:4" ht="16" thickBot="1" x14ac:dyDescent="0.25">
      <c r="B3942" s="4">
        <v>3937</v>
      </c>
      <c r="C3942" s="10">
        <v>291.95586810753417</v>
      </c>
      <c r="D3942" s="42"/>
    </row>
    <row r="3943" spans="2:4" ht="16" thickBot="1" x14ac:dyDescent="0.25">
      <c r="B3943" s="5">
        <v>3938</v>
      </c>
      <c r="C3943" s="11">
        <v>162.18048057796946</v>
      </c>
      <c r="D3943" s="42"/>
    </row>
    <row r="3944" spans="2:4" ht="16" thickBot="1" x14ac:dyDescent="0.25">
      <c r="B3944" s="4">
        <v>3939</v>
      </c>
      <c r="C3944" s="10">
        <v>176.60177927924522</v>
      </c>
      <c r="D3944" s="42"/>
    </row>
    <row r="3945" spans="2:4" ht="16" thickBot="1" x14ac:dyDescent="0.25">
      <c r="B3945" s="5">
        <v>3940</v>
      </c>
      <c r="C3945" s="11">
        <v>289.01648051831216</v>
      </c>
      <c r="D3945" s="42"/>
    </row>
    <row r="3946" spans="2:4" ht="16" thickBot="1" x14ac:dyDescent="0.25">
      <c r="B3946" s="4">
        <v>3941</v>
      </c>
      <c r="C3946" s="10">
        <v>104.61072452067093</v>
      </c>
      <c r="D3946" s="42"/>
    </row>
    <row r="3947" spans="2:4" ht="16" thickBot="1" x14ac:dyDescent="0.25">
      <c r="B3947" s="5">
        <v>3942</v>
      </c>
      <c r="C3947" s="11">
        <v>347.45571212119296</v>
      </c>
      <c r="D3947" s="42"/>
    </row>
    <row r="3948" spans="2:4" ht="16" thickBot="1" x14ac:dyDescent="0.25">
      <c r="B3948" s="4">
        <v>3943</v>
      </c>
      <c r="C3948" s="10">
        <v>399.14753464235946</v>
      </c>
      <c r="D3948" s="42"/>
    </row>
    <row r="3949" spans="2:4" ht="16" thickBot="1" x14ac:dyDescent="0.25">
      <c r="B3949" s="5">
        <v>3944</v>
      </c>
      <c r="C3949" s="11">
        <v>136.38399579667461</v>
      </c>
      <c r="D3949" s="42"/>
    </row>
    <row r="3950" spans="2:4" ht="16" thickBot="1" x14ac:dyDescent="0.25">
      <c r="B3950" s="4">
        <v>3945</v>
      </c>
      <c r="C3950" s="10">
        <v>523.26771725540732</v>
      </c>
      <c r="D3950" s="42"/>
    </row>
    <row r="3951" spans="2:4" ht="16" thickBot="1" x14ac:dyDescent="0.25">
      <c r="B3951" s="5">
        <v>3946</v>
      </c>
      <c r="C3951" s="11">
        <v>246.06455632558138</v>
      </c>
      <c r="D3951" s="42"/>
    </row>
    <row r="3952" spans="2:4" ht="16" thickBot="1" x14ac:dyDescent="0.25">
      <c r="B3952" s="4">
        <v>3947</v>
      </c>
      <c r="C3952" s="10">
        <v>234.68934185835985</v>
      </c>
      <c r="D3952" s="42"/>
    </row>
    <row r="3953" spans="2:4" ht="16" thickBot="1" x14ac:dyDescent="0.25">
      <c r="B3953" s="5">
        <v>3948</v>
      </c>
      <c r="C3953" s="11">
        <v>117.22518094433312</v>
      </c>
      <c r="D3953" s="42"/>
    </row>
    <row r="3954" spans="2:4" ht="16" thickBot="1" x14ac:dyDescent="0.25">
      <c r="B3954" s="4">
        <v>3949</v>
      </c>
      <c r="C3954" s="10">
        <v>224.99557523142602</v>
      </c>
      <c r="D3954" s="42"/>
    </row>
    <row r="3955" spans="2:4" ht="16" thickBot="1" x14ac:dyDescent="0.25">
      <c r="B3955" s="5">
        <v>3950</v>
      </c>
      <c r="C3955" s="11">
        <v>337.24329860048095</v>
      </c>
      <c r="D3955" s="42"/>
    </row>
    <row r="3956" spans="2:4" ht="16" thickBot="1" x14ac:dyDescent="0.25">
      <c r="B3956" s="4">
        <v>3951</v>
      </c>
      <c r="C3956" s="10">
        <v>163.66639663536341</v>
      </c>
      <c r="D3956" s="42"/>
    </row>
    <row r="3957" spans="2:4" ht="16" thickBot="1" x14ac:dyDescent="0.25">
      <c r="B3957" s="5">
        <v>3952</v>
      </c>
      <c r="C3957" s="11">
        <v>447.91623749508329</v>
      </c>
      <c r="D3957" s="42"/>
    </row>
    <row r="3958" spans="2:4" ht="16" thickBot="1" x14ac:dyDescent="0.25">
      <c r="B3958" s="4">
        <v>3953</v>
      </c>
      <c r="C3958" s="10">
        <v>262.78395139150939</v>
      </c>
      <c r="D3958" s="42"/>
    </row>
    <row r="3959" spans="2:4" ht="16" thickBot="1" x14ac:dyDescent="0.25">
      <c r="B3959" s="5">
        <v>3954</v>
      </c>
      <c r="C3959" s="11">
        <v>181.80388620163896</v>
      </c>
      <c r="D3959" s="42"/>
    </row>
    <row r="3960" spans="2:4" ht="16" thickBot="1" x14ac:dyDescent="0.25">
      <c r="B3960" s="4">
        <v>3955</v>
      </c>
      <c r="C3960" s="10">
        <v>170.83961917871153</v>
      </c>
      <c r="D3960" s="42"/>
    </row>
    <row r="3961" spans="2:4" ht="16" thickBot="1" x14ac:dyDescent="0.25">
      <c r="B3961" s="5">
        <v>3956</v>
      </c>
      <c r="C3961" s="11">
        <v>365.47635299736316</v>
      </c>
      <c r="D3961" s="42"/>
    </row>
    <row r="3962" spans="2:4" ht="16" thickBot="1" x14ac:dyDescent="0.25">
      <c r="B3962" s="4">
        <v>3957</v>
      </c>
      <c r="C3962" s="10">
        <v>270.36668129583057</v>
      </c>
      <c r="D3962" s="42"/>
    </row>
    <row r="3963" spans="2:4" ht="16" thickBot="1" x14ac:dyDescent="0.25">
      <c r="B3963" s="5">
        <v>3958</v>
      </c>
      <c r="C3963" s="11">
        <v>293.16788228790574</v>
      </c>
      <c r="D3963" s="42"/>
    </row>
    <row r="3964" spans="2:4" ht="16" thickBot="1" x14ac:dyDescent="0.25">
      <c r="B3964" s="4">
        <v>3959</v>
      </c>
      <c r="C3964" s="10">
        <v>242.57212030081311</v>
      </c>
      <c r="D3964" s="42"/>
    </row>
    <row r="3965" spans="2:4" ht="16" thickBot="1" x14ac:dyDescent="0.25">
      <c r="B3965" s="5">
        <v>3960</v>
      </c>
      <c r="C3965" s="11">
        <v>217.02712298450024</v>
      </c>
      <c r="D3965" s="42"/>
    </row>
    <row r="3966" spans="2:4" ht="16" thickBot="1" x14ac:dyDescent="0.25">
      <c r="B3966" s="4">
        <v>3961</v>
      </c>
      <c r="C3966" s="10">
        <v>135.90266363502789</v>
      </c>
      <c r="D3966" s="42"/>
    </row>
    <row r="3967" spans="2:4" ht="16" thickBot="1" x14ac:dyDescent="0.25">
      <c r="B3967" s="5">
        <v>3962</v>
      </c>
      <c r="C3967" s="11">
        <v>193.86044138195277</v>
      </c>
      <c r="D3967" s="42"/>
    </row>
    <row r="3968" spans="2:4" ht="16" thickBot="1" x14ac:dyDescent="0.25">
      <c r="B3968" s="4">
        <v>3963</v>
      </c>
      <c r="C3968" s="10">
        <v>103.41058835066789</v>
      </c>
      <c r="D3968" s="42"/>
    </row>
    <row r="3969" spans="2:4" ht="16" thickBot="1" x14ac:dyDescent="0.25">
      <c r="B3969" s="5">
        <v>3964</v>
      </c>
      <c r="C3969" s="11">
        <v>378.17198147826014</v>
      </c>
      <c r="D3969" s="42"/>
    </row>
    <row r="3970" spans="2:4" ht="16" thickBot="1" x14ac:dyDescent="0.25">
      <c r="B3970" s="4">
        <v>3965</v>
      </c>
      <c r="C3970" s="10">
        <v>120.29744682661521</v>
      </c>
      <c r="D3970" s="42"/>
    </row>
    <row r="3971" spans="2:4" ht="16" thickBot="1" x14ac:dyDescent="0.25">
      <c r="B3971" s="5">
        <v>3966</v>
      </c>
      <c r="C3971" s="11">
        <v>74.432374971107208</v>
      </c>
      <c r="D3971" s="42"/>
    </row>
    <row r="3972" spans="2:4" ht="16" thickBot="1" x14ac:dyDescent="0.25">
      <c r="B3972" s="4">
        <v>3967</v>
      </c>
      <c r="C3972" s="10">
        <v>299.14242200043827</v>
      </c>
      <c r="D3972" s="42"/>
    </row>
    <row r="3973" spans="2:4" ht="16" thickBot="1" x14ac:dyDescent="0.25">
      <c r="B3973" s="5">
        <v>3968</v>
      </c>
      <c r="C3973" s="11">
        <v>609.38714010804335</v>
      </c>
      <c r="D3973" s="42"/>
    </row>
    <row r="3974" spans="2:4" ht="16" thickBot="1" x14ac:dyDescent="0.25">
      <c r="B3974" s="4">
        <v>3969</v>
      </c>
      <c r="C3974" s="10">
        <v>182.89500582315065</v>
      </c>
      <c r="D3974" s="42"/>
    </row>
    <row r="3975" spans="2:4" ht="16" thickBot="1" x14ac:dyDescent="0.25">
      <c r="B3975" s="5">
        <v>3970</v>
      </c>
      <c r="C3975" s="11">
        <v>201.9121395966458</v>
      </c>
      <c r="D3975" s="42"/>
    </row>
    <row r="3976" spans="2:4" ht="16" thickBot="1" x14ac:dyDescent="0.25">
      <c r="B3976" s="4">
        <v>3971</v>
      </c>
      <c r="C3976" s="10">
        <v>328.4869653745456</v>
      </c>
      <c r="D3976" s="42"/>
    </row>
    <row r="3977" spans="2:4" ht="16" thickBot="1" x14ac:dyDescent="0.25">
      <c r="B3977" s="5">
        <v>3972</v>
      </c>
      <c r="C3977" s="11">
        <v>538.57525607280775</v>
      </c>
      <c r="D3977" s="42"/>
    </row>
    <row r="3978" spans="2:4" ht="16" thickBot="1" x14ac:dyDescent="0.25">
      <c r="B3978" s="4">
        <v>3973</v>
      </c>
      <c r="C3978" s="10">
        <v>187.01973828540932</v>
      </c>
      <c r="D3978" s="42"/>
    </row>
    <row r="3979" spans="2:4" ht="16" thickBot="1" x14ac:dyDescent="0.25">
      <c r="B3979" s="5">
        <v>3974</v>
      </c>
      <c r="C3979" s="11">
        <v>335.14660439935324</v>
      </c>
      <c r="D3979" s="42"/>
    </row>
    <row r="3980" spans="2:4" ht="16" thickBot="1" x14ac:dyDescent="0.25">
      <c r="B3980" s="4">
        <v>3975</v>
      </c>
      <c r="C3980" s="10">
        <v>141.25959083497483</v>
      </c>
      <c r="D3980" s="42"/>
    </row>
    <row r="3981" spans="2:4" ht="16" thickBot="1" x14ac:dyDescent="0.25">
      <c r="B3981" s="5">
        <v>3976</v>
      </c>
      <c r="C3981" s="11">
        <v>377.65749264538442</v>
      </c>
      <c r="D3981" s="42"/>
    </row>
    <row r="3982" spans="2:4" ht="16" thickBot="1" x14ac:dyDescent="0.25">
      <c r="B3982" s="4">
        <v>3977</v>
      </c>
      <c r="C3982" s="10">
        <v>250.60108650108762</v>
      </c>
      <c r="D3982" s="42"/>
    </row>
    <row r="3983" spans="2:4" ht="16" thickBot="1" x14ac:dyDescent="0.25">
      <c r="B3983" s="5">
        <v>3978</v>
      </c>
      <c r="C3983" s="11">
        <v>455.13190356371967</v>
      </c>
      <c r="D3983" s="42"/>
    </row>
    <row r="3984" spans="2:4" ht="16" thickBot="1" x14ac:dyDescent="0.25">
      <c r="B3984" s="4">
        <v>3979</v>
      </c>
      <c r="C3984" s="10">
        <v>392.94818733891913</v>
      </c>
      <c r="D3984" s="42"/>
    </row>
    <row r="3985" spans="2:4" ht="16" thickBot="1" x14ac:dyDescent="0.25">
      <c r="B3985" s="5">
        <v>3980</v>
      </c>
      <c r="C3985" s="11">
        <v>272.30333500746872</v>
      </c>
      <c r="D3985" s="42"/>
    </row>
    <row r="3986" spans="2:4" ht="16" thickBot="1" x14ac:dyDescent="0.25">
      <c r="B3986" s="4">
        <v>3981</v>
      </c>
      <c r="C3986" s="10">
        <v>238.540778664925</v>
      </c>
      <c r="D3986" s="42"/>
    </row>
    <row r="3987" spans="2:4" ht="16" thickBot="1" x14ac:dyDescent="0.25">
      <c r="B3987" s="5">
        <v>3982</v>
      </c>
      <c r="C3987" s="11">
        <v>298.2914597759285</v>
      </c>
      <c r="D3987" s="42"/>
    </row>
    <row r="3988" spans="2:4" ht="16" thickBot="1" x14ac:dyDescent="0.25">
      <c r="B3988" s="4">
        <v>3983</v>
      </c>
      <c r="C3988" s="10">
        <v>372.38938441555712</v>
      </c>
      <c r="D3988" s="42"/>
    </row>
    <row r="3989" spans="2:4" ht="16" thickBot="1" x14ac:dyDescent="0.25">
      <c r="B3989" s="5">
        <v>3984</v>
      </c>
      <c r="C3989" s="11">
        <v>267.89449156200885</v>
      </c>
      <c r="D3989" s="42"/>
    </row>
    <row r="3990" spans="2:4" ht="16" thickBot="1" x14ac:dyDescent="0.25">
      <c r="B3990" s="4">
        <v>3985</v>
      </c>
      <c r="C3990" s="10">
        <v>223.16354808412001</v>
      </c>
      <c r="D3990" s="42"/>
    </row>
    <row r="3991" spans="2:4" ht="16" thickBot="1" x14ac:dyDescent="0.25">
      <c r="B3991" s="5">
        <v>3986</v>
      </c>
      <c r="C3991" s="11">
        <v>268.1217305622182</v>
      </c>
      <c r="D3991" s="42"/>
    </row>
    <row r="3992" spans="2:4" ht="16" thickBot="1" x14ac:dyDescent="0.25">
      <c r="B3992" s="4">
        <v>3987</v>
      </c>
      <c r="C3992" s="10">
        <v>454.75693234409511</v>
      </c>
      <c r="D3992" s="42"/>
    </row>
    <row r="3993" spans="2:4" ht="16" thickBot="1" x14ac:dyDescent="0.25">
      <c r="B3993" s="5">
        <v>3988</v>
      </c>
      <c r="C3993" s="11">
        <v>125.41898192135214</v>
      </c>
      <c r="D3993" s="42"/>
    </row>
    <row r="3994" spans="2:4" ht="16" thickBot="1" x14ac:dyDescent="0.25">
      <c r="B3994" s="4">
        <v>3989</v>
      </c>
      <c r="C3994" s="10">
        <v>392.55465663972973</v>
      </c>
      <c r="D3994" s="42"/>
    </row>
    <row r="3995" spans="2:4" ht="16" thickBot="1" x14ac:dyDescent="0.25">
      <c r="B3995" s="5">
        <v>3990</v>
      </c>
      <c r="C3995" s="11">
        <v>203.19561567593652</v>
      </c>
      <c r="D3995" s="42"/>
    </row>
    <row r="3996" spans="2:4" ht="16" thickBot="1" x14ac:dyDescent="0.25">
      <c r="B3996" s="4">
        <v>3991</v>
      </c>
      <c r="C3996" s="10">
        <v>182.71220513169413</v>
      </c>
      <c r="D3996" s="42"/>
    </row>
    <row r="3997" spans="2:4" ht="16" thickBot="1" x14ac:dyDescent="0.25">
      <c r="B3997" s="5">
        <v>3992</v>
      </c>
      <c r="C3997" s="11">
        <v>449.10836024390301</v>
      </c>
      <c r="D3997" s="42"/>
    </row>
    <row r="3998" spans="2:4" ht="16" thickBot="1" x14ac:dyDescent="0.25">
      <c r="B3998" s="4">
        <v>3993</v>
      </c>
      <c r="C3998" s="10">
        <v>368.01977241606369</v>
      </c>
      <c r="D3998" s="42"/>
    </row>
    <row r="3999" spans="2:4" ht="16" thickBot="1" x14ac:dyDescent="0.25">
      <c r="B3999" s="5">
        <v>3994</v>
      </c>
      <c r="C3999" s="11">
        <v>394.09926929383471</v>
      </c>
      <c r="D3999" s="42"/>
    </row>
    <row r="4000" spans="2:4" ht="16" thickBot="1" x14ac:dyDescent="0.25">
      <c r="B4000" s="4">
        <v>3995</v>
      </c>
      <c r="C4000" s="10">
        <v>287.91360829886122</v>
      </c>
      <c r="D4000" s="42"/>
    </row>
    <row r="4001" spans="2:4" ht="16" thickBot="1" x14ac:dyDescent="0.25">
      <c r="B4001" s="5">
        <v>3996</v>
      </c>
      <c r="C4001" s="11">
        <v>310.79586641762427</v>
      </c>
      <c r="D4001" s="42"/>
    </row>
    <row r="4002" spans="2:4" ht="16" thickBot="1" x14ac:dyDescent="0.25">
      <c r="B4002" s="4">
        <v>3997</v>
      </c>
      <c r="C4002" s="10">
        <v>695.89938379666842</v>
      </c>
      <c r="D4002" s="42"/>
    </row>
    <row r="4003" spans="2:4" ht="16" thickBot="1" x14ac:dyDescent="0.25">
      <c r="B4003" s="5">
        <v>3998</v>
      </c>
      <c r="C4003" s="11">
        <v>193.81910247248541</v>
      </c>
      <c r="D4003" s="42"/>
    </row>
    <row r="4004" spans="2:4" ht="16" thickBot="1" x14ac:dyDescent="0.25">
      <c r="B4004" s="4">
        <v>3999</v>
      </c>
      <c r="C4004" s="10">
        <v>633.85802890256946</v>
      </c>
      <c r="D4004" s="42"/>
    </row>
    <row r="4005" spans="2:4" ht="16" thickBot="1" x14ac:dyDescent="0.25">
      <c r="B4005" s="5">
        <v>4000</v>
      </c>
      <c r="C4005" s="11">
        <v>147.02072025757315</v>
      </c>
      <c r="D4005" s="42"/>
    </row>
    <row r="4006" spans="2:4" ht="16" thickBot="1" x14ac:dyDescent="0.25">
      <c r="B4006" s="4">
        <v>4001</v>
      </c>
      <c r="C4006" s="10">
        <v>88.912166208218551</v>
      </c>
      <c r="D4006" s="42"/>
    </row>
    <row r="4007" spans="2:4" ht="16" thickBot="1" x14ac:dyDescent="0.25">
      <c r="B4007" s="5">
        <v>4002</v>
      </c>
      <c r="C4007" s="11">
        <v>607.94514349028702</v>
      </c>
      <c r="D4007" s="42"/>
    </row>
    <row r="4008" spans="2:4" ht="16" thickBot="1" x14ac:dyDescent="0.25">
      <c r="B4008" s="4">
        <v>4003</v>
      </c>
      <c r="C4008" s="10">
        <v>273.10887247370653</v>
      </c>
      <c r="D4008" s="42"/>
    </row>
    <row r="4009" spans="2:4" ht="16" thickBot="1" x14ac:dyDescent="0.25">
      <c r="B4009" s="5">
        <v>4004</v>
      </c>
      <c r="C4009" s="11">
        <v>516.20854454882874</v>
      </c>
      <c r="D4009" s="42"/>
    </row>
    <row r="4010" spans="2:4" ht="16" thickBot="1" x14ac:dyDescent="0.25">
      <c r="B4010" s="4">
        <v>4005</v>
      </c>
      <c r="C4010" s="10">
        <v>141.3089997253995</v>
      </c>
      <c r="D4010" s="42"/>
    </row>
    <row r="4011" spans="2:4" ht="16" thickBot="1" x14ac:dyDescent="0.25">
      <c r="B4011" s="5">
        <v>4006</v>
      </c>
      <c r="C4011" s="11">
        <v>613.53940724878817</v>
      </c>
      <c r="D4011" s="42"/>
    </row>
    <row r="4012" spans="2:4" ht="16" thickBot="1" x14ac:dyDescent="0.25">
      <c r="B4012" s="4">
        <v>4007</v>
      </c>
      <c r="C4012" s="10">
        <v>173.10284935353201</v>
      </c>
      <c r="D4012" s="42"/>
    </row>
    <row r="4013" spans="2:4" ht="16" thickBot="1" x14ac:dyDescent="0.25">
      <c r="B4013" s="5">
        <v>4008</v>
      </c>
      <c r="C4013" s="11">
        <v>304.16095967560113</v>
      </c>
      <c r="D4013" s="42"/>
    </row>
    <row r="4014" spans="2:4" ht="16" thickBot="1" x14ac:dyDescent="0.25">
      <c r="B4014" s="4">
        <v>4009</v>
      </c>
      <c r="C4014" s="10">
        <v>134.03084323852653</v>
      </c>
      <c r="D4014" s="42"/>
    </row>
    <row r="4015" spans="2:4" ht="16" thickBot="1" x14ac:dyDescent="0.25">
      <c r="B4015" s="5">
        <v>4010</v>
      </c>
      <c r="C4015" s="11">
        <v>250.19899291574671</v>
      </c>
      <c r="D4015" s="42"/>
    </row>
    <row r="4016" spans="2:4" ht="16" thickBot="1" x14ac:dyDescent="0.25">
      <c r="B4016" s="4">
        <v>4011</v>
      </c>
      <c r="C4016" s="10">
        <v>129.8115323330658</v>
      </c>
      <c r="D4016" s="42"/>
    </row>
    <row r="4017" spans="2:4" ht="16" thickBot="1" x14ac:dyDescent="0.25">
      <c r="B4017" s="5">
        <v>4012</v>
      </c>
      <c r="C4017" s="11">
        <v>295.78203995938492</v>
      </c>
      <c r="D4017" s="42"/>
    </row>
    <row r="4018" spans="2:4" ht="16" thickBot="1" x14ac:dyDescent="0.25">
      <c r="B4018" s="4">
        <v>4013</v>
      </c>
      <c r="C4018" s="10">
        <v>307.42131574838157</v>
      </c>
      <c r="D4018" s="42"/>
    </row>
    <row r="4019" spans="2:4" ht="16" thickBot="1" x14ac:dyDescent="0.25">
      <c r="B4019" s="5">
        <v>4014</v>
      </c>
      <c r="C4019" s="11">
        <v>753.23503228838115</v>
      </c>
      <c r="D4019" s="42"/>
    </row>
    <row r="4020" spans="2:4" ht="16" thickBot="1" x14ac:dyDescent="0.25">
      <c r="B4020" s="4">
        <v>4015</v>
      </c>
      <c r="C4020" s="10">
        <v>413.14079800897741</v>
      </c>
      <c r="D4020" s="42"/>
    </row>
    <row r="4021" spans="2:4" ht="16" thickBot="1" x14ac:dyDescent="0.25">
      <c r="B4021" s="5">
        <v>4016</v>
      </c>
      <c r="C4021" s="11">
        <v>235.99018088536442</v>
      </c>
      <c r="D4021" s="42"/>
    </row>
    <row r="4022" spans="2:4" ht="16" thickBot="1" x14ac:dyDescent="0.25">
      <c r="B4022" s="4">
        <v>4017</v>
      </c>
      <c r="C4022" s="10">
        <v>295.24363767173497</v>
      </c>
      <c r="D4022" s="42"/>
    </row>
    <row r="4023" spans="2:4" ht="16" thickBot="1" x14ac:dyDescent="0.25">
      <c r="B4023" s="5">
        <v>4018</v>
      </c>
      <c r="C4023" s="11">
        <v>241.41012050332367</v>
      </c>
      <c r="D4023" s="42"/>
    </row>
    <row r="4024" spans="2:4" ht="16" thickBot="1" x14ac:dyDescent="0.25">
      <c r="B4024" s="4">
        <v>4019</v>
      </c>
      <c r="C4024" s="10">
        <v>116.45597959141178</v>
      </c>
      <c r="D4024" s="42"/>
    </row>
    <row r="4025" spans="2:4" ht="16" thickBot="1" x14ac:dyDescent="0.25">
      <c r="B4025" s="5">
        <v>4020</v>
      </c>
      <c r="C4025" s="11">
        <v>209.12367855859102</v>
      </c>
      <c r="D4025" s="42"/>
    </row>
    <row r="4026" spans="2:4" ht="16" thickBot="1" x14ac:dyDescent="0.25">
      <c r="B4026" s="4">
        <v>4021</v>
      </c>
      <c r="C4026" s="10">
        <v>168.71470087451442</v>
      </c>
      <c r="D4026" s="42"/>
    </row>
    <row r="4027" spans="2:4" ht="16" thickBot="1" x14ac:dyDescent="0.25">
      <c r="B4027" s="5">
        <v>4022</v>
      </c>
      <c r="C4027" s="11">
        <v>223.30892523978247</v>
      </c>
      <c r="D4027" s="42"/>
    </row>
    <row r="4028" spans="2:4" ht="16" thickBot="1" x14ac:dyDescent="0.25">
      <c r="B4028" s="4">
        <v>4023</v>
      </c>
      <c r="C4028" s="10">
        <v>364.74179172527204</v>
      </c>
      <c r="D4028" s="42"/>
    </row>
    <row r="4029" spans="2:4" ht="16" thickBot="1" x14ac:dyDescent="0.25">
      <c r="B4029" s="5">
        <v>4024</v>
      </c>
      <c r="C4029" s="11">
        <v>179.6906525483121</v>
      </c>
      <c r="D4029" s="42"/>
    </row>
    <row r="4030" spans="2:4" ht="16" thickBot="1" x14ac:dyDescent="0.25">
      <c r="B4030" s="4">
        <v>4025</v>
      </c>
      <c r="C4030" s="10">
        <v>148.30189137873202</v>
      </c>
      <c r="D4030" s="42"/>
    </row>
    <row r="4031" spans="2:4" ht="16" thickBot="1" x14ac:dyDescent="0.25">
      <c r="B4031" s="5">
        <v>4026</v>
      </c>
      <c r="C4031" s="11">
        <v>771.23444581020306</v>
      </c>
      <c r="D4031" s="42"/>
    </row>
    <row r="4032" spans="2:4" ht="16" thickBot="1" x14ac:dyDescent="0.25">
      <c r="B4032" s="4">
        <v>4027</v>
      </c>
      <c r="C4032" s="10">
        <v>108.13671338750112</v>
      </c>
      <c r="D4032" s="42"/>
    </row>
    <row r="4033" spans="2:4" ht="16" thickBot="1" x14ac:dyDescent="0.25">
      <c r="B4033" s="5">
        <v>4028</v>
      </c>
      <c r="C4033" s="11">
        <v>334.15234259840014</v>
      </c>
      <c r="D4033" s="42"/>
    </row>
    <row r="4034" spans="2:4" ht="16" thickBot="1" x14ac:dyDescent="0.25">
      <c r="B4034" s="4">
        <v>4029</v>
      </c>
      <c r="C4034" s="10">
        <v>168.93304160128616</v>
      </c>
      <c r="D4034" s="42"/>
    </row>
    <row r="4035" spans="2:4" ht="16" thickBot="1" x14ac:dyDescent="0.25">
      <c r="B4035" s="5">
        <v>4030</v>
      </c>
      <c r="C4035" s="11">
        <v>134.72370848472974</v>
      </c>
      <c r="D4035" s="42"/>
    </row>
    <row r="4036" spans="2:4" ht="16" thickBot="1" x14ac:dyDescent="0.25">
      <c r="B4036" s="4">
        <v>4031</v>
      </c>
      <c r="C4036" s="10">
        <v>130.40653820308768</v>
      </c>
      <c r="D4036" s="42"/>
    </row>
    <row r="4037" spans="2:4" ht="16" thickBot="1" x14ac:dyDescent="0.25">
      <c r="B4037" s="5">
        <v>4032</v>
      </c>
      <c r="C4037" s="11">
        <v>359.07239635395291</v>
      </c>
      <c r="D4037" s="42"/>
    </row>
    <row r="4038" spans="2:4" ht="16" thickBot="1" x14ac:dyDescent="0.25">
      <c r="B4038" s="4">
        <v>4033</v>
      </c>
      <c r="C4038" s="10">
        <v>818.41648116122462</v>
      </c>
      <c r="D4038" s="42"/>
    </row>
    <row r="4039" spans="2:4" ht="16" thickBot="1" x14ac:dyDescent="0.25">
      <c r="B4039" s="5">
        <v>4034</v>
      </c>
      <c r="C4039" s="11">
        <v>12.078892637723614</v>
      </c>
      <c r="D4039" s="42"/>
    </row>
    <row r="4040" spans="2:4" ht="16" thickBot="1" x14ac:dyDescent="0.25">
      <c r="B4040" s="4">
        <v>4035</v>
      </c>
      <c r="C4040" s="10">
        <v>624.43165461347803</v>
      </c>
      <c r="D4040" s="42"/>
    </row>
    <row r="4041" spans="2:4" ht="16" thickBot="1" x14ac:dyDescent="0.25">
      <c r="B4041" s="5">
        <v>4036</v>
      </c>
      <c r="C4041" s="11">
        <v>165.95469935639431</v>
      </c>
      <c r="D4041" s="42"/>
    </row>
    <row r="4042" spans="2:4" ht="16" thickBot="1" x14ac:dyDescent="0.25">
      <c r="B4042" s="4">
        <v>4037</v>
      </c>
      <c r="C4042" s="10">
        <v>274.0942622935076</v>
      </c>
      <c r="D4042" s="42"/>
    </row>
    <row r="4043" spans="2:4" ht="16" thickBot="1" x14ac:dyDescent="0.25">
      <c r="B4043" s="5">
        <v>4038</v>
      </c>
      <c r="C4043" s="11">
        <v>134.34786827348171</v>
      </c>
      <c r="D4043" s="42"/>
    </row>
    <row r="4044" spans="2:4" ht="16" thickBot="1" x14ac:dyDescent="0.25">
      <c r="B4044" s="4">
        <v>4039</v>
      </c>
      <c r="C4044" s="10">
        <v>240.48459487972997</v>
      </c>
      <c r="D4044" s="42"/>
    </row>
    <row r="4045" spans="2:4" ht="16" thickBot="1" x14ac:dyDescent="0.25">
      <c r="B4045" s="5">
        <v>4040</v>
      </c>
      <c r="C4045" s="11">
        <v>112.27883216490685</v>
      </c>
      <c r="D4045" s="42"/>
    </row>
    <row r="4046" spans="2:4" ht="16" thickBot="1" x14ac:dyDescent="0.25">
      <c r="B4046" s="4">
        <v>4041</v>
      </c>
      <c r="C4046" s="10">
        <v>365.47245577049637</v>
      </c>
      <c r="D4046" s="42"/>
    </row>
    <row r="4047" spans="2:4" ht="16" thickBot="1" x14ac:dyDescent="0.25">
      <c r="B4047" s="5">
        <v>4042</v>
      </c>
      <c r="C4047" s="11">
        <v>165.18820008693621</v>
      </c>
      <c r="D4047" s="42"/>
    </row>
    <row r="4048" spans="2:4" ht="16" thickBot="1" x14ac:dyDescent="0.25">
      <c r="B4048" s="4">
        <v>4043</v>
      </c>
      <c r="C4048" s="10">
        <v>183.94873437352399</v>
      </c>
      <c r="D4048" s="42"/>
    </row>
    <row r="4049" spans="2:4" ht="16" thickBot="1" x14ac:dyDescent="0.25">
      <c r="B4049" s="5">
        <v>4044</v>
      </c>
      <c r="C4049" s="11">
        <v>246.85519431105266</v>
      </c>
      <c r="D4049" s="42"/>
    </row>
    <row r="4050" spans="2:4" ht="16" thickBot="1" x14ac:dyDescent="0.25">
      <c r="B4050" s="4">
        <v>4045</v>
      </c>
      <c r="C4050" s="10">
        <v>193.32141743808859</v>
      </c>
      <c r="D4050" s="42"/>
    </row>
    <row r="4051" spans="2:4" ht="16" thickBot="1" x14ac:dyDescent="0.25">
      <c r="B4051" s="5">
        <v>4046</v>
      </c>
      <c r="C4051" s="11">
        <v>307.82095503546469</v>
      </c>
      <c r="D4051" s="42"/>
    </row>
    <row r="4052" spans="2:4" ht="16" thickBot="1" x14ac:dyDescent="0.25">
      <c r="B4052" s="4">
        <v>4047</v>
      </c>
      <c r="C4052" s="10">
        <v>114.53175965911916</v>
      </c>
      <c r="D4052" s="42"/>
    </row>
    <row r="4053" spans="2:4" ht="16" thickBot="1" x14ac:dyDescent="0.25">
      <c r="B4053" s="5">
        <v>4048</v>
      </c>
      <c r="C4053" s="11">
        <v>320.50754581406983</v>
      </c>
      <c r="D4053" s="42"/>
    </row>
    <row r="4054" spans="2:4" ht="16" thickBot="1" x14ac:dyDescent="0.25">
      <c r="B4054" s="4">
        <v>4049</v>
      </c>
      <c r="C4054" s="10">
        <v>419.32960327160129</v>
      </c>
      <c r="D4054" s="42"/>
    </row>
    <row r="4055" spans="2:4" ht="16" thickBot="1" x14ac:dyDescent="0.25">
      <c r="B4055" s="5">
        <v>4050</v>
      </c>
      <c r="C4055" s="11">
        <v>51.09234069224042</v>
      </c>
      <c r="D4055" s="42"/>
    </row>
    <row r="4056" spans="2:4" ht="16" thickBot="1" x14ac:dyDescent="0.25">
      <c r="B4056" s="4">
        <v>4051</v>
      </c>
      <c r="C4056" s="10">
        <v>118.93925598762428</v>
      </c>
      <c r="D4056" s="42"/>
    </row>
    <row r="4057" spans="2:4" ht="16" thickBot="1" x14ac:dyDescent="0.25">
      <c r="B4057" s="5">
        <v>4052</v>
      </c>
      <c r="C4057" s="11">
        <v>517.19411426452086</v>
      </c>
      <c r="D4057" s="42"/>
    </row>
    <row r="4058" spans="2:4" ht="16" thickBot="1" x14ac:dyDescent="0.25">
      <c r="B4058" s="4">
        <v>4053</v>
      </c>
      <c r="C4058" s="10">
        <v>471.45373667320109</v>
      </c>
      <c r="D4058" s="42"/>
    </row>
    <row r="4059" spans="2:4" ht="16" thickBot="1" x14ac:dyDescent="0.25">
      <c r="B4059" s="5">
        <v>4054</v>
      </c>
      <c r="C4059" s="11">
        <v>218.01845640090002</v>
      </c>
      <c r="D4059" s="42"/>
    </row>
    <row r="4060" spans="2:4" ht="16" thickBot="1" x14ac:dyDescent="0.25">
      <c r="B4060" s="4">
        <v>4055</v>
      </c>
      <c r="C4060" s="10">
        <v>94.48096933894297</v>
      </c>
      <c r="D4060" s="42"/>
    </row>
    <row r="4061" spans="2:4" ht="16" thickBot="1" x14ac:dyDescent="0.25">
      <c r="B4061" s="5">
        <v>4056</v>
      </c>
      <c r="C4061" s="11">
        <v>245.50457711225727</v>
      </c>
      <c r="D4061" s="42"/>
    </row>
    <row r="4062" spans="2:4" ht="16" thickBot="1" x14ac:dyDescent="0.25">
      <c r="B4062" s="4">
        <v>4057</v>
      </c>
      <c r="C4062" s="10">
        <v>240.49171069171749</v>
      </c>
      <c r="D4062" s="42"/>
    </row>
    <row r="4063" spans="2:4" ht="16" thickBot="1" x14ac:dyDescent="0.25">
      <c r="B4063" s="5">
        <v>4058</v>
      </c>
      <c r="C4063" s="11">
        <v>192.11545304564842</v>
      </c>
      <c r="D4063" s="42"/>
    </row>
    <row r="4064" spans="2:4" ht="16" thickBot="1" x14ac:dyDescent="0.25">
      <c r="B4064" s="4">
        <v>4059</v>
      </c>
      <c r="C4064" s="10">
        <v>26.271888867879305</v>
      </c>
      <c r="D4064" s="42"/>
    </row>
    <row r="4065" spans="2:4" ht="16" thickBot="1" x14ac:dyDescent="0.25">
      <c r="B4065" s="5">
        <v>4060</v>
      </c>
      <c r="C4065" s="11">
        <v>71.049713166140862</v>
      </c>
      <c r="D4065" s="42"/>
    </row>
    <row r="4066" spans="2:4" ht="16" thickBot="1" x14ac:dyDescent="0.25">
      <c r="B4066" s="4">
        <v>4061</v>
      </c>
      <c r="C4066" s="10">
        <v>205.15600067071841</v>
      </c>
      <c r="D4066" s="42"/>
    </row>
    <row r="4067" spans="2:4" ht="16" thickBot="1" x14ac:dyDescent="0.25">
      <c r="B4067" s="5">
        <v>4062</v>
      </c>
      <c r="C4067" s="11">
        <v>165.79906358416039</v>
      </c>
      <c r="D4067" s="42"/>
    </row>
    <row r="4068" spans="2:4" ht="16" thickBot="1" x14ac:dyDescent="0.25">
      <c r="B4068" s="4">
        <v>4063</v>
      </c>
      <c r="C4068" s="10">
        <v>311.61576917366079</v>
      </c>
      <c r="D4068" s="42"/>
    </row>
    <row r="4069" spans="2:4" ht="16" thickBot="1" x14ac:dyDescent="0.25">
      <c r="B4069" s="5">
        <v>4064</v>
      </c>
      <c r="C4069" s="11">
        <v>426.39198355093544</v>
      </c>
      <c r="D4069" s="42"/>
    </row>
    <row r="4070" spans="2:4" ht="16" thickBot="1" x14ac:dyDescent="0.25">
      <c r="B4070" s="4">
        <v>4065</v>
      </c>
      <c r="C4070" s="10">
        <v>305.2970808173539</v>
      </c>
      <c r="D4070" s="42"/>
    </row>
    <row r="4071" spans="2:4" ht="16" thickBot="1" x14ac:dyDescent="0.25">
      <c r="B4071" s="5">
        <v>4066</v>
      </c>
      <c r="C4071" s="11">
        <v>206.26481494412542</v>
      </c>
      <c r="D4071" s="42"/>
    </row>
    <row r="4072" spans="2:4" ht="16" thickBot="1" x14ac:dyDescent="0.25">
      <c r="B4072" s="4">
        <v>4067</v>
      </c>
      <c r="C4072" s="10">
        <v>353.28500160034235</v>
      </c>
      <c r="D4072" s="42"/>
    </row>
    <row r="4073" spans="2:4" ht="16" thickBot="1" x14ac:dyDescent="0.25">
      <c r="B4073" s="5">
        <v>4068</v>
      </c>
      <c r="C4073" s="11">
        <v>369.2345359371493</v>
      </c>
      <c r="D4073" s="42"/>
    </row>
    <row r="4074" spans="2:4" ht="16" thickBot="1" x14ac:dyDescent="0.25">
      <c r="B4074" s="4">
        <v>4069</v>
      </c>
      <c r="C4074" s="10">
        <v>92.353800666796005</v>
      </c>
      <c r="D4074" s="42"/>
    </row>
    <row r="4075" spans="2:4" ht="16" thickBot="1" x14ac:dyDescent="0.25">
      <c r="B4075" s="5">
        <v>4070</v>
      </c>
      <c r="C4075" s="11">
        <v>256.60932020780677</v>
      </c>
      <c r="D4075" s="42"/>
    </row>
    <row r="4076" spans="2:4" ht="16" thickBot="1" x14ac:dyDescent="0.25">
      <c r="B4076" s="4">
        <v>4071</v>
      </c>
      <c r="C4076" s="10">
        <v>248.4207609373897</v>
      </c>
      <c r="D4076" s="42"/>
    </row>
    <row r="4077" spans="2:4" ht="16" thickBot="1" x14ac:dyDescent="0.25">
      <c r="B4077" s="5">
        <v>4072</v>
      </c>
      <c r="C4077" s="11">
        <v>249.90862153099218</v>
      </c>
      <c r="D4077" s="42"/>
    </row>
    <row r="4078" spans="2:4" ht="16" thickBot="1" x14ac:dyDescent="0.25">
      <c r="B4078" s="4">
        <v>4073</v>
      </c>
      <c r="C4078" s="10">
        <v>366.33380841436554</v>
      </c>
      <c r="D4078" s="42"/>
    </row>
    <row r="4079" spans="2:4" ht="16" thickBot="1" x14ac:dyDescent="0.25">
      <c r="B4079" s="5">
        <v>4074</v>
      </c>
      <c r="C4079" s="11">
        <v>750.32957475987541</v>
      </c>
      <c r="D4079" s="42"/>
    </row>
    <row r="4080" spans="2:4" ht="16" thickBot="1" x14ac:dyDescent="0.25">
      <c r="B4080" s="4">
        <v>4075</v>
      </c>
      <c r="C4080" s="10">
        <v>247.29102613073439</v>
      </c>
      <c r="D4080" s="42"/>
    </row>
    <row r="4081" spans="2:4" ht="16" thickBot="1" x14ac:dyDescent="0.25">
      <c r="B4081" s="5">
        <v>4076</v>
      </c>
      <c r="C4081" s="11">
        <v>244.67125231796396</v>
      </c>
      <c r="D4081" s="42"/>
    </row>
    <row r="4082" spans="2:4" ht="16" thickBot="1" x14ac:dyDescent="0.25">
      <c r="B4082" s="4">
        <v>4077</v>
      </c>
      <c r="C4082" s="10">
        <v>21.793886926526248</v>
      </c>
      <c r="D4082" s="42"/>
    </row>
    <row r="4083" spans="2:4" ht="16" thickBot="1" x14ac:dyDescent="0.25">
      <c r="B4083" s="5">
        <v>4078</v>
      </c>
      <c r="C4083" s="11">
        <v>343.88084534354869</v>
      </c>
      <c r="D4083" s="42"/>
    </row>
    <row r="4084" spans="2:4" ht="16" thickBot="1" x14ac:dyDescent="0.25">
      <c r="B4084" s="4">
        <v>4079</v>
      </c>
      <c r="C4084" s="10">
        <v>86.650697703343099</v>
      </c>
      <c r="D4084" s="42"/>
    </row>
    <row r="4085" spans="2:4" ht="16" thickBot="1" x14ac:dyDescent="0.25">
      <c r="B4085" s="5">
        <v>4080</v>
      </c>
      <c r="C4085" s="11">
        <v>124.73618710662572</v>
      </c>
      <c r="D4085" s="42"/>
    </row>
    <row r="4086" spans="2:4" ht="16" thickBot="1" x14ac:dyDescent="0.25">
      <c r="B4086" s="4">
        <v>4081</v>
      </c>
      <c r="C4086" s="10">
        <v>225.30484169549482</v>
      </c>
      <c r="D4086" s="42"/>
    </row>
    <row r="4087" spans="2:4" ht="16" thickBot="1" x14ac:dyDescent="0.25">
      <c r="B4087" s="5">
        <v>4082</v>
      </c>
      <c r="C4087" s="11">
        <v>226.2119732537885</v>
      </c>
      <c r="D4087" s="42"/>
    </row>
    <row r="4088" spans="2:4" ht="16" thickBot="1" x14ac:dyDescent="0.25">
      <c r="B4088" s="4">
        <v>4083</v>
      </c>
      <c r="C4088" s="10">
        <v>484.58455298544141</v>
      </c>
      <c r="D4088" s="42"/>
    </row>
    <row r="4089" spans="2:4" ht="16" thickBot="1" x14ac:dyDescent="0.25">
      <c r="B4089" s="5">
        <v>4084</v>
      </c>
      <c r="C4089" s="11">
        <v>61.196847991981222</v>
      </c>
      <c r="D4089" s="42"/>
    </row>
    <row r="4090" spans="2:4" ht="16" thickBot="1" x14ac:dyDescent="0.25">
      <c r="B4090" s="4">
        <v>4085</v>
      </c>
      <c r="C4090" s="10">
        <v>392.25896827749051</v>
      </c>
      <c r="D4090" s="42"/>
    </row>
    <row r="4091" spans="2:4" ht="16" thickBot="1" x14ac:dyDescent="0.25">
      <c r="B4091" s="5">
        <v>4086</v>
      </c>
      <c r="C4091" s="11">
        <v>210.19345144880253</v>
      </c>
      <c r="D4091" s="42"/>
    </row>
    <row r="4092" spans="2:4" ht="16" thickBot="1" x14ac:dyDescent="0.25">
      <c r="B4092" s="4">
        <v>4087</v>
      </c>
      <c r="C4092" s="10">
        <v>398.83997503030514</v>
      </c>
      <c r="D4092" s="42"/>
    </row>
    <row r="4093" spans="2:4" ht="16" thickBot="1" x14ac:dyDescent="0.25">
      <c r="B4093" s="5">
        <v>4088</v>
      </c>
      <c r="C4093" s="11">
        <v>53.19866944457187</v>
      </c>
      <c r="D4093" s="42"/>
    </row>
    <row r="4094" spans="2:4" ht="16" thickBot="1" x14ac:dyDescent="0.25">
      <c r="B4094" s="4">
        <v>4089</v>
      </c>
      <c r="C4094" s="10">
        <v>283.74433748367306</v>
      </c>
      <c r="D4094" s="42"/>
    </row>
    <row r="4095" spans="2:4" ht="16" thickBot="1" x14ac:dyDescent="0.25">
      <c r="B4095" s="5">
        <v>4090</v>
      </c>
      <c r="C4095" s="11">
        <v>482.19287192524763</v>
      </c>
      <c r="D4095" s="42"/>
    </row>
    <row r="4096" spans="2:4" ht="16" thickBot="1" x14ac:dyDescent="0.25">
      <c r="B4096" s="4">
        <v>4091</v>
      </c>
      <c r="C4096" s="10">
        <v>471.0272808302401</v>
      </c>
      <c r="D4096" s="42"/>
    </row>
    <row r="4097" spans="2:4" ht="16" thickBot="1" x14ac:dyDescent="0.25">
      <c r="B4097" s="5">
        <v>4092</v>
      </c>
      <c r="C4097" s="11">
        <v>142.39350955986276</v>
      </c>
      <c r="D4097" s="42"/>
    </row>
    <row r="4098" spans="2:4" ht="16" thickBot="1" x14ac:dyDescent="0.25">
      <c r="B4098" s="4">
        <v>4093</v>
      </c>
      <c r="C4098" s="10">
        <v>163.23516385967258</v>
      </c>
      <c r="D4098" s="42"/>
    </row>
    <row r="4099" spans="2:4" ht="16" thickBot="1" x14ac:dyDescent="0.25">
      <c r="B4099" s="5">
        <v>4094</v>
      </c>
      <c r="C4099" s="11">
        <v>215.61786567209114</v>
      </c>
      <c r="D4099" s="42"/>
    </row>
    <row r="4100" spans="2:4" ht="16" thickBot="1" x14ac:dyDescent="0.25">
      <c r="B4100" s="4">
        <v>4095</v>
      </c>
      <c r="C4100" s="10">
        <v>520.11050332882394</v>
      </c>
      <c r="D4100" s="42"/>
    </row>
    <row r="4101" spans="2:4" ht="16" thickBot="1" x14ac:dyDescent="0.25">
      <c r="B4101" s="5">
        <v>4096</v>
      </c>
      <c r="C4101" s="11">
        <v>123.30562400351808</v>
      </c>
      <c r="D4101" s="42"/>
    </row>
    <row r="4102" spans="2:4" ht="16" thickBot="1" x14ac:dyDescent="0.25">
      <c r="B4102" s="4">
        <v>4097</v>
      </c>
      <c r="C4102" s="10">
        <v>285.67465681761405</v>
      </c>
      <c r="D4102" s="42"/>
    </row>
    <row r="4103" spans="2:4" ht="16" thickBot="1" x14ac:dyDescent="0.25">
      <c r="B4103" s="5">
        <v>4098</v>
      </c>
      <c r="C4103" s="11">
        <v>229.62900471986961</v>
      </c>
      <c r="D4103" s="42"/>
    </row>
    <row r="4104" spans="2:4" ht="16" thickBot="1" x14ac:dyDescent="0.25">
      <c r="B4104" s="4">
        <v>4099</v>
      </c>
      <c r="C4104" s="10">
        <v>147.38486309674676</v>
      </c>
      <c r="D4104" s="42"/>
    </row>
    <row r="4105" spans="2:4" ht="16" thickBot="1" x14ac:dyDescent="0.25">
      <c r="B4105" s="5">
        <v>4100</v>
      </c>
      <c r="C4105" s="11">
        <v>215.60833437029495</v>
      </c>
      <c r="D4105" s="42"/>
    </row>
    <row r="4106" spans="2:4" ht="16" thickBot="1" x14ac:dyDescent="0.25">
      <c r="B4106" s="4">
        <v>4101</v>
      </c>
      <c r="C4106" s="10">
        <v>281.5563889409774</v>
      </c>
      <c r="D4106" s="42"/>
    </row>
    <row r="4107" spans="2:4" ht="16" thickBot="1" x14ac:dyDescent="0.25">
      <c r="B4107" s="5">
        <v>4102</v>
      </c>
      <c r="C4107" s="11">
        <v>302.33003923534687</v>
      </c>
      <c r="D4107" s="42"/>
    </row>
    <row r="4108" spans="2:4" ht="16" thickBot="1" x14ac:dyDescent="0.25">
      <c r="B4108" s="4">
        <v>4103</v>
      </c>
      <c r="C4108" s="10">
        <v>125.65820734473165</v>
      </c>
      <c r="D4108" s="42"/>
    </row>
    <row r="4109" spans="2:4" ht="16" thickBot="1" x14ac:dyDescent="0.25">
      <c r="B4109" s="5">
        <v>4104</v>
      </c>
      <c r="C4109" s="11">
        <v>313.81513924111329</v>
      </c>
      <c r="D4109" s="42"/>
    </row>
    <row r="4110" spans="2:4" ht="16" thickBot="1" x14ac:dyDescent="0.25">
      <c r="B4110" s="4">
        <v>4105</v>
      </c>
      <c r="C4110" s="10">
        <v>590.89661978794993</v>
      </c>
      <c r="D4110" s="42"/>
    </row>
    <row r="4111" spans="2:4" ht="16" thickBot="1" x14ac:dyDescent="0.25">
      <c r="B4111" s="5">
        <v>4106</v>
      </c>
      <c r="C4111" s="11">
        <v>161.12429420938989</v>
      </c>
      <c r="D4111" s="42"/>
    </row>
    <row r="4112" spans="2:4" ht="16" thickBot="1" x14ac:dyDescent="0.25">
      <c r="B4112" s="4">
        <v>4107</v>
      </c>
      <c r="C4112" s="10">
        <v>219.47616307075984</v>
      </c>
      <c r="D4112" s="42"/>
    </row>
    <row r="4113" spans="2:4" ht="16" thickBot="1" x14ac:dyDescent="0.25">
      <c r="B4113" s="5">
        <v>4108</v>
      </c>
      <c r="C4113" s="11">
        <v>442.89200001991145</v>
      </c>
      <c r="D4113" s="42"/>
    </row>
    <row r="4114" spans="2:4" ht="16" thickBot="1" x14ac:dyDescent="0.25">
      <c r="B4114" s="4">
        <v>4109</v>
      </c>
      <c r="C4114" s="10">
        <v>116.06321203490263</v>
      </c>
      <c r="D4114" s="42"/>
    </row>
    <row r="4115" spans="2:4" ht="16" thickBot="1" x14ac:dyDescent="0.25">
      <c r="B4115" s="5">
        <v>4110</v>
      </c>
      <c r="C4115" s="11">
        <v>258.97278379138987</v>
      </c>
      <c r="D4115" s="42"/>
    </row>
    <row r="4116" spans="2:4" ht="16" thickBot="1" x14ac:dyDescent="0.25">
      <c r="B4116" s="4">
        <v>4111</v>
      </c>
      <c r="C4116" s="10">
        <v>203.86529994502078</v>
      </c>
      <c r="D4116" s="42"/>
    </row>
    <row r="4117" spans="2:4" ht="16" thickBot="1" x14ac:dyDescent="0.25">
      <c r="B4117" s="5">
        <v>4112</v>
      </c>
      <c r="C4117" s="11">
        <v>236.30786068459972</v>
      </c>
      <c r="D4117" s="42"/>
    </row>
    <row r="4118" spans="2:4" ht="16" thickBot="1" x14ac:dyDescent="0.25">
      <c r="B4118" s="4">
        <v>4113</v>
      </c>
      <c r="C4118" s="10">
        <v>370.55780155413322</v>
      </c>
      <c r="D4118" s="42"/>
    </row>
    <row r="4119" spans="2:4" ht="16" thickBot="1" x14ac:dyDescent="0.25">
      <c r="B4119" s="5">
        <v>4114</v>
      </c>
      <c r="C4119" s="11">
        <v>349.11029507726812</v>
      </c>
      <c r="D4119" s="42"/>
    </row>
    <row r="4120" spans="2:4" ht="16" thickBot="1" x14ac:dyDescent="0.25">
      <c r="B4120" s="4">
        <v>4115</v>
      </c>
      <c r="C4120" s="10">
        <v>383.61052823682303</v>
      </c>
      <c r="D4120" s="42"/>
    </row>
    <row r="4121" spans="2:4" ht="16" thickBot="1" x14ac:dyDescent="0.25">
      <c r="B4121" s="5">
        <v>4116</v>
      </c>
      <c r="C4121" s="11">
        <v>368.64578297980773</v>
      </c>
      <c r="D4121" s="42"/>
    </row>
    <row r="4122" spans="2:4" ht="16" thickBot="1" x14ac:dyDescent="0.25">
      <c r="B4122" s="4">
        <v>4117</v>
      </c>
      <c r="C4122" s="10">
        <v>299.38909351066604</v>
      </c>
      <c r="D4122" s="42"/>
    </row>
    <row r="4123" spans="2:4" ht="16" thickBot="1" x14ac:dyDescent="0.25">
      <c r="B4123" s="5">
        <v>4118</v>
      </c>
      <c r="C4123" s="11">
        <v>153.04168291637393</v>
      </c>
      <c r="D4123" s="42"/>
    </row>
    <row r="4124" spans="2:4" ht="16" thickBot="1" x14ac:dyDescent="0.25">
      <c r="B4124" s="4">
        <v>4119</v>
      </c>
      <c r="C4124" s="10">
        <v>219.10240463503993</v>
      </c>
      <c r="D4124" s="42"/>
    </row>
    <row r="4125" spans="2:4" ht="16" thickBot="1" x14ac:dyDescent="0.25">
      <c r="B4125" s="5">
        <v>4120</v>
      </c>
      <c r="C4125" s="11">
        <v>309.23107945887841</v>
      </c>
      <c r="D4125" s="42"/>
    </row>
    <row r="4126" spans="2:4" ht="16" thickBot="1" x14ac:dyDescent="0.25">
      <c r="B4126" s="4">
        <v>4121</v>
      </c>
      <c r="C4126" s="10">
        <v>235.9865066538419</v>
      </c>
      <c r="D4126" s="42"/>
    </row>
    <row r="4127" spans="2:4" ht="16" thickBot="1" x14ac:dyDescent="0.25">
      <c r="B4127" s="5">
        <v>4122</v>
      </c>
      <c r="C4127" s="11">
        <v>408.24981419936557</v>
      </c>
      <c r="D4127" s="42"/>
    </row>
    <row r="4128" spans="2:4" ht="16" thickBot="1" x14ac:dyDescent="0.25">
      <c r="B4128" s="4">
        <v>4123</v>
      </c>
      <c r="C4128" s="10">
        <v>469.64280007720049</v>
      </c>
      <c r="D4128" s="42"/>
    </row>
    <row r="4129" spans="2:4" ht="16" thickBot="1" x14ac:dyDescent="0.25">
      <c r="B4129" s="5">
        <v>4124</v>
      </c>
      <c r="C4129" s="11">
        <v>168.73218774866467</v>
      </c>
      <c r="D4129" s="42"/>
    </row>
    <row r="4130" spans="2:4" ht="16" thickBot="1" x14ac:dyDescent="0.25">
      <c r="B4130" s="4">
        <v>4125</v>
      </c>
      <c r="C4130" s="10">
        <v>344.25228043962488</v>
      </c>
      <c r="D4130" s="42"/>
    </row>
    <row r="4131" spans="2:4" ht="16" thickBot="1" x14ac:dyDescent="0.25">
      <c r="B4131" s="5">
        <v>4126</v>
      </c>
      <c r="C4131" s="11">
        <v>259.32834031827502</v>
      </c>
      <c r="D4131" s="42"/>
    </row>
    <row r="4132" spans="2:4" ht="16" thickBot="1" x14ac:dyDescent="0.25">
      <c r="B4132" s="4">
        <v>4127</v>
      </c>
      <c r="C4132" s="10">
        <v>605.83000620203779</v>
      </c>
      <c r="D4132" s="42"/>
    </row>
    <row r="4133" spans="2:4" ht="16" thickBot="1" x14ac:dyDescent="0.25">
      <c r="B4133" s="5">
        <v>4128</v>
      </c>
      <c r="C4133" s="11">
        <v>475.59432915206503</v>
      </c>
      <c r="D4133" s="42"/>
    </row>
    <row r="4134" spans="2:4" ht="16" thickBot="1" x14ac:dyDescent="0.25">
      <c r="B4134" s="4">
        <v>4129</v>
      </c>
      <c r="C4134" s="10">
        <v>98.552038086757818</v>
      </c>
      <c r="D4134" s="42"/>
    </row>
    <row r="4135" spans="2:4" ht="16" thickBot="1" x14ac:dyDescent="0.25">
      <c r="B4135" s="5">
        <v>4130</v>
      </c>
      <c r="C4135" s="11">
        <v>257.97829117535406</v>
      </c>
      <c r="D4135" s="42"/>
    </row>
    <row r="4136" spans="2:4" ht="16" thickBot="1" x14ac:dyDescent="0.25">
      <c r="B4136" s="4">
        <v>4131</v>
      </c>
      <c r="C4136" s="10">
        <v>204.13110523573658</v>
      </c>
      <c r="D4136" s="42"/>
    </row>
    <row r="4137" spans="2:4" ht="16" thickBot="1" x14ac:dyDescent="0.25">
      <c r="B4137" s="5">
        <v>4132</v>
      </c>
      <c r="C4137" s="11">
        <v>237.08643306979354</v>
      </c>
      <c r="D4137" s="42"/>
    </row>
    <row r="4138" spans="2:4" ht="16" thickBot="1" x14ac:dyDescent="0.25">
      <c r="B4138" s="4">
        <v>4133</v>
      </c>
      <c r="C4138" s="10">
        <v>236.68365712337337</v>
      </c>
      <c r="D4138" s="42"/>
    </row>
    <row r="4139" spans="2:4" ht="16" thickBot="1" x14ac:dyDescent="0.25">
      <c r="B4139" s="5">
        <v>4134</v>
      </c>
      <c r="C4139" s="11">
        <v>111.21721537334724</v>
      </c>
      <c r="D4139" s="42"/>
    </row>
    <row r="4140" spans="2:4" ht="16" thickBot="1" x14ac:dyDescent="0.25">
      <c r="B4140" s="4">
        <v>4135</v>
      </c>
      <c r="C4140" s="10">
        <v>312.80835000631293</v>
      </c>
      <c r="D4140" s="42"/>
    </row>
    <row r="4141" spans="2:4" ht="16" thickBot="1" x14ac:dyDescent="0.25">
      <c r="B4141" s="5">
        <v>4136</v>
      </c>
      <c r="C4141" s="11">
        <v>917.59218531470503</v>
      </c>
      <c r="D4141" s="42"/>
    </row>
    <row r="4142" spans="2:4" ht="16" thickBot="1" x14ac:dyDescent="0.25">
      <c r="B4142" s="4">
        <v>4137</v>
      </c>
      <c r="C4142" s="10">
        <v>336.01328823996329</v>
      </c>
      <c r="D4142" s="42"/>
    </row>
    <row r="4143" spans="2:4" ht="16" thickBot="1" x14ac:dyDescent="0.25">
      <c r="B4143" s="5">
        <v>4138</v>
      </c>
      <c r="C4143" s="11">
        <v>108.93283308281684</v>
      </c>
      <c r="D4143" s="42"/>
    </row>
    <row r="4144" spans="2:4" ht="16" thickBot="1" x14ac:dyDescent="0.25">
      <c r="B4144" s="4">
        <v>4139</v>
      </c>
      <c r="C4144" s="10">
        <v>227.69789232415764</v>
      </c>
      <c r="D4144" s="42"/>
    </row>
    <row r="4145" spans="2:4" ht="16" thickBot="1" x14ac:dyDescent="0.25">
      <c r="B4145" s="5">
        <v>4140</v>
      </c>
      <c r="C4145" s="11">
        <v>206.53850359250566</v>
      </c>
      <c r="D4145" s="42"/>
    </row>
    <row r="4146" spans="2:4" ht="16" thickBot="1" x14ac:dyDescent="0.25">
      <c r="B4146" s="4">
        <v>4141</v>
      </c>
      <c r="C4146" s="10">
        <v>245.69064557705522</v>
      </c>
      <c r="D4146" s="42"/>
    </row>
    <row r="4147" spans="2:4" ht="16" thickBot="1" x14ac:dyDescent="0.25">
      <c r="B4147" s="5">
        <v>4142</v>
      </c>
      <c r="C4147" s="11">
        <v>84.129874791052401</v>
      </c>
      <c r="D4147" s="42"/>
    </row>
    <row r="4148" spans="2:4" ht="16" thickBot="1" x14ac:dyDescent="0.25">
      <c r="B4148" s="4">
        <v>4143</v>
      </c>
      <c r="C4148" s="10">
        <v>159.32155811548068</v>
      </c>
      <c r="D4148" s="42"/>
    </row>
    <row r="4149" spans="2:4" ht="16" thickBot="1" x14ac:dyDescent="0.25">
      <c r="B4149" s="5">
        <v>4144</v>
      </c>
      <c r="C4149" s="11">
        <v>779.02117935207389</v>
      </c>
      <c r="D4149" s="42"/>
    </row>
    <row r="4150" spans="2:4" ht="16" thickBot="1" x14ac:dyDescent="0.25">
      <c r="B4150" s="4">
        <v>4145</v>
      </c>
      <c r="C4150" s="10">
        <v>728.0763275014632</v>
      </c>
      <c r="D4150" s="42"/>
    </row>
    <row r="4151" spans="2:4" ht="16" thickBot="1" x14ac:dyDescent="0.25">
      <c r="B4151" s="5">
        <v>4146</v>
      </c>
      <c r="C4151" s="11">
        <v>251.36133658157189</v>
      </c>
      <c r="D4151" s="42"/>
    </row>
    <row r="4152" spans="2:4" ht="16" thickBot="1" x14ac:dyDescent="0.25">
      <c r="B4152" s="4">
        <v>4147</v>
      </c>
      <c r="C4152" s="10">
        <v>972.68066928863186</v>
      </c>
      <c r="D4152" s="42"/>
    </row>
    <row r="4153" spans="2:4" ht="16" thickBot="1" x14ac:dyDescent="0.25">
      <c r="B4153" s="5">
        <v>4148</v>
      </c>
      <c r="C4153" s="11">
        <v>431.66455880372001</v>
      </c>
      <c r="D4153" s="42"/>
    </row>
    <row r="4154" spans="2:4" ht="16" thickBot="1" x14ac:dyDescent="0.25">
      <c r="B4154" s="4">
        <v>4149</v>
      </c>
      <c r="C4154" s="10">
        <v>236.08264396724942</v>
      </c>
      <c r="D4154" s="42"/>
    </row>
    <row r="4155" spans="2:4" ht="16" thickBot="1" x14ac:dyDescent="0.25">
      <c r="B4155" s="5">
        <v>4150</v>
      </c>
      <c r="C4155" s="11">
        <v>204.17517395930625</v>
      </c>
      <c r="D4155" s="42"/>
    </row>
    <row r="4156" spans="2:4" ht="16" thickBot="1" x14ac:dyDescent="0.25">
      <c r="B4156" s="4">
        <v>4151</v>
      </c>
      <c r="C4156" s="10">
        <v>221.38211832972613</v>
      </c>
      <c r="D4156" s="42"/>
    </row>
    <row r="4157" spans="2:4" ht="16" thickBot="1" x14ac:dyDescent="0.25">
      <c r="B4157" s="5">
        <v>4152</v>
      </c>
      <c r="C4157" s="11">
        <v>99.450902888097588</v>
      </c>
      <c r="D4157" s="42"/>
    </row>
    <row r="4158" spans="2:4" ht="16" thickBot="1" x14ac:dyDescent="0.25">
      <c r="B4158" s="4">
        <v>4153</v>
      </c>
      <c r="C4158" s="10">
        <v>277.67029396298869</v>
      </c>
      <c r="D4158" s="42"/>
    </row>
    <row r="4159" spans="2:4" ht="16" thickBot="1" x14ac:dyDescent="0.25">
      <c r="B4159" s="5">
        <v>4154</v>
      </c>
      <c r="C4159" s="11">
        <v>244.92005727296129</v>
      </c>
      <c r="D4159" s="42"/>
    </row>
    <row r="4160" spans="2:4" ht="16" thickBot="1" x14ac:dyDescent="0.25">
      <c r="B4160" s="4">
        <v>4155</v>
      </c>
      <c r="C4160" s="10">
        <v>315.03695458413046</v>
      </c>
      <c r="D4160" s="42"/>
    </row>
    <row r="4161" spans="2:4" ht="16" thickBot="1" x14ac:dyDescent="0.25">
      <c r="B4161" s="5">
        <v>4156</v>
      </c>
      <c r="C4161" s="11">
        <v>148.24381565715129</v>
      </c>
      <c r="D4161" s="42"/>
    </row>
    <row r="4162" spans="2:4" ht="16" thickBot="1" x14ac:dyDescent="0.25">
      <c r="B4162" s="4">
        <v>4157</v>
      </c>
      <c r="C4162" s="10">
        <v>250.08496900404538</v>
      </c>
      <c r="D4162" s="42"/>
    </row>
    <row r="4163" spans="2:4" ht="16" thickBot="1" x14ac:dyDescent="0.25">
      <c r="B4163" s="5">
        <v>4158</v>
      </c>
      <c r="C4163" s="11">
        <v>524.29790770396096</v>
      </c>
      <c r="D4163" s="42"/>
    </row>
    <row r="4164" spans="2:4" ht="16" thickBot="1" x14ac:dyDescent="0.25">
      <c r="B4164" s="4">
        <v>4159</v>
      </c>
      <c r="C4164" s="10">
        <v>151.53932044736899</v>
      </c>
      <c r="D4164" s="42"/>
    </row>
    <row r="4165" spans="2:4" ht="16" thickBot="1" x14ac:dyDescent="0.25">
      <c r="B4165" s="5">
        <v>4160</v>
      </c>
      <c r="C4165" s="11">
        <v>266.19538811315988</v>
      </c>
      <c r="D4165" s="42"/>
    </row>
    <row r="4166" spans="2:4" ht="16" thickBot="1" x14ac:dyDescent="0.25">
      <c r="B4166" s="4">
        <v>4161</v>
      </c>
      <c r="C4166" s="10">
        <v>482.36852044893658</v>
      </c>
      <c r="D4166" s="42"/>
    </row>
    <row r="4167" spans="2:4" ht="16" thickBot="1" x14ac:dyDescent="0.25">
      <c r="B4167" s="5">
        <v>4162</v>
      </c>
      <c r="C4167" s="11">
        <v>161.09170487931868</v>
      </c>
      <c r="D4167" s="42"/>
    </row>
    <row r="4168" spans="2:4" ht="16" thickBot="1" x14ac:dyDescent="0.25">
      <c r="B4168" s="4">
        <v>4163</v>
      </c>
      <c r="C4168" s="10">
        <v>181.58657790004921</v>
      </c>
      <c r="D4168" s="42"/>
    </row>
    <row r="4169" spans="2:4" ht="16" thickBot="1" x14ac:dyDescent="0.25">
      <c r="B4169" s="5">
        <v>4164</v>
      </c>
      <c r="C4169" s="11">
        <v>650.57692307914613</v>
      </c>
      <c r="D4169" s="42"/>
    </row>
    <row r="4170" spans="2:4" ht="16" thickBot="1" x14ac:dyDescent="0.25">
      <c r="B4170" s="4">
        <v>4165</v>
      </c>
      <c r="C4170" s="10">
        <v>82.576688855953321</v>
      </c>
      <c r="D4170" s="42"/>
    </row>
    <row r="4171" spans="2:4" ht="16" thickBot="1" x14ac:dyDescent="0.25">
      <c r="B4171" s="5">
        <v>4166</v>
      </c>
      <c r="C4171" s="11">
        <v>497.64807413396011</v>
      </c>
      <c r="D4171" s="42"/>
    </row>
    <row r="4172" spans="2:4" ht="16" thickBot="1" x14ac:dyDescent="0.25">
      <c r="B4172" s="4">
        <v>4167</v>
      </c>
      <c r="C4172" s="10">
        <v>328.05593890264942</v>
      </c>
      <c r="D4172" s="42"/>
    </row>
    <row r="4173" spans="2:4" ht="16" thickBot="1" x14ac:dyDescent="0.25">
      <c r="B4173" s="5">
        <v>4168</v>
      </c>
      <c r="C4173" s="11">
        <v>269.95856349362583</v>
      </c>
      <c r="D4173" s="42"/>
    </row>
    <row r="4174" spans="2:4" ht="16" thickBot="1" x14ac:dyDescent="0.25">
      <c r="B4174" s="4">
        <v>4169</v>
      </c>
      <c r="C4174" s="10">
        <v>177.83380268541873</v>
      </c>
      <c r="D4174" s="42"/>
    </row>
    <row r="4175" spans="2:4" ht="16" thickBot="1" x14ac:dyDescent="0.25">
      <c r="B4175" s="5">
        <v>4170</v>
      </c>
      <c r="C4175" s="11">
        <v>99.090212408728007</v>
      </c>
      <c r="D4175" s="42"/>
    </row>
    <row r="4176" spans="2:4" ht="16" thickBot="1" x14ac:dyDescent="0.25">
      <c r="B4176" s="4">
        <v>4171</v>
      </c>
      <c r="C4176" s="10">
        <v>493.39473033620447</v>
      </c>
      <c r="D4176" s="42"/>
    </row>
    <row r="4177" spans="2:4" ht="16" thickBot="1" x14ac:dyDescent="0.25">
      <c r="B4177" s="5">
        <v>4172</v>
      </c>
      <c r="C4177" s="11">
        <v>371.50795084262978</v>
      </c>
      <c r="D4177" s="42"/>
    </row>
    <row r="4178" spans="2:4" ht="16" thickBot="1" x14ac:dyDescent="0.25">
      <c r="B4178" s="4">
        <v>4173</v>
      </c>
      <c r="C4178" s="10">
        <v>249.4116039104095</v>
      </c>
      <c r="D4178" s="42"/>
    </row>
    <row r="4179" spans="2:4" ht="16" thickBot="1" x14ac:dyDescent="0.25">
      <c r="B4179" s="5">
        <v>4174</v>
      </c>
      <c r="C4179" s="11">
        <v>321.77246943923996</v>
      </c>
      <c r="D4179" s="42"/>
    </row>
    <row r="4180" spans="2:4" ht="16" thickBot="1" x14ac:dyDescent="0.25">
      <c r="B4180" s="4">
        <v>4175</v>
      </c>
      <c r="C4180" s="10">
        <v>138.723309601713</v>
      </c>
      <c r="D4180" s="42"/>
    </row>
    <row r="4181" spans="2:4" ht="16" thickBot="1" x14ac:dyDescent="0.25">
      <c r="B4181" s="5">
        <v>4176</v>
      </c>
      <c r="C4181" s="11">
        <v>539.56740984716669</v>
      </c>
      <c r="D4181" s="42"/>
    </row>
    <row r="4182" spans="2:4" ht="16" thickBot="1" x14ac:dyDescent="0.25">
      <c r="B4182" s="4">
        <v>4177</v>
      </c>
      <c r="C4182" s="10">
        <v>239.53098804319629</v>
      </c>
      <c r="D4182" s="42"/>
    </row>
    <row r="4183" spans="2:4" ht="16" thickBot="1" x14ac:dyDescent="0.25">
      <c r="B4183" s="5">
        <v>4178</v>
      </c>
      <c r="C4183" s="11">
        <v>106.26727031578437</v>
      </c>
      <c r="D4183" s="42"/>
    </row>
    <row r="4184" spans="2:4" ht="16" thickBot="1" x14ac:dyDescent="0.25">
      <c r="B4184" s="4">
        <v>4179</v>
      </c>
      <c r="C4184" s="10">
        <v>246.65291077873852</v>
      </c>
      <c r="D4184" s="42"/>
    </row>
    <row r="4185" spans="2:4" ht="16" thickBot="1" x14ac:dyDescent="0.25">
      <c r="B4185" s="5">
        <v>4180</v>
      </c>
      <c r="C4185" s="11">
        <v>281.22335176946109</v>
      </c>
      <c r="D4185" s="42"/>
    </row>
    <row r="4186" spans="2:4" ht="16" thickBot="1" x14ac:dyDescent="0.25">
      <c r="B4186" s="4">
        <v>4181</v>
      </c>
      <c r="C4186" s="10">
        <v>187.38736169589282</v>
      </c>
      <c r="D4186" s="42"/>
    </row>
    <row r="4187" spans="2:4" ht="16" thickBot="1" x14ac:dyDescent="0.25">
      <c r="B4187" s="5">
        <v>4182</v>
      </c>
      <c r="C4187" s="11">
        <v>240.20425269956587</v>
      </c>
      <c r="D4187" s="42"/>
    </row>
    <row r="4188" spans="2:4" ht="16" thickBot="1" x14ac:dyDescent="0.25">
      <c r="B4188" s="4">
        <v>4183</v>
      </c>
      <c r="C4188" s="10">
        <v>321.92240298260259</v>
      </c>
      <c r="D4188" s="42"/>
    </row>
    <row r="4189" spans="2:4" ht="16" thickBot="1" x14ac:dyDescent="0.25">
      <c r="B4189" s="5">
        <v>4184</v>
      </c>
      <c r="C4189" s="11">
        <v>420.83833052481879</v>
      </c>
      <c r="D4189" s="42"/>
    </row>
    <row r="4190" spans="2:4" ht="16" thickBot="1" x14ac:dyDescent="0.25">
      <c r="B4190" s="4">
        <v>4185</v>
      </c>
      <c r="C4190" s="10">
        <v>640.23086509509164</v>
      </c>
      <c r="D4190" s="42"/>
    </row>
    <row r="4191" spans="2:4" ht="16" thickBot="1" x14ac:dyDescent="0.25">
      <c r="B4191" s="5">
        <v>4186</v>
      </c>
      <c r="C4191" s="11">
        <v>271.15852040892378</v>
      </c>
      <c r="D4191" s="42"/>
    </row>
    <row r="4192" spans="2:4" ht="16" thickBot="1" x14ac:dyDescent="0.25">
      <c r="B4192" s="4">
        <v>4187</v>
      </c>
      <c r="C4192" s="10">
        <v>173.34930445424953</v>
      </c>
      <c r="D4192" s="42"/>
    </row>
    <row r="4193" spans="2:4" ht="16" thickBot="1" x14ac:dyDescent="0.25">
      <c r="B4193" s="5">
        <v>4188</v>
      </c>
      <c r="C4193" s="11">
        <v>77.375274298746746</v>
      </c>
      <c r="D4193" s="42"/>
    </row>
    <row r="4194" spans="2:4" ht="16" thickBot="1" x14ac:dyDescent="0.25">
      <c r="B4194" s="4">
        <v>4189</v>
      </c>
      <c r="C4194" s="10">
        <v>514.42170857371377</v>
      </c>
      <c r="D4194" s="42"/>
    </row>
    <row r="4195" spans="2:4" ht="16" thickBot="1" x14ac:dyDescent="0.25">
      <c r="B4195" s="5">
        <v>4190</v>
      </c>
      <c r="C4195" s="11">
        <v>320.68369556552614</v>
      </c>
      <c r="D4195" s="42"/>
    </row>
    <row r="4196" spans="2:4" ht="16" thickBot="1" x14ac:dyDescent="0.25">
      <c r="B4196" s="4">
        <v>4191</v>
      </c>
      <c r="C4196" s="10">
        <v>207.54036037506364</v>
      </c>
      <c r="D4196" s="42"/>
    </row>
    <row r="4197" spans="2:4" ht="16" thickBot="1" x14ac:dyDescent="0.25">
      <c r="B4197" s="5">
        <v>4192</v>
      </c>
      <c r="C4197" s="11">
        <v>291.69184209466283</v>
      </c>
      <c r="D4197" s="42"/>
    </row>
    <row r="4198" spans="2:4" ht="16" thickBot="1" x14ac:dyDescent="0.25">
      <c r="B4198" s="4">
        <v>4193</v>
      </c>
      <c r="C4198" s="10">
        <v>178.32238521123858</v>
      </c>
      <c r="D4198" s="42"/>
    </row>
    <row r="4199" spans="2:4" ht="16" thickBot="1" x14ac:dyDescent="0.25">
      <c r="B4199" s="5">
        <v>4194</v>
      </c>
      <c r="C4199" s="11">
        <v>328.61330834771871</v>
      </c>
      <c r="D4199" s="42"/>
    </row>
    <row r="4200" spans="2:4" ht="16" thickBot="1" x14ac:dyDescent="0.25">
      <c r="B4200" s="4">
        <v>4195</v>
      </c>
      <c r="C4200" s="10">
        <v>75.342349957828148</v>
      </c>
      <c r="D4200" s="42"/>
    </row>
    <row r="4201" spans="2:4" ht="16" thickBot="1" x14ac:dyDescent="0.25">
      <c r="B4201" s="5">
        <v>4196</v>
      </c>
      <c r="C4201" s="11">
        <v>121.40948739403436</v>
      </c>
      <c r="D4201" s="42"/>
    </row>
    <row r="4202" spans="2:4" ht="16" thickBot="1" x14ac:dyDescent="0.25">
      <c r="B4202" s="4">
        <v>4197</v>
      </c>
      <c r="C4202" s="10">
        <v>643.72523471447028</v>
      </c>
      <c r="D4202" s="42"/>
    </row>
    <row r="4203" spans="2:4" ht="16" thickBot="1" x14ac:dyDescent="0.25">
      <c r="B4203" s="5">
        <v>4198</v>
      </c>
      <c r="C4203" s="11">
        <v>138.57257987353952</v>
      </c>
      <c r="D4203" s="42"/>
    </row>
    <row r="4204" spans="2:4" ht="16" thickBot="1" x14ac:dyDescent="0.25">
      <c r="B4204" s="4">
        <v>4199</v>
      </c>
      <c r="C4204" s="10">
        <v>499.66847238064435</v>
      </c>
      <c r="D4204" s="42"/>
    </row>
    <row r="4205" spans="2:4" ht="16" thickBot="1" x14ac:dyDescent="0.25">
      <c r="B4205" s="5">
        <v>4200</v>
      </c>
      <c r="C4205" s="11">
        <v>401.50430538289095</v>
      </c>
      <c r="D4205" s="42"/>
    </row>
    <row r="4206" spans="2:4" ht="16" thickBot="1" x14ac:dyDescent="0.25">
      <c r="B4206" s="4">
        <v>4201</v>
      </c>
      <c r="C4206" s="10">
        <v>337.15242699373164</v>
      </c>
      <c r="D4206" s="42"/>
    </row>
    <row r="4207" spans="2:4" ht="16" thickBot="1" x14ac:dyDescent="0.25">
      <c r="B4207" s="5">
        <v>4202</v>
      </c>
      <c r="C4207" s="11">
        <v>242.92489741935617</v>
      </c>
      <c r="D4207" s="42"/>
    </row>
    <row r="4208" spans="2:4" ht="16" thickBot="1" x14ac:dyDescent="0.25">
      <c r="B4208" s="4">
        <v>4203</v>
      </c>
      <c r="C4208" s="10">
        <v>339.82591306361138</v>
      </c>
      <c r="D4208" s="42"/>
    </row>
    <row r="4209" spans="2:4" ht="16" thickBot="1" x14ac:dyDescent="0.25">
      <c r="B4209" s="5">
        <v>4204</v>
      </c>
      <c r="C4209" s="11">
        <v>192.21883770314639</v>
      </c>
      <c r="D4209" s="42"/>
    </row>
    <row r="4210" spans="2:4" ht="16" thickBot="1" x14ac:dyDescent="0.25">
      <c r="B4210" s="4">
        <v>4205</v>
      </c>
      <c r="C4210" s="10">
        <v>130.06838454242754</v>
      </c>
      <c r="D4210" s="42"/>
    </row>
    <row r="4211" spans="2:4" ht="16" thickBot="1" x14ac:dyDescent="0.25">
      <c r="B4211" s="5">
        <v>4206</v>
      </c>
      <c r="C4211" s="11">
        <v>346.47639781657097</v>
      </c>
      <c r="D4211" s="42"/>
    </row>
    <row r="4212" spans="2:4" ht="16" thickBot="1" x14ac:dyDescent="0.25">
      <c r="B4212" s="4">
        <v>4207</v>
      </c>
      <c r="C4212" s="10">
        <v>252.05754751782123</v>
      </c>
      <c r="D4212" s="42"/>
    </row>
    <row r="4213" spans="2:4" ht="16" thickBot="1" x14ac:dyDescent="0.25">
      <c r="B4213" s="5">
        <v>4208</v>
      </c>
      <c r="C4213" s="11">
        <v>274.08623090653754</v>
      </c>
      <c r="D4213" s="42"/>
    </row>
    <row r="4214" spans="2:4" ht="16" thickBot="1" x14ac:dyDescent="0.25">
      <c r="B4214" s="4">
        <v>4209</v>
      </c>
      <c r="C4214" s="10">
        <v>332.61376545055145</v>
      </c>
      <c r="D4214" s="42"/>
    </row>
    <row r="4215" spans="2:4" ht="16" thickBot="1" x14ac:dyDescent="0.25">
      <c r="B4215" s="5">
        <v>4210</v>
      </c>
      <c r="C4215" s="11">
        <v>332.42817178169827</v>
      </c>
      <c r="D4215" s="42"/>
    </row>
    <row r="4216" spans="2:4" ht="16" thickBot="1" x14ac:dyDescent="0.25">
      <c r="B4216" s="4">
        <v>4211</v>
      </c>
      <c r="C4216" s="10">
        <v>73.546088935039123</v>
      </c>
      <c r="D4216" s="42"/>
    </row>
    <row r="4217" spans="2:4" ht="16" thickBot="1" x14ac:dyDescent="0.25">
      <c r="B4217" s="5">
        <v>4212</v>
      </c>
      <c r="C4217" s="11">
        <v>375.70158390589569</v>
      </c>
      <c r="D4217" s="42"/>
    </row>
    <row r="4218" spans="2:4" ht="16" thickBot="1" x14ac:dyDescent="0.25">
      <c r="B4218" s="4">
        <v>4213</v>
      </c>
      <c r="C4218" s="10">
        <v>445.82939714490129</v>
      </c>
      <c r="D4218" s="42"/>
    </row>
    <row r="4219" spans="2:4" ht="16" thickBot="1" x14ac:dyDescent="0.25">
      <c r="B4219" s="5">
        <v>4214</v>
      </c>
      <c r="C4219" s="11">
        <v>572.35630906388667</v>
      </c>
      <c r="D4219" s="42"/>
    </row>
    <row r="4220" spans="2:4" ht="16" thickBot="1" x14ac:dyDescent="0.25">
      <c r="B4220" s="4">
        <v>4215</v>
      </c>
      <c r="C4220" s="10">
        <v>151.05508536907067</v>
      </c>
      <c r="D4220" s="42"/>
    </row>
    <row r="4221" spans="2:4" ht="16" thickBot="1" x14ac:dyDescent="0.25">
      <c r="B4221" s="5">
        <v>4216</v>
      </c>
      <c r="C4221" s="11">
        <v>152.95473274976683</v>
      </c>
      <c r="D4221" s="42"/>
    </row>
    <row r="4222" spans="2:4" ht="16" thickBot="1" x14ac:dyDescent="0.25">
      <c r="B4222" s="4">
        <v>4217</v>
      </c>
      <c r="C4222" s="10">
        <v>54.596832759308498</v>
      </c>
      <c r="D4222" s="42"/>
    </row>
    <row r="4223" spans="2:4" ht="16" thickBot="1" x14ac:dyDescent="0.25">
      <c r="B4223" s="5">
        <v>4218</v>
      </c>
      <c r="C4223" s="11">
        <v>482.1631001390158</v>
      </c>
      <c r="D4223" s="42"/>
    </row>
    <row r="4224" spans="2:4" ht="16" thickBot="1" x14ac:dyDescent="0.25">
      <c r="B4224" s="4">
        <v>4219</v>
      </c>
      <c r="C4224" s="10">
        <v>69.740917512430741</v>
      </c>
      <c r="D4224" s="42"/>
    </row>
    <row r="4225" spans="2:4" ht="16" thickBot="1" x14ac:dyDescent="0.25">
      <c r="B4225" s="5">
        <v>4220</v>
      </c>
      <c r="C4225" s="11">
        <v>272.75710343682408</v>
      </c>
      <c r="D4225" s="42"/>
    </row>
    <row r="4226" spans="2:4" ht="16" thickBot="1" x14ac:dyDescent="0.25">
      <c r="B4226" s="4">
        <v>4221</v>
      </c>
      <c r="C4226" s="10">
        <v>181.79675047578925</v>
      </c>
      <c r="D4226" s="42"/>
    </row>
    <row r="4227" spans="2:4" ht="16" thickBot="1" x14ac:dyDescent="0.25">
      <c r="B4227" s="5">
        <v>4222</v>
      </c>
      <c r="C4227" s="11">
        <v>459.56234521979218</v>
      </c>
      <c r="D4227" s="42"/>
    </row>
    <row r="4228" spans="2:4" ht="16" thickBot="1" x14ac:dyDescent="0.25">
      <c r="B4228" s="4">
        <v>4223</v>
      </c>
      <c r="C4228" s="10">
        <v>239.70611288782777</v>
      </c>
      <c r="D4228" s="42"/>
    </row>
    <row r="4229" spans="2:4" ht="16" thickBot="1" x14ac:dyDescent="0.25">
      <c r="B4229" s="5">
        <v>4224</v>
      </c>
      <c r="C4229" s="11">
        <v>208.22342682196566</v>
      </c>
      <c r="D4229" s="42"/>
    </row>
    <row r="4230" spans="2:4" ht="16" thickBot="1" x14ac:dyDescent="0.25">
      <c r="B4230" s="4">
        <v>4225</v>
      </c>
      <c r="C4230" s="10">
        <v>92.427555924900631</v>
      </c>
      <c r="D4230" s="42"/>
    </row>
    <row r="4231" spans="2:4" ht="16" thickBot="1" x14ac:dyDescent="0.25">
      <c r="B4231" s="5">
        <v>4226</v>
      </c>
      <c r="C4231" s="11">
        <v>400.47345617436002</v>
      </c>
      <c r="D4231" s="42"/>
    </row>
    <row r="4232" spans="2:4" ht="16" thickBot="1" x14ac:dyDescent="0.25">
      <c r="B4232" s="4">
        <v>4227</v>
      </c>
      <c r="C4232" s="10">
        <v>268.15043256631901</v>
      </c>
      <c r="D4232" s="42"/>
    </row>
    <row r="4233" spans="2:4" ht="16" thickBot="1" x14ac:dyDescent="0.25">
      <c r="B4233" s="5">
        <v>4228</v>
      </c>
      <c r="C4233" s="11">
        <v>456.27091156750737</v>
      </c>
      <c r="D4233" s="42"/>
    </row>
    <row r="4234" spans="2:4" ht="16" thickBot="1" x14ac:dyDescent="0.25">
      <c r="B4234" s="4">
        <v>4229</v>
      </c>
      <c r="C4234" s="10">
        <v>197.98115894029692</v>
      </c>
      <c r="D4234" s="42"/>
    </row>
    <row r="4235" spans="2:4" ht="16" thickBot="1" x14ac:dyDescent="0.25">
      <c r="B4235" s="5">
        <v>4230</v>
      </c>
      <c r="C4235" s="11">
        <v>322.01717441500983</v>
      </c>
      <c r="D4235" s="42"/>
    </row>
    <row r="4236" spans="2:4" ht="16" thickBot="1" x14ac:dyDescent="0.25">
      <c r="B4236" s="4">
        <v>4231</v>
      </c>
      <c r="C4236" s="10">
        <v>250.88558024055789</v>
      </c>
      <c r="D4236" s="42"/>
    </row>
    <row r="4237" spans="2:4" ht="16" thickBot="1" x14ac:dyDescent="0.25">
      <c r="B4237" s="5">
        <v>4232</v>
      </c>
      <c r="C4237" s="11">
        <v>220.132500177525</v>
      </c>
      <c r="D4237" s="42"/>
    </row>
    <row r="4238" spans="2:4" ht="16" thickBot="1" x14ac:dyDescent="0.25">
      <c r="B4238" s="4">
        <v>4233</v>
      </c>
      <c r="C4238" s="10">
        <v>320.7729730309976</v>
      </c>
      <c r="D4238" s="42"/>
    </row>
    <row r="4239" spans="2:4" ht="16" thickBot="1" x14ac:dyDescent="0.25">
      <c r="B4239" s="5">
        <v>4234</v>
      </c>
      <c r="C4239" s="11">
        <v>280.19284616830333</v>
      </c>
      <c r="D4239" s="42"/>
    </row>
    <row r="4240" spans="2:4" ht="16" thickBot="1" x14ac:dyDescent="0.25">
      <c r="B4240" s="4">
        <v>4235</v>
      </c>
      <c r="C4240" s="10">
        <v>80.128592997680798</v>
      </c>
      <c r="D4240" s="42"/>
    </row>
    <row r="4241" spans="2:4" ht="16" thickBot="1" x14ac:dyDescent="0.25">
      <c r="B4241" s="5">
        <v>4236</v>
      </c>
      <c r="C4241" s="11">
        <v>254.6875692421238</v>
      </c>
      <c r="D4241" s="42"/>
    </row>
    <row r="4242" spans="2:4" ht="16" thickBot="1" x14ac:dyDescent="0.25">
      <c r="B4242" s="4">
        <v>4237</v>
      </c>
      <c r="C4242" s="10">
        <v>111.32145263794564</v>
      </c>
      <c r="D4242" s="42"/>
    </row>
    <row r="4243" spans="2:4" ht="16" thickBot="1" x14ac:dyDescent="0.25">
      <c r="B4243" s="5">
        <v>4238</v>
      </c>
      <c r="C4243" s="11">
        <v>186.4676802166158</v>
      </c>
      <c r="D4243" s="42"/>
    </row>
    <row r="4244" spans="2:4" ht="16" thickBot="1" x14ac:dyDescent="0.25">
      <c r="B4244" s="4">
        <v>4239</v>
      </c>
      <c r="C4244" s="10">
        <v>221.08908828725268</v>
      </c>
      <c r="D4244" s="42"/>
    </row>
    <row r="4245" spans="2:4" ht="16" thickBot="1" x14ac:dyDescent="0.25">
      <c r="B4245" s="5">
        <v>4240</v>
      </c>
      <c r="C4245" s="11">
        <v>174.25431936474652</v>
      </c>
      <c r="D4245" s="42"/>
    </row>
    <row r="4246" spans="2:4" ht="16" thickBot="1" x14ac:dyDescent="0.25">
      <c r="B4246" s="4">
        <v>4241</v>
      </c>
      <c r="C4246" s="10">
        <v>238.58459906619365</v>
      </c>
      <c r="D4246" s="42"/>
    </row>
    <row r="4247" spans="2:4" ht="16" thickBot="1" x14ac:dyDescent="0.25">
      <c r="B4247" s="5">
        <v>4242</v>
      </c>
      <c r="C4247" s="11">
        <v>317.34108552332145</v>
      </c>
      <c r="D4247" s="42"/>
    </row>
    <row r="4248" spans="2:4" ht="16" thickBot="1" x14ac:dyDescent="0.25">
      <c r="B4248" s="4">
        <v>4243</v>
      </c>
      <c r="C4248" s="10">
        <v>186.31704452017809</v>
      </c>
      <c r="D4248" s="42"/>
    </row>
    <row r="4249" spans="2:4" ht="16" thickBot="1" x14ac:dyDescent="0.25">
      <c r="B4249" s="5">
        <v>4244</v>
      </c>
      <c r="C4249" s="11">
        <v>261.64210490310427</v>
      </c>
      <c r="D4249" s="42"/>
    </row>
    <row r="4250" spans="2:4" ht="16" thickBot="1" x14ac:dyDescent="0.25">
      <c r="B4250" s="4">
        <v>4245</v>
      </c>
      <c r="C4250" s="10">
        <v>259.33158846232794</v>
      </c>
      <c r="D4250" s="42"/>
    </row>
    <row r="4251" spans="2:4" ht="16" thickBot="1" x14ac:dyDescent="0.25">
      <c r="B4251" s="5">
        <v>4246</v>
      </c>
      <c r="C4251" s="11">
        <v>475.65076639012227</v>
      </c>
      <c r="D4251" s="42"/>
    </row>
    <row r="4252" spans="2:4" ht="16" thickBot="1" x14ac:dyDescent="0.25">
      <c r="B4252" s="4">
        <v>4247</v>
      </c>
      <c r="C4252" s="10">
        <v>277.54381616508147</v>
      </c>
      <c r="D4252" s="42"/>
    </row>
    <row r="4253" spans="2:4" ht="16" thickBot="1" x14ac:dyDescent="0.25">
      <c r="B4253" s="5">
        <v>4248</v>
      </c>
      <c r="C4253" s="11">
        <v>132.40766923860173</v>
      </c>
      <c r="D4253" s="42"/>
    </row>
    <row r="4254" spans="2:4" ht="16" thickBot="1" x14ac:dyDescent="0.25">
      <c r="B4254" s="4">
        <v>4249</v>
      </c>
      <c r="C4254" s="10">
        <v>100.0098474815465</v>
      </c>
      <c r="D4254" s="42"/>
    </row>
    <row r="4255" spans="2:4" ht="16" thickBot="1" x14ac:dyDescent="0.25">
      <c r="B4255" s="5">
        <v>4250</v>
      </c>
      <c r="C4255" s="11">
        <v>128.70294041504133</v>
      </c>
      <c r="D4255" s="42"/>
    </row>
    <row r="4256" spans="2:4" ht="16" thickBot="1" x14ac:dyDescent="0.25">
      <c r="B4256" s="4">
        <v>4251</v>
      </c>
      <c r="C4256" s="10">
        <v>525.51373193506754</v>
      </c>
      <c r="D4256" s="42"/>
    </row>
    <row r="4257" spans="2:4" ht="16" thickBot="1" x14ac:dyDescent="0.25">
      <c r="B4257" s="5">
        <v>4252</v>
      </c>
      <c r="C4257" s="11">
        <v>468.26780584161713</v>
      </c>
      <c r="D4257" s="42"/>
    </row>
    <row r="4258" spans="2:4" ht="16" thickBot="1" x14ac:dyDescent="0.25">
      <c r="B4258" s="4">
        <v>4253</v>
      </c>
      <c r="C4258" s="10">
        <v>489.75534942710584</v>
      </c>
      <c r="D4258" s="42"/>
    </row>
    <row r="4259" spans="2:4" ht="16" thickBot="1" x14ac:dyDescent="0.25">
      <c r="B4259" s="5">
        <v>4254</v>
      </c>
      <c r="C4259" s="11">
        <v>138.99766555803012</v>
      </c>
      <c r="D4259" s="42"/>
    </row>
    <row r="4260" spans="2:4" ht="16" thickBot="1" x14ac:dyDescent="0.25">
      <c r="B4260" s="4">
        <v>4255</v>
      </c>
      <c r="C4260" s="10">
        <v>311.9044034848821</v>
      </c>
      <c r="D4260" s="42"/>
    </row>
    <row r="4261" spans="2:4" ht="16" thickBot="1" x14ac:dyDescent="0.25">
      <c r="B4261" s="5">
        <v>4256</v>
      </c>
      <c r="C4261" s="11">
        <v>83.705872510500726</v>
      </c>
      <c r="D4261" s="42"/>
    </row>
    <row r="4262" spans="2:4" ht="16" thickBot="1" x14ac:dyDescent="0.25">
      <c r="B4262" s="4">
        <v>4257</v>
      </c>
      <c r="C4262" s="10">
        <v>65.746474692335156</v>
      </c>
      <c r="D4262" s="42"/>
    </row>
    <row r="4263" spans="2:4" ht="16" thickBot="1" x14ac:dyDescent="0.25">
      <c r="B4263" s="5">
        <v>4258</v>
      </c>
      <c r="C4263" s="11">
        <v>392.03688579604938</v>
      </c>
      <c r="D4263" s="42"/>
    </row>
    <row r="4264" spans="2:4" ht="16" thickBot="1" x14ac:dyDescent="0.25">
      <c r="B4264" s="4">
        <v>4259</v>
      </c>
      <c r="C4264" s="10">
        <v>91.423776621827059</v>
      </c>
      <c r="D4264" s="42"/>
    </row>
    <row r="4265" spans="2:4" ht="16" thickBot="1" x14ac:dyDescent="0.25">
      <c r="B4265" s="5">
        <v>4260</v>
      </c>
      <c r="C4265" s="11">
        <v>307.38850391659753</v>
      </c>
      <c r="D4265" s="42"/>
    </row>
    <row r="4266" spans="2:4" ht="16" thickBot="1" x14ac:dyDescent="0.25">
      <c r="B4266" s="4">
        <v>4261</v>
      </c>
      <c r="C4266" s="10">
        <v>211.85178614411132</v>
      </c>
      <c r="D4266" s="42"/>
    </row>
    <row r="4267" spans="2:4" ht="16" thickBot="1" x14ac:dyDescent="0.25">
      <c r="B4267" s="5">
        <v>4262</v>
      </c>
      <c r="C4267" s="11">
        <v>45.700680207937666</v>
      </c>
      <c r="D4267" s="42"/>
    </row>
    <row r="4268" spans="2:4" ht="16" thickBot="1" x14ac:dyDescent="0.25">
      <c r="B4268" s="4">
        <v>4263</v>
      </c>
      <c r="C4268" s="10">
        <v>497.09090945380723</v>
      </c>
      <c r="D4268" s="42"/>
    </row>
    <row r="4269" spans="2:4" ht="16" thickBot="1" x14ac:dyDescent="0.25">
      <c r="B4269" s="5">
        <v>4264</v>
      </c>
      <c r="C4269" s="11">
        <v>97.851511895488699</v>
      </c>
      <c r="D4269" s="42"/>
    </row>
    <row r="4270" spans="2:4" ht="16" thickBot="1" x14ac:dyDescent="0.25">
      <c r="B4270" s="4">
        <v>4265</v>
      </c>
      <c r="C4270" s="10">
        <v>85.65182392372823</v>
      </c>
      <c r="D4270" s="42"/>
    </row>
    <row r="4271" spans="2:4" ht="16" thickBot="1" x14ac:dyDescent="0.25">
      <c r="B4271" s="5">
        <v>4266</v>
      </c>
      <c r="C4271" s="11">
        <v>68.666421510831043</v>
      </c>
      <c r="D4271" s="42"/>
    </row>
    <row r="4272" spans="2:4" ht="16" thickBot="1" x14ac:dyDescent="0.25">
      <c r="B4272" s="4">
        <v>4267</v>
      </c>
      <c r="C4272" s="10">
        <v>135.00470100311171</v>
      </c>
      <c r="D4272" s="42"/>
    </row>
    <row r="4273" spans="2:4" ht="16" thickBot="1" x14ac:dyDescent="0.25">
      <c r="B4273" s="5">
        <v>4268</v>
      </c>
      <c r="C4273" s="11">
        <v>401.15921419481447</v>
      </c>
      <c r="D4273" s="42"/>
    </row>
    <row r="4274" spans="2:4" ht="16" thickBot="1" x14ac:dyDescent="0.25">
      <c r="B4274" s="4">
        <v>4269</v>
      </c>
      <c r="C4274" s="10">
        <v>154.45173540425435</v>
      </c>
      <c r="D4274" s="42"/>
    </row>
    <row r="4275" spans="2:4" ht="16" thickBot="1" x14ac:dyDescent="0.25">
      <c r="B4275" s="5">
        <v>4270</v>
      </c>
      <c r="C4275" s="11">
        <v>201.08471757757496</v>
      </c>
      <c r="D4275" s="42"/>
    </row>
    <row r="4276" spans="2:4" ht="16" thickBot="1" x14ac:dyDescent="0.25">
      <c r="B4276" s="4">
        <v>4271</v>
      </c>
      <c r="C4276" s="10">
        <v>93.435753615071533</v>
      </c>
      <c r="D4276" s="42"/>
    </row>
    <row r="4277" spans="2:4" ht="16" thickBot="1" x14ac:dyDescent="0.25">
      <c r="B4277" s="5">
        <v>4272</v>
      </c>
      <c r="C4277" s="11">
        <v>159.45647540801423</v>
      </c>
      <c r="D4277" s="42"/>
    </row>
    <row r="4278" spans="2:4" ht="16" thickBot="1" x14ac:dyDescent="0.25">
      <c r="B4278" s="4">
        <v>4273</v>
      </c>
      <c r="C4278" s="10">
        <v>250.131102165979</v>
      </c>
      <c r="D4278" s="42"/>
    </row>
    <row r="4279" spans="2:4" ht="16" thickBot="1" x14ac:dyDescent="0.25">
      <c r="B4279" s="5">
        <v>4274</v>
      </c>
      <c r="C4279" s="11">
        <v>605.91397920280485</v>
      </c>
      <c r="D4279" s="42"/>
    </row>
    <row r="4280" spans="2:4" ht="16" thickBot="1" x14ac:dyDescent="0.25">
      <c r="B4280" s="4">
        <v>4275</v>
      </c>
      <c r="C4280" s="10">
        <v>104.88284961337104</v>
      </c>
      <c r="D4280" s="42"/>
    </row>
    <row r="4281" spans="2:4" ht="16" thickBot="1" x14ac:dyDescent="0.25">
      <c r="B4281" s="5">
        <v>4276</v>
      </c>
      <c r="C4281" s="11">
        <v>464.41273692514108</v>
      </c>
      <c r="D4281" s="42"/>
    </row>
    <row r="4282" spans="2:4" ht="16" thickBot="1" x14ac:dyDescent="0.25">
      <c r="B4282" s="4">
        <v>4277</v>
      </c>
      <c r="C4282" s="10">
        <v>458.96266999670263</v>
      </c>
      <c r="D4282" s="42"/>
    </row>
    <row r="4283" spans="2:4" ht="16" thickBot="1" x14ac:dyDescent="0.25">
      <c r="B4283" s="5">
        <v>4278</v>
      </c>
      <c r="C4283" s="11">
        <v>84.668154771480886</v>
      </c>
      <c r="D4283" s="42"/>
    </row>
    <row r="4284" spans="2:4" ht="16" thickBot="1" x14ac:dyDescent="0.25">
      <c r="B4284" s="4">
        <v>4279</v>
      </c>
      <c r="C4284" s="10">
        <v>197.47948710123867</v>
      </c>
      <c r="D4284" s="42"/>
    </row>
    <row r="4285" spans="2:4" ht="16" thickBot="1" x14ac:dyDescent="0.25">
      <c r="B4285" s="5">
        <v>4280</v>
      </c>
      <c r="C4285" s="11">
        <v>77.411159218428892</v>
      </c>
      <c r="D4285" s="42"/>
    </row>
    <row r="4286" spans="2:4" ht="16" thickBot="1" x14ac:dyDescent="0.25">
      <c r="B4286" s="4">
        <v>4281</v>
      </c>
      <c r="C4286" s="10">
        <v>156.03355424547976</v>
      </c>
      <c r="D4286" s="42"/>
    </row>
    <row r="4287" spans="2:4" ht="16" thickBot="1" x14ac:dyDescent="0.25">
      <c r="B4287" s="5">
        <v>4282</v>
      </c>
      <c r="C4287" s="11">
        <v>292.95044261020513</v>
      </c>
      <c r="D4287" s="42"/>
    </row>
    <row r="4288" spans="2:4" ht="16" thickBot="1" x14ac:dyDescent="0.25">
      <c r="B4288" s="4">
        <v>4283</v>
      </c>
      <c r="C4288" s="10">
        <v>104.24425538612945</v>
      </c>
      <c r="D4288" s="42"/>
    </row>
    <row r="4289" spans="2:4" ht="16" thickBot="1" x14ac:dyDescent="0.25">
      <c r="B4289" s="5">
        <v>4284</v>
      </c>
      <c r="C4289" s="11">
        <v>341.513561510427</v>
      </c>
      <c r="D4289" s="42"/>
    </row>
    <row r="4290" spans="2:4" ht="16" thickBot="1" x14ac:dyDescent="0.25">
      <c r="B4290" s="4">
        <v>4285</v>
      </c>
      <c r="C4290" s="10">
        <v>222.96290131429245</v>
      </c>
      <c r="D4290" s="42"/>
    </row>
    <row r="4291" spans="2:4" ht="16" thickBot="1" x14ac:dyDescent="0.25">
      <c r="B4291" s="5">
        <v>4286</v>
      </c>
      <c r="C4291" s="11">
        <v>461.91921190848632</v>
      </c>
      <c r="D4291" s="42"/>
    </row>
    <row r="4292" spans="2:4" ht="16" thickBot="1" x14ac:dyDescent="0.25">
      <c r="B4292" s="4">
        <v>4287</v>
      </c>
      <c r="C4292" s="10">
        <v>182.24104461392088</v>
      </c>
      <c r="D4292" s="42"/>
    </row>
    <row r="4293" spans="2:4" ht="16" thickBot="1" x14ac:dyDescent="0.25">
      <c r="B4293" s="5">
        <v>4288</v>
      </c>
      <c r="C4293" s="11">
        <v>240.70205270211687</v>
      </c>
      <c r="D4293" s="42"/>
    </row>
    <row r="4294" spans="2:4" ht="16" thickBot="1" x14ac:dyDescent="0.25">
      <c r="B4294" s="4">
        <v>4289</v>
      </c>
      <c r="C4294" s="10">
        <v>203.91980843763497</v>
      </c>
      <c r="D4294" s="42"/>
    </row>
    <row r="4295" spans="2:4" ht="16" thickBot="1" x14ac:dyDescent="0.25">
      <c r="B4295" s="5">
        <v>4290</v>
      </c>
      <c r="C4295" s="11">
        <v>197.93235528002035</v>
      </c>
      <c r="D4295" s="42"/>
    </row>
    <row r="4296" spans="2:4" ht="16" thickBot="1" x14ac:dyDescent="0.25">
      <c r="B4296" s="4">
        <v>4291</v>
      </c>
      <c r="C4296" s="10">
        <v>243.59403393945388</v>
      </c>
      <c r="D4296" s="42"/>
    </row>
    <row r="4297" spans="2:4" ht="16" thickBot="1" x14ac:dyDescent="0.25">
      <c r="B4297" s="5">
        <v>4292</v>
      </c>
      <c r="C4297" s="11">
        <v>351.63602016770284</v>
      </c>
      <c r="D4297" s="42"/>
    </row>
    <row r="4298" spans="2:4" ht="16" thickBot="1" x14ac:dyDescent="0.25">
      <c r="B4298" s="4">
        <v>4293</v>
      </c>
      <c r="C4298" s="10">
        <v>569.7466530770555</v>
      </c>
      <c r="D4298" s="42"/>
    </row>
    <row r="4299" spans="2:4" ht="16" thickBot="1" x14ac:dyDescent="0.25">
      <c r="B4299" s="5">
        <v>4294</v>
      </c>
      <c r="C4299" s="11">
        <v>265.8642292254483</v>
      </c>
      <c r="D4299" s="42"/>
    </row>
    <row r="4300" spans="2:4" ht="16" thickBot="1" x14ac:dyDescent="0.25">
      <c r="B4300" s="4">
        <v>4295</v>
      </c>
      <c r="C4300" s="10">
        <v>256.83410650247106</v>
      </c>
      <c r="D4300" s="42"/>
    </row>
    <row r="4301" spans="2:4" ht="16" thickBot="1" x14ac:dyDescent="0.25">
      <c r="B4301" s="5">
        <v>4296</v>
      </c>
      <c r="C4301" s="11">
        <v>312.43363118578469</v>
      </c>
      <c r="D4301" s="42"/>
    </row>
    <row r="4302" spans="2:4" ht="16" thickBot="1" x14ac:dyDescent="0.25">
      <c r="B4302" s="4">
        <v>4297</v>
      </c>
      <c r="C4302" s="10">
        <v>364.11116723332879</v>
      </c>
      <c r="D4302" s="42"/>
    </row>
    <row r="4303" spans="2:4" ht="16" thickBot="1" x14ac:dyDescent="0.25">
      <c r="B4303" s="5">
        <v>4298</v>
      </c>
      <c r="C4303" s="11">
        <v>122.90994094977808</v>
      </c>
      <c r="D4303" s="42"/>
    </row>
    <row r="4304" spans="2:4" ht="16" thickBot="1" x14ac:dyDescent="0.25">
      <c r="B4304" s="4">
        <v>4299</v>
      </c>
      <c r="C4304" s="10">
        <v>125.07919697330043</v>
      </c>
      <c r="D4304" s="42"/>
    </row>
    <row r="4305" spans="2:4" ht="16" thickBot="1" x14ac:dyDescent="0.25">
      <c r="B4305" s="5">
        <v>4300</v>
      </c>
      <c r="C4305" s="11">
        <v>147.85211812941111</v>
      </c>
      <c r="D4305" s="42"/>
    </row>
    <row r="4306" spans="2:4" ht="16" thickBot="1" x14ac:dyDescent="0.25">
      <c r="B4306" s="4">
        <v>4301</v>
      </c>
      <c r="C4306" s="10">
        <v>349.99637849741396</v>
      </c>
      <c r="D4306" s="42"/>
    </row>
    <row r="4307" spans="2:4" ht="16" thickBot="1" x14ac:dyDescent="0.25">
      <c r="B4307" s="5">
        <v>4302</v>
      </c>
      <c r="C4307" s="11">
        <v>326.03225166309767</v>
      </c>
      <c r="D4307" s="42"/>
    </row>
    <row r="4308" spans="2:4" ht="16" thickBot="1" x14ac:dyDescent="0.25">
      <c r="B4308" s="4">
        <v>4303</v>
      </c>
      <c r="C4308" s="10">
        <v>160.55172906616744</v>
      </c>
      <c r="D4308" s="42"/>
    </row>
    <row r="4309" spans="2:4" ht="16" thickBot="1" x14ac:dyDescent="0.25">
      <c r="B4309" s="5">
        <v>4304</v>
      </c>
      <c r="C4309" s="11">
        <v>220.60083346623082</v>
      </c>
      <c r="D4309" s="42"/>
    </row>
    <row r="4310" spans="2:4" ht="16" thickBot="1" x14ac:dyDescent="0.25">
      <c r="B4310" s="4">
        <v>4305</v>
      </c>
      <c r="C4310" s="10">
        <v>82.211477703571148</v>
      </c>
      <c r="D4310" s="42"/>
    </row>
    <row r="4311" spans="2:4" ht="16" thickBot="1" x14ac:dyDescent="0.25">
      <c r="B4311" s="5">
        <v>4306</v>
      </c>
      <c r="C4311" s="11">
        <v>301.14840526696219</v>
      </c>
      <c r="D4311" s="42"/>
    </row>
    <row r="4312" spans="2:4" ht="16" thickBot="1" x14ac:dyDescent="0.25">
      <c r="B4312" s="4">
        <v>4307</v>
      </c>
      <c r="C4312" s="10">
        <v>214.5395720573575</v>
      </c>
      <c r="D4312" s="42"/>
    </row>
    <row r="4313" spans="2:4" ht="16" thickBot="1" x14ac:dyDescent="0.25">
      <c r="B4313" s="5">
        <v>4308</v>
      </c>
      <c r="C4313" s="11">
        <v>101.47063845200748</v>
      </c>
      <c r="D4313" s="42"/>
    </row>
    <row r="4314" spans="2:4" ht="16" thickBot="1" x14ac:dyDescent="0.25">
      <c r="B4314" s="4">
        <v>4309</v>
      </c>
      <c r="C4314" s="10">
        <v>215.31478057052527</v>
      </c>
      <c r="D4314" s="42"/>
    </row>
    <row r="4315" spans="2:4" ht="16" thickBot="1" x14ac:dyDescent="0.25">
      <c r="B4315" s="5">
        <v>4310</v>
      </c>
      <c r="C4315" s="11">
        <v>657.62391259469257</v>
      </c>
      <c r="D4315" s="42"/>
    </row>
    <row r="4316" spans="2:4" ht="16" thickBot="1" x14ac:dyDescent="0.25">
      <c r="B4316" s="4">
        <v>4311</v>
      </c>
      <c r="C4316" s="10">
        <v>246.02931287408899</v>
      </c>
      <c r="D4316" s="42"/>
    </row>
    <row r="4317" spans="2:4" ht="16" thickBot="1" x14ac:dyDescent="0.25">
      <c r="B4317" s="5">
        <v>4312</v>
      </c>
      <c r="C4317" s="11">
        <v>172.99382743655141</v>
      </c>
      <c r="D4317" s="42"/>
    </row>
    <row r="4318" spans="2:4" ht="16" thickBot="1" x14ac:dyDescent="0.25">
      <c r="B4318" s="4">
        <v>4313</v>
      </c>
      <c r="C4318" s="10">
        <v>388.53197955243678</v>
      </c>
      <c r="D4318" s="42"/>
    </row>
    <row r="4319" spans="2:4" ht="16" thickBot="1" x14ac:dyDescent="0.25">
      <c r="B4319" s="5">
        <v>4314</v>
      </c>
      <c r="C4319" s="11">
        <v>625.55766105253429</v>
      </c>
      <c r="D4319" s="42"/>
    </row>
    <row r="4320" spans="2:4" ht="16" thickBot="1" x14ac:dyDescent="0.25">
      <c r="B4320" s="4">
        <v>4315</v>
      </c>
      <c r="C4320" s="10">
        <v>102.13213199220911</v>
      </c>
      <c r="D4320" s="42"/>
    </row>
    <row r="4321" spans="2:4" ht="16" thickBot="1" x14ac:dyDescent="0.25">
      <c r="B4321" s="5">
        <v>4316</v>
      </c>
      <c r="C4321" s="11">
        <v>32.473259610570452</v>
      </c>
      <c r="D4321" s="42"/>
    </row>
    <row r="4322" spans="2:4" ht="16" thickBot="1" x14ac:dyDescent="0.25">
      <c r="B4322" s="4">
        <v>4317</v>
      </c>
      <c r="C4322" s="10">
        <v>164.66717564061963</v>
      </c>
      <c r="D4322" s="42"/>
    </row>
    <row r="4323" spans="2:4" ht="16" thickBot="1" x14ac:dyDescent="0.25">
      <c r="B4323" s="5">
        <v>4318</v>
      </c>
      <c r="C4323" s="11">
        <v>409.31524027315493</v>
      </c>
      <c r="D4323" s="42"/>
    </row>
    <row r="4324" spans="2:4" ht="16" thickBot="1" x14ac:dyDescent="0.25">
      <c r="B4324" s="4">
        <v>4319</v>
      </c>
      <c r="C4324" s="10">
        <v>228.49345065713538</v>
      </c>
      <c r="D4324" s="42"/>
    </row>
    <row r="4325" spans="2:4" ht="16" thickBot="1" x14ac:dyDescent="0.25">
      <c r="B4325" s="5">
        <v>4320</v>
      </c>
      <c r="C4325" s="11">
        <v>283.23320705093118</v>
      </c>
      <c r="D4325" s="42"/>
    </row>
    <row r="4326" spans="2:4" ht="16" thickBot="1" x14ac:dyDescent="0.25">
      <c r="B4326" s="4">
        <v>4321</v>
      </c>
      <c r="C4326" s="10">
        <v>68.479106250323966</v>
      </c>
      <c r="D4326" s="42"/>
    </row>
    <row r="4327" spans="2:4" ht="16" thickBot="1" x14ac:dyDescent="0.25">
      <c r="B4327" s="5">
        <v>4322</v>
      </c>
      <c r="C4327" s="11">
        <v>489.95624288842157</v>
      </c>
      <c r="D4327" s="42"/>
    </row>
    <row r="4328" spans="2:4" ht="16" thickBot="1" x14ac:dyDescent="0.25">
      <c r="B4328" s="4">
        <v>4323</v>
      </c>
      <c r="C4328" s="10">
        <v>290.74172730047104</v>
      </c>
      <c r="D4328" s="42"/>
    </row>
    <row r="4329" spans="2:4" ht="16" thickBot="1" x14ac:dyDescent="0.25">
      <c r="B4329" s="5">
        <v>4324</v>
      </c>
      <c r="C4329" s="11">
        <v>264.15313157607761</v>
      </c>
      <c r="D4329" s="42"/>
    </row>
    <row r="4330" spans="2:4" ht="16" thickBot="1" x14ac:dyDescent="0.25">
      <c r="B4330" s="4">
        <v>4325</v>
      </c>
      <c r="C4330" s="10">
        <v>169.87584067643161</v>
      </c>
      <c r="D4330" s="42"/>
    </row>
    <row r="4331" spans="2:4" ht="16" thickBot="1" x14ac:dyDescent="0.25">
      <c r="B4331" s="5">
        <v>4326</v>
      </c>
      <c r="C4331" s="11">
        <v>99.173162428401312</v>
      </c>
      <c r="D4331" s="42"/>
    </row>
    <row r="4332" spans="2:4" ht="16" thickBot="1" x14ac:dyDescent="0.25">
      <c r="B4332" s="4">
        <v>4327</v>
      </c>
      <c r="C4332" s="10">
        <v>384.67026599738114</v>
      </c>
      <c r="D4332" s="42"/>
    </row>
    <row r="4333" spans="2:4" ht="16" thickBot="1" x14ac:dyDescent="0.25">
      <c r="B4333" s="5">
        <v>4328</v>
      </c>
      <c r="C4333" s="11">
        <v>427.90640144252365</v>
      </c>
      <c r="D4333" s="42"/>
    </row>
    <row r="4334" spans="2:4" ht="16" thickBot="1" x14ac:dyDescent="0.25">
      <c r="B4334" s="4">
        <v>4329</v>
      </c>
      <c r="C4334" s="10">
        <v>503.50580552457347</v>
      </c>
      <c r="D4334" s="42"/>
    </row>
    <row r="4335" spans="2:4" ht="16" thickBot="1" x14ac:dyDescent="0.25">
      <c r="B4335" s="5">
        <v>4330</v>
      </c>
      <c r="C4335" s="11">
        <v>607.98688253783939</v>
      </c>
      <c r="D4335" s="42"/>
    </row>
    <row r="4336" spans="2:4" ht="16" thickBot="1" x14ac:dyDescent="0.25">
      <c r="B4336" s="4">
        <v>4331</v>
      </c>
      <c r="C4336" s="10">
        <v>460.99737810788025</v>
      </c>
      <c r="D4336" s="42"/>
    </row>
    <row r="4337" spans="2:4" ht="16" thickBot="1" x14ac:dyDescent="0.25">
      <c r="B4337" s="5">
        <v>4332</v>
      </c>
      <c r="C4337" s="11">
        <v>238.4616079375833</v>
      </c>
      <c r="D4337" s="42"/>
    </row>
    <row r="4338" spans="2:4" ht="16" thickBot="1" x14ac:dyDescent="0.25">
      <c r="B4338" s="4">
        <v>4333</v>
      </c>
      <c r="C4338" s="10">
        <v>211.26334968112636</v>
      </c>
      <c r="D4338" s="42"/>
    </row>
    <row r="4339" spans="2:4" ht="16" thickBot="1" x14ac:dyDescent="0.25">
      <c r="B4339" s="5">
        <v>4334</v>
      </c>
      <c r="C4339" s="11">
        <v>134.42428622921091</v>
      </c>
      <c r="D4339" s="42"/>
    </row>
    <row r="4340" spans="2:4" ht="16" thickBot="1" x14ac:dyDescent="0.25">
      <c r="B4340" s="4">
        <v>4335</v>
      </c>
      <c r="C4340" s="10">
        <v>237.90624645466377</v>
      </c>
      <c r="D4340" s="42"/>
    </row>
    <row r="4341" spans="2:4" ht="16" thickBot="1" x14ac:dyDescent="0.25">
      <c r="B4341" s="5">
        <v>4336</v>
      </c>
      <c r="C4341" s="11">
        <v>322.28971478122793</v>
      </c>
      <c r="D4341" s="42"/>
    </row>
    <row r="4342" spans="2:4" ht="16" thickBot="1" x14ac:dyDescent="0.25">
      <c r="B4342" s="4">
        <v>4337</v>
      </c>
      <c r="C4342" s="10">
        <v>89.13454084822834</v>
      </c>
      <c r="D4342" s="42"/>
    </row>
    <row r="4343" spans="2:4" ht="16" thickBot="1" x14ac:dyDescent="0.25">
      <c r="B4343" s="5">
        <v>4338</v>
      </c>
      <c r="C4343" s="11">
        <v>283.78569006241156</v>
      </c>
      <c r="D4343" s="42"/>
    </row>
    <row r="4344" spans="2:4" ht="16" thickBot="1" x14ac:dyDescent="0.25">
      <c r="B4344" s="4">
        <v>4339</v>
      </c>
      <c r="C4344" s="10">
        <v>85.483817681629787</v>
      </c>
      <c r="D4344" s="42"/>
    </row>
    <row r="4345" spans="2:4" ht="16" thickBot="1" x14ac:dyDescent="0.25">
      <c r="B4345" s="5">
        <v>4340</v>
      </c>
      <c r="C4345" s="11">
        <v>108.86829782040229</v>
      </c>
      <c r="D4345" s="42"/>
    </row>
    <row r="4346" spans="2:4" ht="16" thickBot="1" x14ac:dyDescent="0.25">
      <c r="B4346" s="4">
        <v>4341</v>
      </c>
      <c r="C4346" s="10">
        <v>132.85694345153135</v>
      </c>
      <c r="D4346" s="42"/>
    </row>
    <row r="4347" spans="2:4" ht="16" thickBot="1" x14ac:dyDescent="0.25">
      <c r="B4347" s="5">
        <v>4342</v>
      </c>
      <c r="C4347" s="11">
        <v>140.9067035254015</v>
      </c>
      <c r="D4347" s="42"/>
    </row>
    <row r="4348" spans="2:4" ht="16" thickBot="1" x14ac:dyDescent="0.25">
      <c r="B4348" s="4">
        <v>4343</v>
      </c>
      <c r="C4348" s="10">
        <v>381.22648480434663</v>
      </c>
      <c r="D4348" s="42"/>
    </row>
    <row r="4349" spans="2:4" ht="16" thickBot="1" x14ac:dyDescent="0.25">
      <c r="B4349" s="5">
        <v>4344</v>
      </c>
      <c r="C4349" s="11">
        <v>276.65686794038339</v>
      </c>
      <c r="D4349" s="42"/>
    </row>
    <row r="4350" spans="2:4" ht="16" thickBot="1" x14ac:dyDescent="0.25">
      <c r="B4350" s="4">
        <v>4345</v>
      </c>
      <c r="C4350" s="10">
        <v>300.25260649480987</v>
      </c>
      <c r="D4350" s="42"/>
    </row>
    <row r="4351" spans="2:4" ht="16" thickBot="1" x14ac:dyDescent="0.25">
      <c r="B4351" s="5">
        <v>4346</v>
      </c>
      <c r="C4351" s="11">
        <v>292.57220872391366</v>
      </c>
      <c r="D4351" s="42"/>
    </row>
    <row r="4352" spans="2:4" ht="16" thickBot="1" x14ac:dyDescent="0.25">
      <c r="B4352" s="4">
        <v>4347</v>
      </c>
      <c r="C4352" s="10">
        <v>123.13038717882685</v>
      </c>
      <c r="D4352" s="42"/>
    </row>
    <row r="4353" spans="2:4" ht="16" thickBot="1" x14ac:dyDescent="0.25">
      <c r="B4353" s="5">
        <v>4348</v>
      </c>
      <c r="C4353" s="11">
        <v>132.13690139752353</v>
      </c>
      <c r="D4353" s="42"/>
    </row>
    <row r="4354" spans="2:4" ht="16" thickBot="1" x14ac:dyDescent="0.25">
      <c r="B4354" s="4">
        <v>4349</v>
      </c>
      <c r="C4354" s="10">
        <v>346.35674591169703</v>
      </c>
      <c r="D4354" s="42"/>
    </row>
    <row r="4355" spans="2:4" ht="16" thickBot="1" x14ac:dyDescent="0.25">
      <c r="B4355" s="5">
        <v>4350</v>
      </c>
      <c r="C4355" s="11">
        <v>163.23278605992058</v>
      </c>
      <c r="D4355" s="42"/>
    </row>
    <row r="4356" spans="2:4" ht="16" thickBot="1" x14ac:dyDescent="0.25">
      <c r="B4356" s="4">
        <v>4351</v>
      </c>
      <c r="C4356" s="10">
        <v>516.20101707144761</v>
      </c>
      <c r="D4356" s="42"/>
    </row>
    <row r="4357" spans="2:4" ht="16" thickBot="1" x14ac:dyDescent="0.25">
      <c r="B4357" s="5">
        <v>4352</v>
      </c>
      <c r="C4357" s="11">
        <v>221.31214969322025</v>
      </c>
      <c r="D4357" s="42"/>
    </row>
    <row r="4358" spans="2:4" ht="16" thickBot="1" x14ac:dyDescent="0.25">
      <c r="B4358" s="4">
        <v>4353</v>
      </c>
      <c r="C4358" s="10">
        <v>371.85426549519258</v>
      </c>
      <c r="D4358" s="42"/>
    </row>
    <row r="4359" spans="2:4" ht="16" thickBot="1" x14ac:dyDescent="0.25">
      <c r="B4359" s="5">
        <v>4354</v>
      </c>
      <c r="C4359" s="11">
        <v>313.89376091254957</v>
      </c>
      <c r="D4359" s="42"/>
    </row>
    <row r="4360" spans="2:4" ht="16" thickBot="1" x14ac:dyDescent="0.25">
      <c r="B4360" s="4">
        <v>4355</v>
      </c>
      <c r="C4360" s="10">
        <v>284.2846659946207</v>
      </c>
      <c r="D4360" s="42"/>
    </row>
    <row r="4361" spans="2:4" ht="16" thickBot="1" x14ac:dyDescent="0.25">
      <c r="B4361" s="5">
        <v>4356</v>
      </c>
      <c r="C4361" s="11">
        <v>163.77282711900071</v>
      </c>
      <c r="D4361" s="42"/>
    </row>
    <row r="4362" spans="2:4" ht="16" thickBot="1" x14ac:dyDescent="0.25">
      <c r="B4362" s="4">
        <v>4357</v>
      </c>
      <c r="C4362" s="10">
        <v>280.29977777022026</v>
      </c>
      <c r="D4362" s="42"/>
    </row>
    <row r="4363" spans="2:4" ht="16" thickBot="1" x14ac:dyDescent="0.25">
      <c r="B4363" s="5">
        <v>4358</v>
      </c>
      <c r="C4363" s="11">
        <v>93.690390026600483</v>
      </c>
      <c r="D4363" s="42"/>
    </row>
    <row r="4364" spans="2:4" ht="16" thickBot="1" x14ac:dyDescent="0.25">
      <c r="B4364" s="4">
        <v>4359</v>
      </c>
      <c r="C4364" s="10">
        <v>306.51890683024999</v>
      </c>
      <c r="D4364" s="42"/>
    </row>
    <row r="4365" spans="2:4" ht="16" thickBot="1" x14ac:dyDescent="0.25">
      <c r="B4365" s="5">
        <v>4360</v>
      </c>
      <c r="C4365" s="11">
        <v>172.38269141968257</v>
      </c>
      <c r="D4365" s="42"/>
    </row>
    <row r="4366" spans="2:4" ht="16" thickBot="1" x14ac:dyDescent="0.25">
      <c r="B4366" s="4">
        <v>4361</v>
      </c>
      <c r="C4366" s="10">
        <v>361.27568949199571</v>
      </c>
      <c r="D4366" s="42"/>
    </row>
    <row r="4367" spans="2:4" ht="16" thickBot="1" x14ac:dyDescent="0.25">
      <c r="B4367" s="5">
        <v>4362</v>
      </c>
      <c r="C4367" s="11">
        <v>200.7602008906137</v>
      </c>
      <c r="D4367" s="42"/>
    </row>
    <row r="4368" spans="2:4" ht="16" thickBot="1" x14ac:dyDescent="0.25">
      <c r="B4368" s="4">
        <v>4363</v>
      </c>
      <c r="C4368" s="10">
        <v>314.50203596913263</v>
      </c>
      <c r="D4368" s="42"/>
    </row>
    <row r="4369" spans="2:4" ht="16" thickBot="1" x14ac:dyDescent="0.25">
      <c r="B4369" s="5">
        <v>4364</v>
      </c>
      <c r="C4369" s="11">
        <v>357.07275174374172</v>
      </c>
      <c r="D4369" s="42"/>
    </row>
    <row r="4370" spans="2:4" ht="16" thickBot="1" x14ac:dyDescent="0.25">
      <c r="B4370" s="4">
        <v>4365</v>
      </c>
      <c r="C4370" s="10">
        <v>256.34754886550036</v>
      </c>
      <c r="D4370" s="42"/>
    </row>
    <row r="4371" spans="2:4" ht="16" thickBot="1" x14ac:dyDescent="0.25">
      <c r="B4371" s="5">
        <v>4366</v>
      </c>
      <c r="C4371" s="11">
        <v>121.48000297466963</v>
      </c>
      <c r="D4371" s="42"/>
    </row>
    <row r="4372" spans="2:4" ht="16" thickBot="1" x14ac:dyDescent="0.25">
      <c r="B4372" s="4">
        <v>4367</v>
      </c>
      <c r="C4372" s="10">
        <v>109.25813047812173</v>
      </c>
      <c r="D4372" s="42"/>
    </row>
    <row r="4373" spans="2:4" ht="16" thickBot="1" x14ac:dyDescent="0.25">
      <c r="B4373" s="5">
        <v>4368</v>
      </c>
      <c r="C4373" s="11">
        <v>119.2483874800586</v>
      </c>
      <c r="D4373" s="42"/>
    </row>
    <row r="4374" spans="2:4" ht="16" thickBot="1" x14ac:dyDescent="0.25">
      <c r="B4374" s="4">
        <v>4369</v>
      </c>
      <c r="C4374" s="10">
        <v>50.475341658818152</v>
      </c>
      <c r="D4374" s="42"/>
    </row>
    <row r="4375" spans="2:4" ht="16" thickBot="1" x14ac:dyDescent="0.25">
      <c r="B4375" s="5">
        <v>4370</v>
      </c>
      <c r="C4375" s="11">
        <v>283.55215879432876</v>
      </c>
      <c r="D4375" s="42"/>
    </row>
    <row r="4376" spans="2:4" ht="16" thickBot="1" x14ac:dyDescent="0.25">
      <c r="B4376" s="4">
        <v>4371</v>
      </c>
      <c r="C4376" s="10">
        <v>575.28811236251579</v>
      </c>
      <c r="D4376" s="42"/>
    </row>
    <row r="4377" spans="2:4" ht="16" thickBot="1" x14ac:dyDescent="0.25">
      <c r="B4377" s="5">
        <v>4372</v>
      </c>
      <c r="C4377" s="11">
        <v>187.8112765342575</v>
      </c>
      <c r="D4377" s="42"/>
    </row>
    <row r="4378" spans="2:4" ht="16" thickBot="1" x14ac:dyDescent="0.25">
      <c r="B4378" s="4">
        <v>4373</v>
      </c>
      <c r="C4378" s="10">
        <v>210.36387256069608</v>
      </c>
      <c r="D4378" s="42"/>
    </row>
    <row r="4379" spans="2:4" ht="16" thickBot="1" x14ac:dyDescent="0.25">
      <c r="B4379" s="5">
        <v>4374</v>
      </c>
      <c r="C4379" s="11">
        <v>155.74236640184427</v>
      </c>
      <c r="D4379" s="42"/>
    </row>
    <row r="4380" spans="2:4" ht="16" thickBot="1" x14ac:dyDescent="0.25">
      <c r="B4380" s="4">
        <v>4375</v>
      </c>
      <c r="C4380" s="10">
        <v>76.405473568770617</v>
      </c>
      <c r="D4380" s="42"/>
    </row>
    <row r="4381" spans="2:4" ht="16" thickBot="1" x14ac:dyDescent="0.25">
      <c r="B4381" s="5">
        <v>4376</v>
      </c>
      <c r="C4381" s="11">
        <v>242.75395917532578</v>
      </c>
      <c r="D4381" s="42"/>
    </row>
    <row r="4382" spans="2:4" ht="16" thickBot="1" x14ac:dyDescent="0.25">
      <c r="B4382" s="4">
        <v>4377</v>
      </c>
      <c r="C4382" s="10">
        <v>710.41247877519652</v>
      </c>
      <c r="D4382" s="42"/>
    </row>
    <row r="4383" spans="2:4" ht="16" thickBot="1" x14ac:dyDescent="0.25">
      <c r="B4383" s="5">
        <v>4378</v>
      </c>
      <c r="C4383" s="11">
        <v>300.80794542041133</v>
      </c>
      <c r="D4383" s="42"/>
    </row>
    <row r="4384" spans="2:4" ht="16" thickBot="1" x14ac:dyDescent="0.25">
      <c r="B4384" s="4">
        <v>4379</v>
      </c>
      <c r="C4384" s="10">
        <v>294.97117559084552</v>
      </c>
      <c r="D4384" s="42"/>
    </row>
    <row r="4385" spans="2:4" ht="16" thickBot="1" x14ac:dyDescent="0.25">
      <c r="B4385" s="5">
        <v>4380</v>
      </c>
      <c r="C4385" s="11">
        <v>84.025497654822402</v>
      </c>
      <c r="D4385" s="42"/>
    </row>
    <row r="4386" spans="2:4" ht="16" thickBot="1" x14ac:dyDescent="0.25">
      <c r="B4386" s="4">
        <v>4381</v>
      </c>
      <c r="C4386" s="10">
        <v>389.57682804532516</v>
      </c>
      <c r="D4386" s="42"/>
    </row>
    <row r="4387" spans="2:4" ht="16" thickBot="1" x14ac:dyDescent="0.25">
      <c r="B4387" s="5">
        <v>4382</v>
      </c>
      <c r="C4387" s="11">
        <v>352.65459210412683</v>
      </c>
      <c r="D4387" s="42"/>
    </row>
    <row r="4388" spans="2:4" ht="16" thickBot="1" x14ac:dyDescent="0.25">
      <c r="B4388" s="4">
        <v>4383</v>
      </c>
      <c r="C4388" s="10">
        <v>54.967281039925631</v>
      </c>
      <c r="D4388" s="42"/>
    </row>
    <row r="4389" spans="2:4" ht="16" thickBot="1" x14ac:dyDescent="0.25">
      <c r="B4389" s="5">
        <v>4384</v>
      </c>
      <c r="C4389" s="11">
        <v>271.93704685721337</v>
      </c>
      <c r="D4389" s="42"/>
    </row>
    <row r="4390" spans="2:4" ht="16" thickBot="1" x14ac:dyDescent="0.25">
      <c r="B4390" s="4">
        <v>4385</v>
      </c>
      <c r="C4390" s="10">
        <v>488.20261291200273</v>
      </c>
      <c r="D4390" s="42"/>
    </row>
    <row r="4391" spans="2:4" ht="16" thickBot="1" x14ac:dyDescent="0.25">
      <c r="B4391" s="5">
        <v>4386</v>
      </c>
      <c r="C4391" s="11">
        <v>219.83110259484801</v>
      </c>
      <c r="D4391" s="42"/>
    </row>
    <row r="4392" spans="2:4" ht="16" thickBot="1" x14ac:dyDescent="0.25">
      <c r="B4392" s="4">
        <v>4387</v>
      </c>
      <c r="C4392" s="10">
        <v>295.50066426074858</v>
      </c>
      <c r="D4392" s="42"/>
    </row>
    <row r="4393" spans="2:4" ht="16" thickBot="1" x14ac:dyDescent="0.25">
      <c r="B4393" s="5">
        <v>4388</v>
      </c>
      <c r="C4393" s="11">
        <v>307.43555536050781</v>
      </c>
      <c r="D4393" s="42"/>
    </row>
    <row r="4394" spans="2:4" ht="16" thickBot="1" x14ac:dyDescent="0.25">
      <c r="B4394" s="4">
        <v>4389</v>
      </c>
      <c r="C4394" s="10">
        <v>225.5770873665862</v>
      </c>
      <c r="D4394" s="42"/>
    </row>
    <row r="4395" spans="2:4" ht="16" thickBot="1" x14ac:dyDescent="0.25">
      <c r="B4395" s="5">
        <v>4390</v>
      </c>
      <c r="C4395" s="11">
        <v>515.84174405121303</v>
      </c>
      <c r="D4395" s="42"/>
    </row>
    <row r="4396" spans="2:4" ht="16" thickBot="1" x14ac:dyDescent="0.25">
      <c r="B4396" s="4">
        <v>4391</v>
      </c>
      <c r="C4396" s="10">
        <v>187.24993358287898</v>
      </c>
      <c r="D4396" s="42"/>
    </row>
    <row r="4397" spans="2:4" ht="16" thickBot="1" x14ac:dyDescent="0.25">
      <c r="B4397" s="5">
        <v>4392</v>
      </c>
      <c r="C4397" s="11">
        <v>103.57530846489507</v>
      </c>
      <c r="D4397" s="42"/>
    </row>
    <row r="4398" spans="2:4" ht="16" thickBot="1" x14ac:dyDescent="0.25">
      <c r="B4398" s="4">
        <v>4393</v>
      </c>
      <c r="C4398" s="10">
        <v>131.16140098677275</v>
      </c>
      <c r="D4398" s="42"/>
    </row>
    <row r="4399" spans="2:4" ht="16" thickBot="1" x14ac:dyDescent="0.25">
      <c r="B4399" s="5">
        <v>4394</v>
      </c>
      <c r="C4399" s="11">
        <v>177.7029986020533</v>
      </c>
      <c r="D4399" s="42"/>
    </row>
    <row r="4400" spans="2:4" ht="16" thickBot="1" x14ac:dyDescent="0.25">
      <c r="B4400" s="4">
        <v>4395</v>
      </c>
      <c r="C4400" s="10">
        <v>130.10669367486861</v>
      </c>
      <c r="D4400" s="42"/>
    </row>
    <row r="4401" spans="2:4" ht="16" thickBot="1" x14ac:dyDescent="0.25">
      <c r="B4401" s="5">
        <v>4396</v>
      </c>
      <c r="C4401" s="11">
        <v>203.30106922668617</v>
      </c>
      <c r="D4401" s="42"/>
    </row>
    <row r="4402" spans="2:4" ht="16" thickBot="1" x14ac:dyDescent="0.25">
      <c r="B4402" s="4">
        <v>4397</v>
      </c>
      <c r="C4402" s="10">
        <v>206.93418085753945</v>
      </c>
      <c r="D4402" s="42"/>
    </row>
    <row r="4403" spans="2:4" ht="16" thickBot="1" x14ac:dyDescent="0.25">
      <c r="B4403" s="5">
        <v>4398</v>
      </c>
      <c r="C4403" s="11">
        <v>134.13694219266341</v>
      </c>
      <c r="D4403" s="42"/>
    </row>
    <row r="4404" spans="2:4" ht="16" thickBot="1" x14ac:dyDescent="0.25">
      <c r="B4404" s="4">
        <v>4399</v>
      </c>
      <c r="C4404" s="10">
        <v>48.604127153712966</v>
      </c>
      <c r="D4404" s="42"/>
    </row>
    <row r="4405" spans="2:4" ht="16" thickBot="1" x14ac:dyDescent="0.25">
      <c r="B4405" s="5">
        <v>4400</v>
      </c>
      <c r="C4405" s="11">
        <v>397.07707664355155</v>
      </c>
      <c r="D4405" s="42"/>
    </row>
    <row r="4406" spans="2:4" ht="16" thickBot="1" x14ac:dyDescent="0.25">
      <c r="B4406" s="4">
        <v>4401</v>
      </c>
      <c r="C4406" s="10">
        <v>354.27293822226346</v>
      </c>
      <c r="D4406" s="42"/>
    </row>
    <row r="4407" spans="2:4" ht="16" thickBot="1" x14ac:dyDescent="0.25">
      <c r="B4407" s="5">
        <v>4402</v>
      </c>
      <c r="C4407" s="11">
        <v>328.22115557496932</v>
      </c>
      <c r="D4407" s="42"/>
    </row>
    <row r="4408" spans="2:4" ht="16" thickBot="1" x14ac:dyDescent="0.25">
      <c r="B4408" s="4">
        <v>4403</v>
      </c>
      <c r="C4408" s="10">
        <v>140.7263553019628</v>
      </c>
      <c r="D4408" s="42"/>
    </row>
    <row r="4409" spans="2:4" ht="16" thickBot="1" x14ac:dyDescent="0.25">
      <c r="B4409" s="5">
        <v>4404</v>
      </c>
      <c r="C4409" s="11">
        <v>26.906536176368107</v>
      </c>
      <c r="D4409" s="42"/>
    </row>
    <row r="4410" spans="2:4" ht="16" thickBot="1" x14ac:dyDescent="0.25">
      <c r="B4410" s="4">
        <v>4405</v>
      </c>
      <c r="C4410" s="10">
        <v>133.41835908252483</v>
      </c>
      <c r="D4410" s="42"/>
    </row>
    <row r="4411" spans="2:4" ht="16" thickBot="1" x14ac:dyDescent="0.25">
      <c r="B4411" s="5">
        <v>4406</v>
      </c>
      <c r="C4411" s="11">
        <v>554.95708793837605</v>
      </c>
      <c r="D4411" s="42"/>
    </row>
    <row r="4412" spans="2:4" ht="16" thickBot="1" x14ac:dyDescent="0.25">
      <c r="B4412" s="4">
        <v>4407</v>
      </c>
      <c r="C4412" s="10">
        <v>174.48553303018664</v>
      </c>
      <c r="D4412" s="42"/>
    </row>
    <row r="4413" spans="2:4" ht="16" thickBot="1" x14ac:dyDescent="0.25">
      <c r="B4413" s="5">
        <v>4408</v>
      </c>
      <c r="C4413" s="11">
        <v>247.58128894411229</v>
      </c>
      <c r="D4413" s="42"/>
    </row>
    <row r="4414" spans="2:4" ht="16" thickBot="1" x14ac:dyDescent="0.25">
      <c r="B4414" s="4">
        <v>4409</v>
      </c>
      <c r="C4414" s="10">
        <v>251.42273582976495</v>
      </c>
      <c r="D4414" s="42"/>
    </row>
    <row r="4415" spans="2:4" ht="16" thickBot="1" x14ac:dyDescent="0.25">
      <c r="B4415" s="5">
        <v>4410</v>
      </c>
      <c r="C4415" s="11">
        <v>197.81383230456262</v>
      </c>
      <c r="D4415" s="42"/>
    </row>
    <row r="4416" spans="2:4" ht="16" thickBot="1" x14ac:dyDescent="0.25">
      <c r="B4416" s="4">
        <v>4411</v>
      </c>
      <c r="C4416" s="10">
        <v>178.3551840735831</v>
      </c>
      <c r="D4416" s="42"/>
    </row>
    <row r="4417" spans="2:4" ht="16" thickBot="1" x14ac:dyDescent="0.25">
      <c r="B4417" s="5">
        <v>4412</v>
      </c>
      <c r="C4417" s="11">
        <v>189.18077408057596</v>
      </c>
      <c r="D4417" s="42"/>
    </row>
    <row r="4418" spans="2:4" ht="16" thickBot="1" x14ac:dyDescent="0.25">
      <c r="B4418" s="4">
        <v>4413</v>
      </c>
      <c r="C4418" s="10">
        <v>249.90780061324529</v>
      </c>
      <c r="D4418" s="42"/>
    </row>
    <row r="4419" spans="2:4" ht="16" thickBot="1" x14ac:dyDescent="0.25">
      <c r="B4419" s="5">
        <v>4414</v>
      </c>
      <c r="C4419" s="11">
        <v>122.83543737864233</v>
      </c>
      <c r="D4419" s="42"/>
    </row>
    <row r="4420" spans="2:4" ht="16" thickBot="1" x14ac:dyDescent="0.25">
      <c r="B4420" s="4">
        <v>4415</v>
      </c>
      <c r="C4420" s="10">
        <v>236.05047225440217</v>
      </c>
      <c r="D4420" s="42"/>
    </row>
    <row r="4421" spans="2:4" ht="16" thickBot="1" x14ac:dyDescent="0.25">
      <c r="B4421" s="5">
        <v>4416</v>
      </c>
      <c r="C4421" s="11">
        <v>191.2312765503342</v>
      </c>
      <c r="D4421" s="42"/>
    </row>
    <row r="4422" spans="2:4" ht="16" thickBot="1" x14ac:dyDescent="0.25">
      <c r="B4422" s="4">
        <v>4417</v>
      </c>
      <c r="C4422" s="10">
        <v>343.49528852404075</v>
      </c>
      <c r="D4422" s="42"/>
    </row>
    <row r="4423" spans="2:4" ht="16" thickBot="1" x14ac:dyDescent="0.25">
      <c r="B4423" s="5">
        <v>4418</v>
      </c>
      <c r="C4423" s="11">
        <v>110.56971750263756</v>
      </c>
      <c r="D4423" s="42"/>
    </row>
    <row r="4424" spans="2:4" ht="16" thickBot="1" x14ac:dyDescent="0.25">
      <c r="B4424" s="4">
        <v>4419</v>
      </c>
      <c r="C4424" s="10">
        <v>140.55074241787275</v>
      </c>
      <c r="D4424" s="42"/>
    </row>
    <row r="4425" spans="2:4" ht="16" thickBot="1" x14ac:dyDescent="0.25">
      <c r="B4425" s="5">
        <v>4420</v>
      </c>
      <c r="C4425" s="11">
        <v>226.10719733738458</v>
      </c>
      <c r="D4425" s="42"/>
    </row>
    <row r="4426" spans="2:4" ht="16" thickBot="1" x14ac:dyDescent="0.25">
      <c r="B4426" s="4">
        <v>4421</v>
      </c>
      <c r="C4426" s="10">
        <v>205.76164338920964</v>
      </c>
      <c r="D4426" s="42"/>
    </row>
    <row r="4427" spans="2:4" ht="16" thickBot="1" x14ac:dyDescent="0.25">
      <c r="B4427" s="5">
        <v>4422</v>
      </c>
      <c r="C4427" s="11">
        <v>76.486517797183495</v>
      </c>
      <c r="D4427" s="42"/>
    </row>
    <row r="4428" spans="2:4" ht="16" thickBot="1" x14ac:dyDescent="0.25">
      <c r="B4428" s="4">
        <v>4423</v>
      </c>
      <c r="C4428" s="10">
        <v>401.11766997146196</v>
      </c>
      <c r="D4428" s="42"/>
    </row>
    <row r="4429" spans="2:4" ht="16" thickBot="1" x14ac:dyDescent="0.25">
      <c r="B4429" s="5">
        <v>4424</v>
      </c>
      <c r="C4429" s="11">
        <v>285.06320957755196</v>
      </c>
      <c r="D4429" s="42"/>
    </row>
    <row r="4430" spans="2:4" ht="16" thickBot="1" x14ac:dyDescent="0.25">
      <c r="B4430" s="4">
        <v>4425</v>
      </c>
      <c r="C4430" s="10">
        <v>216.86186651198935</v>
      </c>
      <c r="D4430" s="42"/>
    </row>
    <row r="4431" spans="2:4" ht="16" thickBot="1" x14ac:dyDescent="0.25">
      <c r="B4431" s="5">
        <v>4426</v>
      </c>
      <c r="C4431" s="11">
        <v>187.8549124580413</v>
      </c>
      <c r="D4431" s="42"/>
    </row>
    <row r="4432" spans="2:4" ht="16" thickBot="1" x14ac:dyDescent="0.25">
      <c r="B4432" s="4">
        <v>4427</v>
      </c>
      <c r="C4432" s="10">
        <v>654.29813864775508</v>
      </c>
      <c r="D4432" s="42"/>
    </row>
    <row r="4433" spans="2:4" ht="16" thickBot="1" x14ac:dyDescent="0.25">
      <c r="B4433" s="5">
        <v>4428</v>
      </c>
      <c r="C4433" s="11">
        <v>60.861904914831719</v>
      </c>
      <c r="D4433" s="42"/>
    </row>
    <row r="4434" spans="2:4" ht="16" thickBot="1" x14ac:dyDescent="0.25">
      <c r="B4434" s="4">
        <v>4429</v>
      </c>
      <c r="C4434" s="10">
        <v>280.49537528006613</v>
      </c>
      <c r="D4434" s="42"/>
    </row>
    <row r="4435" spans="2:4" ht="16" thickBot="1" x14ac:dyDescent="0.25">
      <c r="B4435" s="5">
        <v>4430</v>
      </c>
      <c r="C4435" s="11">
        <v>259.14432700614117</v>
      </c>
      <c r="D4435" s="42"/>
    </row>
    <row r="4436" spans="2:4" ht="16" thickBot="1" x14ac:dyDescent="0.25">
      <c r="B4436" s="4">
        <v>4431</v>
      </c>
      <c r="C4436" s="10">
        <v>122.80297105666322</v>
      </c>
      <c r="D4436" s="42"/>
    </row>
    <row r="4437" spans="2:4" ht="16" thickBot="1" x14ac:dyDescent="0.25">
      <c r="B4437" s="5">
        <v>4432</v>
      </c>
      <c r="C4437" s="11">
        <v>195.02835301277045</v>
      </c>
      <c r="D4437" s="42"/>
    </row>
    <row r="4438" spans="2:4" ht="16" thickBot="1" x14ac:dyDescent="0.25">
      <c r="B4438" s="4">
        <v>4433</v>
      </c>
      <c r="C4438" s="10">
        <v>205.58506528624503</v>
      </c>
      <c r="D4438" s="42"/>
    </row>
    <row r="4439" spans="2:4" ht="16" thickBot="1" x14ac:dyDescent="0.25">
      <c r="B4439" s="5">
        <v>4434</v>
      </c>
      <c r="C4439" s="11">
        <v>197.05228631524312</v>
      </c>
      <c r="D4439" s="42"/>
    </row>
    <row r="4440" spans="2:4" ht="16" thickBot="1" x14ac:dyDescent="0.25">
      <c r="B4440" s="4">
        <v>4435</v>
      </c>
      <c r="C4440" s="10">
        <v>185.05316563747664</v>
      </c>
      <c r="D4440" s="42"/>
    </row>
    <row r="4441" spans="2:4" ht="16" thickBot="1" x14ac:dyDescent="0.25">
      <c r="B4441" s="5">
        <v>4436</v>
      </c>
      <c r="C4441" s="11">
        <v>253.85684545970412</v>
      </c>
      <c r="D4441" s="42"/>
    </row>
    <row r="4442" spans="2:4" ht="16" thickBot="1" x14ac:dyDescent="0.25">
      <c r="B4442" s="4">
        <v>4437</v>
      </c>
      <c r="C4442" s="10">
        <v>399.39549675950838</v>
      </c>
      <c r="D4442" s="42"/>
    </row>
    <row r="4443" spans="2:4" ht="16" thickBot="1" x14ac:dyDescent="0.25">
      <c r="B4443" s="5">
        <v>4438</v>
      </c>
      <c r="C4443" s="11">
        <v>209.07727584562747</v>
      </c>
      <c r="D4443" s="42"/>
    </row>
    <row r="4444" spans="2:4" ht="16" thickBot="1" x14ac:dyDescent="0.25">
      <c r="B4444" s="4">
        <v>4439</v>
      </c>
      <c r="C4444" s="10">
        <v>71.117487440970777</v>
      </c>
      <c r="D4444" s="42"/>
    </row>
    <row r="4445" spans="2:4" ht="16" thickBot="1" x14ac:dyDescent="0.25">
      <c r="B4445" s="5">
        <v>4440</v>
      </c>
      <c r="C4445" s="11">
        <v>402.12128492378082</v>
      </c>
      <c r="D4445" s="42"/>
    </row>
    <row r="4446" spans="2:4" ht="16" thickBot="1" x14ac:dyDescent="0.25">
      <c r="B4446" s="4">
        <v>4441</v>
      </c>
      <c r="C4446" s="10">
        <v>323.44733886850514</v>
      </c>
      <c r="D4446" s="42"/>
    </row>
    <row r="4447" spans="2:4" ht="16" thickBot="1" x14ac:dyDescent="0.25">
      <c r="B4447" s="5">
        <v>4442</v>
      </c>
      <c r="C4447" s="11">
        <v>456.94124915463698</v>
      </c>
      <c r="D4447" s="42"/>
    </row>
    <row r="4448" spans="2:4" ht="16" thickBot="1" x14ac:dyDescent="0.25">
      <c r="B4448" s="4">
        <v>4443</v>
      </c>
      <c r="C4448" s="10">
        <v>163.11118571105879</v>
      </c>
      <c r="D4448" s="42"/>
    </row>
    <row r="4449" spans="2:4" ht="16" thickBot="1" x14ac:dyDescent="0.25">
      <c r="B4449" s="5">
        <v>4444</v>
      </c>
      <c r="C4449" s="11">
        <v>135.82856461630442</v>
      </c>
      <c r="D4449" s="42"/>
    </row>
    <row r="4450" spans="2:4" ht="16" thickBot="1" x14ac:dyDescent="0.25">
      <c r="B4450" s="4">
        <v>4445</v>
      </c>
      <c r="C4450" s="10">
        <v>563.68371616508182</v>
      </c>
      <c r="D4450" s="42"/>
    </row>
    <row r="4451" spans="2:4" ht="16" thickBot="1" x14ac:dyDescent="0.25">
      <c r="B4451" s="5">
        <v>4446</v>
      </c>
      <c r="C4451" s="11">
        <v>117.04339831973566</v>
      </c>
      <c r="D4451" s="42"/>
    </row>
    <row r="4452" spans="2:4" ht="16" thickBot="1" x14ac:dyDescent="0.25">
      <c r="B4452" s="4">
        <v>4447</v>
      </c>
      <c r="C4452" s="10">
        <v>548.7598021769054</v>
      </c>
      <c r="D4452" s="42"/>
    </row>
    <row r="4453" spans="2:4" ht="16" thickBot="1" x14ac:dyDescent="0.25">
      <c r="B4453" s="5">
        <v>4448</v>
      </c>
      <c r="C4453" s="11">
        <v>412.32713954260964</v>
      </c>
      <c r="D4453" s="42"/>
    </row>
    <row r="4454" spans="2:4" ht="16" thickBot="1" x14ac:dyDescent="0.25">
      <c r="B4454" s="4">
        <v>4449</v>
      </c>
      <c r="C4454" s="10">
        <v>89.029681773636256</v>
      </c>
      <c r="D4454" s="42"/>
    </row>
    <row r="4455" spans="2:4" ht="16" thickBot="1" x14ac:dyDescent="0.25">
      <c r="B4455" s="5">
        <v>4450</v>
      </c>
      <c r="C4455" s="11">
        <v>431.97364328955518</v>
      </c>
      <c r="D4455" s="42"/>
    </row>
    <row r="4456" spans="2:4" ht="16" thickBot="1" x14ac:dyDescent="0.25">
      <c r="B4456" s="4">
        <v>4451</v>
      </c>
      <c r="C4456" s="10">
        <v>251.52230280828235</v>
      </c>
      <c r="D4456" s="42"/>
    </row>
    <row r="4457" spans="2:4" ht="16" thickBot="1" x14ac:dyDescent="0.25">
      <c r="B4457" s="5">
        <v>4452</v>
      </c>
      <c r="C4457" s="11">
        <v>519.74424224728625</v>
      </c>
      <c r="D4457" s="42"/>
    </row>
    <row r="4458" spans="2:4" ht="16" thickBot="1" x14ac:dyDescent="0.25">
      <c r="B4458" s="4">
        <v>4453</v>
      </c>
      <c r="C4458" s="10">
        <v>99.51049319713168</v>
      </c>
      <c r="D4458" s="42"/>
    </row>
    <row r="4459" spans="2:4" ht="16" thickBot="1" x14ac:dyDescent="0.25">
      <c r="B4459" s="5">
        <v>4454</v>
      </c>
      <c r="C4459" s="11">
        <v>423.82915146463762</v>
      </c>
      <c r="D4459" s="42"/>
    </row>
    <row r="4460" spans="2:4" ht="16" thickBot="1" x14ac:dyDescent="0.25">
      <c r="B4460" s="4">
        <v>4455</v>
      </c>
      <c r="C4460" s="10">
        <v>256.42536434726605</v>
      </c>
      <c r="D4460" s="42"/>
    </row>
    <row r="4461" spans="2:4" ht="16" thickBot="1" x14ac:dyDescent="0.25">
      <c r="B4461" s="5">
        <v>4456</v>
      </c>
      <c r="C4461" s="11">
        <v>531.95725295114187</v>
      </c>
      <c r="D4461" s="42"/>
    </row>
    <row r="4462" spans="2:4" ht="16" thickBot="1" x14ac:dyDescent="0.25">
      <c r="B4462" s="4">
        <v>4457</v>
      </c>
      <c r="C4462" s="10">
        <v>344.05087815264778</v>
      </c>
      <c r="D4462" s="42"/>
    </row>
    <row r="4463" spans="2:4" ht="16" thickBot="1" x14ac:dyDescent="0.25">
      <c r="B4463" s="5">
        <v>4458</v>
      </c>
      <c r="C4463" s="11">
        <v>585.9002499720965</v>
      </c>
      <c r="D4463" s="42"/>
    </row>
    <row r="4464" spans="2:4" ht="16" thickBot="1" x14ac:dyDescent="0.25">
      <c r="B4464" s="4">
        <v>4459</v>
      </c>
      <c r="C4464" s="10">
        <v>73.890130802634957</v>
      </c>
      <c r="D4464" s="42"/>
    </row>
    <row r="4465" spans="2:4" ht="16" thickBot="1" x14ac:dyDescent="0.25">
      <c r="B4465" s="5">
        <v>4460</v>
      </c>
      <c r="C4465" s="11">
        <v>424.08987440558622</v>
      </c>
      <c r="D4465" s="42"/>
    </row>
    <row r="4466" spans="2:4" ht="16" thickBot="1" x14ac:dyDescent="0.25">
      <c r="B4466" s="4">
        <v>4461</v>
      </c>
      <c r="C4466" s="10">
        <v>136.26952875053928</v>
      </c>
      <c r="D4466" s="42"/>
    </row>
    <row r="4467" spans="2:4" ht="16" thickBot="1" x14ac:dyDescent="0.25">
      <c r="B4467" s="5">
        <v>4462</v>
      </c>
      <c r="C4467" s="11">
        <v>303.81665329955138</v>
      </c>
      <c r="D4467" s="42"/>
    </row>
    <row r="4468" spans="2:4" ht="16" thickBot="1" x14ac:dyDescent="0.25">
      <c r="B4468" s="4">
        <v>4463</v>
      </c>
      <c r="C4468" s="10">
        <v>129.16492128548299</v>
      </c>
      <c r="D4468" s="42"/>
    </row>
    <row r="4469" spans="2:4" ht="16" thickBot="1" x14ac:dyDescent="0.25">
      <c r="B4469" s="5">
        <v>4464</v>
      </c>
      <c r="C4469" s="11">
        <v>288.8976633980518</v>
      </c>
      <c r="D4469" s="42"/>
    </row>
    <row r="4470" spans="2:4" ht="16" thickBot="1" x14ac:dyDescent="0.25">
      <c r="B4470" s="4">
        <v>4465</v>
      </c>
      <c r="C4470" s="10">
        <v>34.893849917769792</v>
      </c>
      <c r="D4470" s="42"/>
    </row>
    <row r="4471" spans="2:4" ht="16" thickBot="1" x14ac:dyDescent="0.25">
      <c r="B4471" s="5">
        <v>4466</v>
      </c>
      <c r="C4471" s="11">
        <v>414.42046355052389</v>
      </c>
      <c r="D4471" s="42"/>
    </row>
    <row r="4472" spans="2:4" ht="16" thickBot="1" x14ac:dyDescent="0.25">
      <c r="B4472" s="4">
        <v>4467</v>
      </c>
      <c r="C4472" s="10">
        <v>299.47141759308164</v>
      </c>
      <c r="D4472" s="42"/>
    </row>
    <row r="4473" spans="2:4" ht="16" thickBot="1" x14ac:dyDescent="0.25">
      <c r="B4473" s="5">
        <v>4468</v>
      </c>
      <c r="C4473" s="11">
        <v>304.82818195660337</v>
      </c>
      <c r="D4473" s="42"/>
    </row>
    <row r="4474" spans="2:4" ht="16" thickBot="1" x14ac:dyDescent="0.25">
      <c r="B4474" s="4">
        <v>4469</v>
      </c>
      <c r="C4474" s="10">
        <v>57.707478509589478</v>
      </c>
      <c r="D4474" s="42"/>
    </row>
    <row r="4475" spans="2:4" ht="16" thickBot="1" x14ac:dyDescent="0.25">
      <c r="B4475" s="5">
        <v>4470</v>
      </c>
      <c r="C4475" s="11">
        <v>116.06465500687932</v>
      </c>
      <c r="D4475" s="42"/>
    </row>
    <row r="4476" spans="2:4" ht="16" thickBot="1" x14ac:dyDescent="0.25">
      <c r="B4476" s="4">
        <v>4471</v>
      </c>
      <c r="C4476" s="10">
        <v>177.28390644175877</v>
      </c>
      <c r="D4476" s="42"/>
    </row>
    <row r="4477" spans="2:4" ht="16" thickBot="1" x14ac:dyDescent="0.25">
      <c r="B4477" s="5">
        <v>4472</v>
      </c>
      <c r="C4477" s="11">
        <v>417.1650635971821</v>
      </c>
      <c r="D4477" s="42"/>
    </row>
    <row r="4478" spans="2:4" ht="16" thickBot="1" x14ac:dyDescent="0.25">
      <c r="B4478" s="4">
        <v>4473</v>
      </c>
      <c r="C4478" s="10">
        <v>227.59359907646584</v>
      </c>
      <c r="D4478" s="42"/>
    </row>
    <row r="4479" spans="2:4" ht="16" thickBot="1" x14ac:dyDescent="0.25">
      <c r="B4479" s="5">
        <v>4474</v>
      </c>
      <c r="C4479" s="11">
        <v>112.81597473067775</v>
      </c>
      <c r="D4479" s="42"/>
    </row>
    <row r="4480" spans="2:4" ht="16" thickBot="1" x14ac:dyDescent="0.25">
      <c r="B4480" s="4">
        <v>4475</v>
      </c>
      <c r="C4480" s="10">
        <v>182.44031481772382</v>
      </c>
      <c r="D4480" s="42"/>
    </row>
    <row r="4481" spans="2:4" ht="16" thickBot="1" x14ac:dyDescent="0.25">
      <c r="B4481" s="5">
        <v>4476</v>
      </c>
      <c r="C4481" s="11">
        <v>407.55000810982767</v>
      </c>
      <c r="D4481" s="42"/>
    </row>
    <row r="4482" spans="2:4" ht="16" thickBot="1" x14ac:dyDescent="0.25">
      <c r="B4482" s="4">
        <v>4477</v>
      </c>
      <c r="C4482" s="10">
        <v>189.38059241399367</v>
      </c>
      <c r="D4482" s="42"/>
    </row>
    <row r="4483" spans="2:4" ht="16" thickBot="1" x14ac:dyDescent="0.25">
      <c r="B4483" s="5">
        <v>4478</v>
      </c>
      <c r="C4483" s="11">
        <v>195.21323041465115</v>
      </c>
      <c r="D4483" s="42"/>
    </row>
    <row r="4484" spans="2:4" ht="16" thickBot="1" x14ac:dyDescent="0.25">
      <c r="B4484" s="4">
        <v>4479</v>
      </c>
      <c r="C4484" s="10">
        <v>272.41125160014332</v>
      </c>
      <c r="D4484" s="42"/>
    </row>
    <row r="4485" spans="2:4" ht="16" thickBot="1" x14ac:dyDescent="0.25">
      <c r="B4485" s="5">
        <v>4480</v>
      </c>
      <c r="C4485" s="11">
        <v>255.09571536219167</v>
      </c>
      <c r="D4485" s="42"/>
    </row>
    <row r="4486" spans="2:4" ht="16" thickBot="1" x14ac:dyDescent="0.25">
      <c r="B4486" s="4">
        <v>4481</v>
      </c>
      <c r="C4486" s="10">
        <v>113.58796045383893</v>
      </c>
      <c r="D4486" s="42"/>
    </row>
    <row r="4487" spans="2:4" ht="16" thickBot="1" x14ac:dyDescent="0.25">
      <c r="B4487" s="5">
        <v>4482</v>
      </c>
      <c r="C4487" s="11">
        <v>168.94618185357831</v>
      </c>
      <c r="D4487" s="42"/>
    </row>
    <row r="4488" spans="2:4" ht="16" thickBot="1" x14ac:dyDescent="0.25">
      <c r="B4488" s="4">
        <v>4483</v>
      </c>
      <c r="C4488" s="10">
        <v>337.78850769914732</v>
      </c>
      <c r="D4488" s="42"/>
    </row>
    <row r="4489" spans="2:4" ht="16" thickBot="1" x14ac:dyDescent="0.25">
      <c r="B4489" s="5">
        <v>4484</v>
      </c>
      <c r="C4489" s="11">
        <v>96.829524609801069</v>
      </c>
      <c r="D4489" s="42"/>
    </row>
    <row r="4490" spans="2:4" ht="16" thickBot="1" x14ac:dyDescent="0.25">
      <c r="B4490" s="4">
        <v>4485</v>
      </c>
      <c r="C4490" s="10">
        <v>72.22393552389272</v>
      </c>
      <c r="D4490" s="42"/>
    </row>
    <row r="4491" spans="2:4" ht="16" thickBot="1" x14ac:dyDescent="0.25">
      <c r="B4491" s="5">
        <v>4486</v>
      </c>
      <c r="C4491" s="11">
        <v>88.850679610604459</v>
      </c>
      <c r="D4491" s="42"/>
    </row>
    <row r="4492" spans="2:4" ht="16" thickBot="1" x14ac:dyDescent="0.25">
      <c r="B4492" s="4">
        <v>4487</v>
      </c>
      <c r="C4492" s="10">
        <v>53.049555583048978</v>
      </c>
      <c r="D4492" s="42"/>
    </row>
    <row r="4493" spans="2:4" ht="16" thickBot="1" x14ac:dyDescent="0.25">
      <c r="B4493" s="5">
        <v>4488</v>
      </c>
      <c r="C4493" s="11">
        <v>94.393576280516825</v>
      </c>
      <c r="D4493" s="42"/>
    </row>
    <row r="4494" spans="2:4" ht="16" thickBot="1" x14ac:dyDescent="0.25">
      <c r="B4494" s="4">
        <v>4489</v>
      </c>
      <c r="C4494" s="10">
        <v>461.88073659630959</v>
      </c>
      <c r="D4494" s="42"/>
    </row>
    <row r="4495" spans="2:4" ht="16" thickBot="1" x14ac:dyDescent="0.25">
      <c r="B4495" s="5">
        <v>4490</v>
      </c>
      <c r="C4495" s="11">
        <v>55.553376953700173</v>
      </c>
      <c r="D4495" s="42"/>
    </row>
    <row r="4496" spans="2:4" ht="16" thickBot="1" x14ac:dyDescent="0.25">
      <c r="B4496" s="4">
        <v>4491</v>
      </c>
      <c r="C4496" s="10">
        <v>597.7642059877511</v>
      </c>
      <c r="D4496" s="42"/>
    </row>
    <row r="4497" spans="2:4" ht="16" thickBot="1" x14ac:dyDescent="0.25">
      <c r="B4497" s="5">
        <v>4492</v>
      </c>
      <c r="C4497" s="11">
        <v>359.70926985916071</v>
      </c>
      <c r="D4497" s="42"/>
    </row>
    <row r="4498" spans="2:4" ht="16" thickBot="1" x14ac:dyDescent="0.25">
      <c r="B4498" s="4">
        <v>4493</v>
      </c>
      <c r="C4498" s="10">
        <v>203.12181872052668</v>
      </c>
      <c r="D4498" s="42"/>
    </row>
    <row r="4499" spans="2:4" ht="16" thickBot="1" x14ac:dyDescent="0.25">
      <c r="B4499" s="5">
        <v>4494</v>
      </c>
      <c r="C4499" s="11">
        <v>177.62788199813036</v>
      </c>
      <c r="D4499" s="42"/>
    </row>
    <row r="4500" spans="2:4" ht="16" thickBot="1" x14ac:dyDescent="0.25">
      <c r="B4500" s="4">
        <v>4495</v>
      </c>
      <c r="C4500" s="10">
        <v>357.52515295581276</v>
      </c>
      <c r="D4500" s="42"/>
    </row>
    <row r="4501" spans="2:4" ht="16" thickBot="1" x14ac:dyDescent="0.25">
      <c r="B4501" s="5">
        <v>4496</v>
      </c>
      <c r="C4501" s="11">
        <v>927.45832738200397</v>
      </c>
      <c r="D4501" s="42"/>
    </row>
    <row r="4502" spans="2:4" ht="16" thickBot="1" x14ac:dyDescent="0.25">
      <c r="B4502" s="4">
        <v>4497</v>
      </c>
      <c r="C4502" s="10">
        <v>239.9348258545416</v>
      </c>
      <c r="D4502" s="42"/>
    </row>
    <row r="4503" spans="2:4" ht="16" thickBot="1" x14ac:dyDescent="0.25">
      <c r="B4503" s="5">
        <v>4498</v>
      </c>
      <c r="C4503" s="11">
        <v>338.81524662246358</v>
      </c>
      <c r="D4503" s="42"/>
    </row>
    <row r="4504" spans="2:4" ht="16" thickBot="1" x14ac:dyDescent="0.25">
      <c r="B4504" s="4">
        <v>4499</v>
      </c>
      <c r="C4504" s="10">
        <v>33.192996132444364</v>
      </c>
      <c r="D4504" s="42"/>
    </row>
    <row r="4505" spans="2:4" ht="16" thickBot="1" x14ac:dyDescent="0.25">
      <c r="B4505" s="5">
        <v>4500</v>
      </c>
      <c r="C4505" s="11">
        <v>270.89151349044243</v>
      </c>
      <c r="D4505" s="42"/>
    </row>
    <row r="4506" spans="2:4" ht="16" thickBot="1" x14ac:dyDescent="0.25">
      <c r="B4506" s="4">
        <v>4501</v>
      </c>
      <c r="C4506" s="10">
        <v>263.78050658062097</v>
      </c>
      <c r="D4506" s="42"/>
    </row>
    <row r="4507" spans="2:4" ht="16" thickBot="1" x14ac:dyDescent="0.25">
      <c r="B4507" s="5">
        <v>4502</v>
      </c>
      <c r="C4507" s="11">
        <v>508.58502015940303</v>
      </c>
      <c r="D4507" s="42"/>
    </row>
    <row r="4508" spans="2:4" ht="16" thickBot="1" x14ac:dyDescent="0.25">
      <c r="B4508" s="4">
        <v>4503</v>
      </c>
      <c r="C4508" s="10">
        <v>410.36815299849945</v>
      </c>
      <c r="D4508" s="42"/>
    </row>
    <row r="4509" spans="2:4" ht="16" thickBot="1" x14ac:dyDescent="0.25">
      <c r="B4509" s="5">
        <v>4504</v>
      </c>
      <c r="C4509" s="11">
        <v>247.1526687415321</v>
      </c>
      <c r="D4509" s="42"/>
    </row>
    <row r="4510" spans="2:4" ht="16" thickBot="1" x14ac:dyDescent="0.25">
      <c r="B4510" s="4">
        <v>4505</v>
      </c>
      <c r="C4510" s="10">
        <v>199.01930999201792</v>
      </c>
      <c r="D4510" s="42"/>
    </row>
    <row r="4511" spans="2:4" ht="16" thickBot="1" x14ac:dyDescent="0.25">
      <c r="B4511" s="5">
        <v>4506</v>
      </c>
      <c r="C4511" s="11">
        <v>223.56390850010399</v>
      </c>
      <c r="D4511" s="42"/>
    </row>
    <row r="4512" spans="2:4" ht="16" thickBot="1" x14ac:dyDescent="0.25">
      <c r="B4512" s="4">
        <v>4507</v>
      </c>
      <c r="C4512" s="10">
        <v>365.06099865730675</v>
      </c>
      <c r="D4512" s="42"/>
    </row>
    <row r="4513" spans="2:4" ht="16" thickBot="1" x14ac:dyDescent="0.25">
      <c r="B4513" s="5">
        <v>4508</v>
      </c>
      <c r="C4513" s="11">
        <v>145.21946265382297</v>
      </c>
      <c r="D4513" s="42"/>
    </row>
    <row r="4514" spans="2:4" ht="16" thickBot="1" x14ac:dyDescent="0.25">
      <c r="B4514" s="4">
        <v>4509</v>
      </c>
      <c r="C4514" s="10">
        <v>112.61259270733305</v>
      </c>
      <c r="D4514" s="42"/>
    </row>
    <row r="4515" spans="2:4" ht="16" thickBot="1" x14ac:dyDescent="0.25">
      <c r="B4515" s="5">
        <v>4510</v>
      </c>
      <c r="C4515" s="11">
        <v>48.173944878104713</v>
      </c>
      <c r="D4515" s="42"/>
    </row>
    <row r="4516" spans="2:4" ht="16" thickBot="1" x14ac:dyDescent="0.25">
      <c r="B4516" s="4">
        <v>4511</v>
      </c>
      <c r="C4516" s="10">
        <v>552.19328829494032</v>
      </c>
      <c r="D4516" s="42"/>
    </row>
    <row r="4517" spans="2:4" ht="16" thickBot="1" x14ac:dyDescent="0.25">
      <c r="B4517" s="5">
        <v>4512</v>
      </c>
      <c r="C4517" s="11">
        <v>603.80625233165347</v>
      </c>
      <c r="D4517" s="42"/>
    </row>
    <row r="4518" spans="2:4" ht="16" thickBot="1" x14ac:dyDescent="0.25">
      <c r="B4518" s="4">
        <v>4513</v>
      </c>
      <c r="C4518" s="10">
        <v>154.9148039430209</v>
      </c>
      <c r="D4518" s="42"/>
    </row>
    <row r="4519" spans="2:4" ht="16" thickBot="1" x14ac:dyDescent="0.25">
      <c r="B4519" s="5">
        <v>4514</v>
      </c>
      <c r="C4519" s="11">
        <v>256.48846908862333</v>
      </c>
      <c r="D4519" s="42"/>
    </row>
    <row r="4520" spans="2:4" ht="16" thickBot="1" x14ac:dyDescent="0.25">
      <c r="B4520" s="4">
        <v>4515</v>
      </c>
      <c r="C4520" s="10">
        <v>258.2306193587807</v>
      </c>
      <c r="D4520" s="42"/>
    </row>
    <row r="4521" spans="2:4" ht="16" thickBot="1" x14ac:dyDescent="0.25">
      <c r="B4521" s="5">
        <v>4516</v>
      </c>
      <c r="C4521" s="11">
        <v>191.38946290381747</v>
      </c>
      <c r="D4521" s="42"/>
    </row>
    <row r="4522" spans="2:4" ht="16" thickBot="1" x14ac:dyDescent="0.25">
      <c r="B4522" s="4">
        <v>4517</v>
      </c>
      <c r="C4522" s="10">
        <v>207.70301424176344</v>
      </c>
      <c r="D4522" s="42"/>
    </row>
    <row r="4523" spans="2:4" ht="16" thickBot="1" x14ac:dyDescent="0.25">
      <c r="B4523" s="5">
        <v>4518</v>
      </c>
      <c r="C4523" s="11">
        <v>373.97639397737117</v>
      </c>
      <c r="D4523" s="42"/>
    </row>
    <row r="4524" spans="2:4" ht="16" thickBot="1" x14ac:dyDescent="0.25">
      <c r="B4524" s="4">
        <v>4519</v>
      </c>
      <c r="C4524" s="10">
        <v>126.83485915390622</v>
      </c>
      <c r="D4524" s="42"/>
    </row>
    <row r="4525" spans="2:4" ht="16" thickBot="1" x14ac:dyDescent="0.25">
      <c r="B4525" s="5">
        <v>4520</v>
      </c>
      <c r="C4525" s="11">
        <v>758.47039650553677</v>
      </c>
      <c r="D4525" s="42"/>
    </row>
    <row r="4526" spans="2:4" ht="16" thickBot="1" x14ac:dyDescent="0.25">
      <c r="B4526" s="4">
        <v>4521</v>
      </c>
      <c r="C4526" s="10">
        <v>459.71435371568577</v>
      </c>
      <c r="D4526" s="42"/>
    </row>
    <row r="4527" spans="2:4" ht="16" thickBot="1" x14ac:dyDescent="0.25">
      <c r="B4527" s="5">
        <v>4522</v>
      </c>
      <c r="C4527" s="11">
        <v>94.93789380275534</v>
      </c>
      <c r="D4527" s="42"/>
    </row>
    <row r="4528" spans="2:4" ht="16" thickBot="1" x14ac:dyDescent="0.25">
      <c r="B4528" s="4">
        <v>4523</v>
      </c>
      <c r="C4528" s="10">
        <v>102.1354408223484</v>
      </c>
      <c r="D4528" s="42"/>
    </row>
    <row r="4529" spans="2:4" ht="16" thickBot="1" x14ac:dyDescent="0.25">
      <c r="B4529" s="5">
        <v>4524</v>
      </c>
      <c r="C4529" s="11">
        <v>85.620202175104652</v>
      </c>
      <c r="D4529" s="42"/>
    </row>
    <row r="4530" spans="2:4" ht="16" thickBot="1" x14ac:dyDescent="0.25">
      <c r="B4530" s="4">
        <v>4525</v>
      </c>
      <c r="C4530" s="10">
        <v>169.26159133977373</v>
      </c>
      <c r="D4530" s="42"/>
    </row>
    <row r="4531" spans="2:4" ht="16" thickBot="1" x14ac:dyDescent="0.25">
      <c r="B4531" s="5">
        <v>4526</v>
      </c>
      <c r="C4531" s="11">
        <v>258.100479173873</v>
      </c>
      <c r="D4531" s="42"/>
    </row>
    <row r="4532" spans="2:4" ht="16" thickBot="1" x14ac:dyDescent="0.25">
      <c r="B4532" s="4">
        <v>4527</v>
      </c>
      <c r="C4532" s="10">
        <v>125.42818947477917</v>
      </c>
      <c r="D4532" s="42"/>
    </row>
    <row r="4533" spans="2:4" ht="16" thickBot="1" x14ac:dyDescent="0.25">
      <c r="B4533" s="5">
        <v>4528</v>
      </c>
      <c r="C4533" s="11">
        <v>162.05913303123998</v>
      </c>
      <c r="D4533" s="42"/>
    </row>
    <row r="4534" spans="2:4" ht="16" thickBot="1" x14ac:dyDescent="0.25">
      <c r="B4534" s="4">
        <v>4529</v>
      </c>
      <c r="C4534" s="10">
        <v>124.83185408337155</v>
      </c>
      <c r="D4534" s="42"/>
    </row>
    <row r="4535" spans="2:4" ht="16" thickBot="1" x14ac:dyDescent="0.25">
      <c r="B4535" s="5">
        <v>4530</v>
      </c>
      <c r="C4535" s="11">
        <v>89.152076323943902</v>
      </c>
      <c r="D4535" s="42"/>
    </row>
    <row r="4536" spans="2:4" ht="16" thickBot="1" x14ac:dyDescent="0.25">
      <c r="B4536" s="4">
        <v>4531</v>
      </c>
      <c r="C4536" s="10">
        <v>270.18294662913837</v>
      </c>
      <c r="D4536" s="42"/>
    </row>
    <row r="4537" spans="2:4" ht="16" thickBot="1" x14ac:dyDescent="0.25">
      <c r="B4537" s="5">
        <v>4532</v>
      </c>
      <c r="C4537" s="11">
        <v>173.0536997111119</v>
      </c>
      <c r="D4537" s="42"/>
    </row>
    <row r="4538" spans="2:4" ht="16" thickBot="1" x14ac:dyDescent="0.25">
      <c r="B4538" s="4">
        <v>4533</v>
      </c>
      <c r="C4538" s="10">
        <v>161.5616043522993</v>
      </c>
      <c r="D4538" s="42"/>
    </row>
    <row r="4539" spans="2:4" ht="16" thickBot="1" x14ac:dyDescent="0.25">
      <c r="B4539" s="5">
        <v>4534</v>
      </c>
      <c r="C4539" s="11">
        <v>206.59439044421777</v>
      </c>
      <c r="D4539" s="42"/>
    </row>
    <row r="4540" spans="2:4" ht="16" thickBot="1" x14ac:dyDescent="0.25">
      <c r="B4540" s="4">
        <v>4535</v>
      </c>
      <c r="C4540" s="10">
        <v>331.99762509374619</v>
      </c>
      <c r="D4540" s="42"/>
    </row>
    <row r="4541" spans="2:4" ht="16" thickBot="1" x14ac:dyDescent="0.25">
      <c r="B4541" s="5">
        <v>4536</v>
      </c>
      <c r="C4541" s="11">
        <v>129.5312351673596</v>
      </c>
      <c r="D4541" s="42"/>
    </row>
    <row r="4542" spans="2:4" ht="16" thickBot="1" x14ac:dyDescent="0.25">
      <c r="B4542" s="4">
        <v>4537</v>
      </c>
      <c r="C4542" s="10">
        <v>274.13431336608528</v>
      </c>
      <c r="D4542" s="42"/>
    </row>
    <row r="4543" spans="2:4" ht="16" thickBot="1" x14ac:dyDescent="0.25">
      <c r="B4543" s="5">
        <v>4538</v>
      </c>
      <c r="C4543" s="11">
        <v>217.40081037404616</v>
      </c>
      <c r="D4543" s="42"/>
    </row>
    <row r="4544" spans="2:4" ht="16" thickBot="1" x14ac:dyDescent="0.25">
      <c r="B4544" s="4">
        <v>4539</v>
      </c>
      <c r="C4544" s="10">
        <v>196.36713261298107</v>
      </c>
      <c r="D4544" s="42"/>
    </row>
    <row r="4545" spans="2:4" ht="16" thickBot="1" x14ac:dyDescent="0.25">
      <c r="B4545" s="5">
        <v>4540</v>
      </c>
      <c r="C4545" s="11">
        <v>196.61576733116146</v>
      </c>
      <c r="D4545" s="42"/>
    </row>
    <row r="4546" spans="2:4" ht="16" thickBot="1" x14ac:dyDescent="0.25">
      <c r="B4546" s="4">
        <v>4541</v>
      </c>
      <c r="C4546" s="10">
        <v>107.67119704125435</v>
      </c>
      <c r="D4546" s="42"/>
    </row>
    <row r="4547" spans="2:4" ht="16" thickBot="1" x14ac:dyDescent="0.25">
      <c r="B4547" s="5">
        <v>4542</v>
      </c>
      <c r="C4547" s="11">
        <v>482.31881826953827</v>
      </c>
      <c r="D4547" s="42"/>
    </row>
    <row r="4548" spans="2:4" ht="16" thickBot="1" x14ac:dyDescent="0.25">
      <c r="B4548" s="4">
        <v>4543</v>
      </c>
      <c r="C4548" s="10">
        <v>480.85508683183212</v>
      </c>
      <c r="D4548" s="42"/>
    </row>
    <row r="4549" spans="2:4" ht="16" thickBot="1" x14ac:dyDescent="0.25">
      <c r="B4549" s="5">
        <v>4544</v>
      </c>
      <c r="C4549" s="11">
        <v>262.47716409332622</v>
      </c>
      <c r="D4549" s="42"/>
    </row>
    <row r="4550" spans="2:4" ht="16" thickBot="1" x14ac:dyDescent="0.25">
      <c r="B4550" s="4">
        <v>4545</v>
      </c>
      <c r="C4550" s="10">
        <v>383.3972482879559</v>
      </c>
      <c r="D4550" s="42"/>
    </row>
    <row r="4551" spans="2:4" ht="16" thickBot="1" x14ac:dyDescent="0.25">
      <c r="B4551" s="5">
        <v>4546</v>
      </c>
      <c r="C4551" s="11">
        <v>180.35515940747646</v>
      </c>
      <c r="D4551" s="42"/>
    </row>
    <row r="4552" spans="2:4" ht="16" thickBot="1" x14ac:dyDescent="0.25">
      <c r="B4552" s="4">
        <v>4547</v>
      </c>
      <c r="C4552" s="10">
        <v>254.47339825708863</v>
      </c>
      <c r="D4552" s="42"/>
    </row>
    <row r="4553" spans="2:4" ht="16" thickBot="1" x14ac:dyDescent="0.25">
      <c r="B4553" s="5">
        <v>4548</v>
      </c>
      <c r="C4553" s="11">
        <v>330.21292912985791</v>
      </c>
      <c r="D4553" s="42"/>
    </row>
    <row r="4554" spans="2:4" ht="16" thickBot="1" x14ac:dyDescent="0.25">
      <c r="B4554" s="4">
        <v>4549</v>
      </c>
      <c r="C4554" s="10">
        <v>785.90010236556941</v>
      </c>
      <c r="D4554" s="42"/>
    </row>
    <row r="4555" spans="2:4" ht="16" thickBot="1" x14ac:dyDescent="0.25">
      <c r="B4555" s="5">
        <v>4550</v>
      </c>
      <c r="C4555" s="11">
        <v>168.92639525628422</v>
      </c>
      <c r="D4555" s="42"/>
    </row>
    <row r="4556" spans="2:4" ht="16" thickBot="1" x14ac:dyDescent="0.25">
      <c r="B4556" s="4">
        <v>4551</v>
      </c>
      <c r="C4556" s="10">
        <v>175.69122420847793</v>
      </c>
      <c r="D4556" s="42"/>
    </row>
    <row r="4557" spans="2:4" ht="16" thickBot="1" x14ac:dyDescent="0.25">
      <c r="B4557" s="5">
        <v>4552</v>
      </c>
      <c r="C4557" s="11">
        <v>40.784775753018494</v>
      </c>
      <c r="D4557" s="42"/>
    </row>
    <row r="4558" spans="2:4" ht="16" thickBot="1" x14ac:dyDescent="0.25">
      <c r="B4558" s="4">
        <v>4553</v>
      </c>
      <c r="C4558" s="10">
        <v>117.42037611389389</v>
      </c>
      <c r="D4558" s="42"/>
    </row>
    <row r="4559" spans="2:4" ht="16" thickBot="1" x14ac:dyDescent="0.25">
      <c r="B4559" s="5">
        <v>4554</v>
      </c>
      <c r="C4559" s="11">
        <v>294.25971156098421</v>
      </c>
      <c r="D4559" s="42"/>
    </row>
    <row r="4560" spans="2:4" ht="16" thickBot="1" x14ac:dyDescent="0.25">
      <c r="B4560" s="4">
        <v>4555</v>
      </c>
      <c r="C4560" s="10">
        <v>280.34941202982782</v>
      </c>
      <c r="D4560" s="42"/>
    </row>
    <row r="4561" spans="2:4" ht="16" thickBot="1" x14ac:dyDescent="0.25">
      <c r="B4561" s="5">
        <v>4556</v>
      </c>
      <c r="C4561" s="11">
        <v>252.18349690943234</v>
      </c>
      <c r="D4561" s="42"/>
    </row>
    <row r="4562" spans="2:4" ht="16" thickBot="1" x14ac:dyDescent="0.25">
      <c r="B4562" s="4">
        <v>4557</v>
      </c>
      <c r="C4562" s="10">
        <v>366.30597702323843</v>
      </c>
      <c r="D4562" s="42"/>
    </row>
    <row r="4563" spans="2:4" ht="16" thickBot="1" x14ac:dyDescent="0.25">
      <c r="B4563" s="5">
        <v>4558</v>
      </c>
      <c r="C4563" s="11">
        <v>459.57885356307565</v>
      </c>
      <c r="D4563" s="42"/>
    </row>
    <row r="4564" spans="2:4" ht="16" thickBot="1" x14ac:dyDescent="0.25">
      <c r="B4564" s="4">
        <v>4559</v>
      </c>
      <c r="C4564" s="10">
        <v>229.3670099323196</v>
      </c>
      <c r="D4564" s="42"/>
    </row>
    <row r="4565" spans="2:4" ht="16" thickBot="1" x14ac:dyDescent="0.25">
      <c r="B4565" s="5">
        <v>4560</v>
      </c>
      <c r="C4565" s="11">
        <v>359.79699365315372</v>
      </c>
      <c r="D4565" s="42"/>
    </row>
    <row r="4566" spans="2:4" ht="16" thickBot="1" x14ac:dyDescent="0.25">
      <c r="B4566" s="4">
        <v>4561</v>
      </c>
      <c r="C4566" s="10">
        <v>197.33231635542296</v>
      </c>
      <c r="D4566" s="42"/>
    </row>
    <row r="4567" spans="2:4" ht="16" thickBot="1" x14ac:dyDescent="0.25">
      <c r="B4567" s="5">
        <v>4562</v>
      </c>
      <c r="C4567" s="11">
        <v>345.48580285292815</v>
      </c>
      <c r="D4567" s="42"/>
    </row>
    <row r="4568" spans="2:4" ht="16" thickBot="1" x14ac:dyDescent="0.25">
      <c r="B4568" s="4">
        <v>4563</v>
      </c>
      <c r="C4568" s="10">
        <v>413.2058008363897</v>
      </c>
      <c r="D4568" s="42"/>
    </row>
    <row r="4569" spans="2:4" ht="16" thickBot="1" x14ac:dyDescent="0.25">
      <c r="B4569" s="5">
        <v>4564</v>
      </c>
      <c r="C4569" s="11">
        <v>237.82786000844615</v>
      </c>
      <c r="D4569" s="42"/>
    </row>
    <row r="4570" spans="2:4" ht="16" thickBot="1" x14ac:dyDescent="0.25">
      <c r="B4570" s="4">
        <v>4565</v>
      </c>
      <c r="C4570" s="10">
        <v>253.20328548459514</v>
      </c>
      <c r="D4570" s="42"/>
    </row>
    <row r="4571" spans="2:4" ht="16" thickBot="1" x14ac:dyDescent="0.25">
      <c r="B4571" s="5">
        <v>4566</v>
      </c>
      <c r="C4571" s="11">
        <v>445.3910382543433</v>
      </c>
      <c r="D4571" s="42"/>
    </row>
    <row r="4572" spans="2:4" ht="16" thickBot="1" x14ac:dyDescent="0.25">
      <c r="B4572" s="4">
        <v>4567</v>
      </c>
      <c r="C4572" s="10">
        <v>334.16088293025109</v>
      </c>
      <c r="D4572" s="42"/>
    </row>
    <row r="4573" spans="2:4" ht="16" thickBot="1" x14ac:dyDescent="0.25">
      <c r="B4573" s="5">
        <v>4568</v>
      </c>
      <c r="C4573" s="11">
        <v>340.21946546394571</v>
      </c>
      <c r="D4573" s="42"/>
    </row>
    <row r="4574" spans="2:4" ht="16" thickBot="1" x14ac:dyDescent="0.25">
      <c r="B4574" s="4">
        <v>4569</v>
      </c>
      <c r="C4574" s="10">
        <v>367.67532929582063</v>
      </c>
      <c r="D4574" s="42"/>
    </row>
    <row r="4575" spans="2:4" ht="16" thickBot="1" x14ac:dyDescent="0.25">
      <c r="B4575" s="5">
        <v>4570</v>
      </c>
      <c r="C4575" s="11">
        <v>112.6480250363791</v>
      </c>
      <c r="D4575" s="42"/>
    </row>
    <row r="4576" spans="2:4" ht="16" thickBot="1" x14ac:dyDescent="0.25">
      <c r="B4576" s="4">
        <v>4571</v>
      </c>
      <c r="C4576" s="10">
        <v>301.22960417286947</v>
      </c>
      <c r="D4576" s="42"/>
    </row>
    <row r="4577" spans="2:4" ht="16" thickBot="1" x14ac:dyDescent="0.25">
      <c r="B4577" s="5">
        <v>4572</v>
      </c>
      <c r="C4577" s="11">
        <v>408.64750917326643</v>
      </c>
      <c r="D4577" s="42"/>
    </row>
    <row r="4578" spans="2:4" ht="16" thickBot="1" x14ac:dyDescent="0.25">
      <c r="B4578" s="4">
        <v>4573</v>
      </c>
      <c r="C4578" s="10">
        <v>189.98490151608064</v>
      </c>
      <c r="D4578" s="42"/>
    </row>
    <row r="4579" spans="2:4" ht="16" thickBot="1" x14ac:dyDescent="0.25">
      <c r="B4579" s="5">
        <v>4574</v>
      </c>
      <c r="C4579" s="11">
        <v>82.646605394073831</v>
      </c>
      <c r="D4579" s="42"/>
    </row>
    <row r="4580" spans="2:4" ht="16" thickBot="1" x14ac:dyDescent="0.25">
      <c r="B4580" s="4">
        <v>4575</v>
      </c>
      <c r="C4580" s="10">
        <v>245.24725651260411</v>
      </c>
      <c r="D4580" s="42"/>
    </row>
    <row r="4581" spans="2:4" ht="16" thickBot="1" x14ac:dyDescent="0.25">
      <c r="B4581" s="5">
        <v>4576</v>
      </c>
      <c r="C4581" s="11">
        <v>266.64880975657411</v>
      </c>
      <c r="D4581" s="42"/>
    </row>
    <row r="4582" spans="2:4" ht="16" thickBot="1" x14ac:dyDescent="0.25">
      <c r="B4582" s="4">
        <v>4577</v>
      </c>
      <c r="C4582" s="10">
        <v>376.77978314778238</v>
      </c>
      <c r="D4582" s="42"/>
    </row>
    <row r="4583" spans="2:4" ht="16" thickBot="1" x14ac:dyDescent="0.25">
      <c r="B4583" s="5">
        <v>4578</v>
      </c>
      <c r="C4583" s="11">
        <v>306.27971058246317</v>
      </c>
      <c r="D4583" s="42"/>
    </row>
    <row r="4584" spans="2:4" ht="16" thickBot="1" x14ac:dyDescent="0.25">
      <c r="B4584" s="4">
        <v>4579</v>
      </c>
      <c r="C4584" s="10">
        <v>110.09871676396943</v>
      </c>
      <c r="D4584" s="42"/>
    </row>
    <row r="4585" spans="2:4" ht="16" thickBot="1" x14ac:dyDescent="0.25">
      <c r="B4585" s="5">
        <v>4580</v>
      </c>
      <c r="C4585" s="11">
        <v>276.59531831220403</v>
      </c>
      <c r="D4585" s="42"/>
    </row>
    <row r="4586" spans="2:4" ht="16" thickBot="1" x14ac:dyDescent="0.25">
      <c r="B4586" s="4">
        <v>4581</v>
      </c>
      <c r="C4586" s="10">
        <v>243.42516318866538</v>
      </c>
      <c r="D4586" s="42"/>
    </row>
    <row r="4587" spans="2:4" ht="16" thickBot="1" x14ac:dyDescent="0.25">
      <c r="B4587" s="5">
        <v>4582</v>
      </c>
      <c r="C4587" s="11">
        <v>391.22433929762656</v>
      </c>
      <c r="D4587" s="42"/>
    </row>
    <row r="4588" spans="2:4" ht="16" thickBot="1" x14ac:dyDescent="0.25">
      <c r="B4588" s="4">
        <v>4583</v>
      </c>
      <c r="C4588" s="10">
        <v>278.13142755329557</v>
      </c>
      <c r="D4588" s="42"/>
    </row>
    <row r="4589" spans="2:4" ht="16" thickBot="1" x14ac:dyDescent="0.25">
      <c r="B4589" s="5">
        <v>4584</v>
      </c>
      <c r="C4589" s="11">
        <v>92.26683788189284</v>
      </c>
      <c r="D4589" s="42"/>
    </row>
    <row r="4590" spans="2:4" ht="16" thickBot="1" x14ac:dyDescent="0.25">
      <c r="B4590" s="4">
        <v>4585</v>
      </c>
      <c r="C4590" s="10">
        <v>83.627931766811329</v>
      </c>
      <c r="D4590" s="42"/>
    </row>
    <row r="4591" spans="2:4" ht="16" thickBot="1" x14ac:dyDescent="0.25">
      <c r="B4591" s="5">
        <v>4586</v>
      </c>
      <c r="C4591" s="11">
        <v>401.32054358129943</v>
      </c>
      <c r="D4591" s="42"/>
    </row>
    <row r="4592" spans="2:4" ht="16" thickBot="1" x14ac:dyDescent="0.25">
      <c r="B4592" s="4">
        <v>4587</v>
      </c>
      <c r="C4592" s="10">
        <v>316.35927400425606</v>
      </c>
      <c r="D4592" s="42"/>
    </row>
    <row r="4593" spans="2:4" ht="16" thickBot="1" x14ac:dyDescent="0.25">
      <c r="B4593" s="5">
        <v>4588</v>
      </c>
      <c r="C4593" s="11">
        <v>229.58701478976346</v>
      </c>
      <c r="D4593" s="42"/>
    </row>
    <row r="4594" spans="2:4" ht="16" thickBot="1" x14ac:dyDescent="0.25">
      <c r="B4594" s="4">
        <v>4589</v>
      </c>
      <c r="C4594" s="10">
        <v>205.097758142901</v>
      </c>
      <c r="D4594" s="42"/>
    </row>
    <row r="4595" spans="2:4" ht="16" thickBot="1" x14ac:dyDescent="0.25">
      <c r="B4595" s="5">
        <v>4590</v>
      </c>
      <c r="C4595" s="11">
        <v>269.30159744649535</v>
      </c>
      <c r="D4595" s="42"/>
    </row>
    <row r="4596" spans="2:4" ht="16" thickBot="1" x14ac:dyDescent="0.25">
      <c r="B4596" s="4">
        <v>4591</v>
      </c>
      <c r="C4596" s="10">
        <v>397.4729445390812</v>
      </c>
      <c r="D4596" s="42"/>
    </row>
    <row r="4597" spans="2:4" ht="16" thickBot="1" x14ac:dyDescent="0.25">
      <c r="B4597" s="5">
        <v>4592</v>
      </c>
      <c r="C4597" s="11">
        <v>366.03583679143873</v>
      </c>
      <c r="D4597" s="42"/>
    </row>
    <row r="4598" spans="2:4" ht="16" thickBot="1" x14ac:dyDescent="0.25">
      <c r="B4598" s="4">
        <v>4593</v>
      </c>
      <c r="C4598" s="10">
        <v>222.05968698663932</v>
      </c>
      <c r="D4598" s="42"/>
    </row>
    <row r="4599" spans="2:4" ht="16" thickBot="1" x14ac:dyDescent="0.25">
      <c r="B4599" s="5">
        <v>4594</v>
      </c>
      <c r="C4599" s="11">
        <v>409.11104771002255</v>
      </c>
      <c r="D4599" s="42"/>
    </row>
    <row r="4600" spans="2:4" ht="16" thickBot="1" x14ac:dyDescent="0.25">
      <c r="B4600" s="4">
        <v>4595</v>
      </c>
      <c r="C4600" s="10">
        <v>257.27990325471177</v>
      </c>
      <c r="D4600" s="42"/>
    </row>
    <row r="4601" spans="2:4" ht="16" thickBot="1" x14ac:dyDescent="0.25">
      <c r="B4601" s="5">
        <v>4596</v>
      </c>
      <c r="C4601" s="11">
        <v>246.82609471219439</v>
      </c>
      <c r="D4601" s="42"/>
    </row>
    <row r="4602" spans="2:4" ht="16" thickBot="1" x14ac:dyDescent="0.25">
      <c r="B4602" s="4">
        <v>4597</v>
      </c>
      <c r="C4602" s="10">
        <v>359.510901005466</v>
      </c>
      <c r="D4602" s="42"/>
    </row>
    <row r="4603" spans="2:4" ht="16" thickBot="1" x14ac:dyDescent="0.25">
      <c r="B4603" s="5">
        <v>4598</v>
      </c>
      <c r="C4603" s="11">
        <v>361.28218317327969</v>
      </c>
      <c r="D4603" s="42"/>
    </row>
    <row r="4604" spans="2:4" ht="16" thickBot="1" x14ac:dyDescent="0.25">
      <c r="B4604" s="4">
        <v>4599</v>
      </c>
      <c r="C4604" s="10">
        <v>159.36868681734538</v>
      </c>
      <c r="D4604" s="42"/>
    </row>
    <row r="4605" spans="2:4" ht="16" thickBot="1" x14ac:dyDescent="0.25">
      <c r="B4605" s="5">
        <v>4600</v>
      </c>
      <c r="C4605" s="11">
        <v>287.22679777458222</v>
      </c>
      <c r="D4605" s="42"/>
    </row>
    <row r="4606" spans="2:4" ht="16" thickBot="1" x14ac:dyDescent="0.25">
      <c r="B4606" s="4">
        <v>4601</v>
      </c>
      <c r="C4606" s="10">
        <v>268.79654992470807</v>
      </c>
      <c r="D4606" s="42"/>
    </row>
    <row r="4607" spans="2:4" ht="16" thickBot="1" x14ac:dyDescent="0.25">
      <c r="B4607" s="5">
        <v>4602</v>
      </c>
      <c r="C4607" s="11">
        <v>412.63354815085961</v>
      </c>
      <c r="D4607" s="42"/>
    </row>
    <row r="4608" spans="2:4" ht="16" thickBot="1" x14ac:dyDescent="0.25">
      <c r="B4608" s="4">
        <v>4603</v>
      </c>
      <c r="C4608" s="10">
        <v>182.489331137204</v>
      </c>
      <c r="D4608" s="42"/>
    </row>
    <row r="4609" spans="2:4" ht="16" thickBot="1" x14ac:dyDescent="0.25">
      <c r="B4609" s="5">
        <v>4604</v>
      </c>
      <c r="C4609" s="11">
        <v>519.38370564978436</v>
      </c>
      <c r="D4609" s="42"/>
    </row>
    <row r="4610" spans="2:4" ht="16" thickBot="1" x14ac:dyDescent="0.25">
      <c r="B4610" s="4">
        <v>4605</v>
      </c>
      <c r="C4610" s="10">
        <v>187.14783411742786</v>
      </c>
      <c r="D4610" s="42"/>
    </row>
    <row r="4611" spans="2:4" ht="16" thickBot="1" x14ac:dyDescent="0.25">
      <c r="B4611" s="5">
        <v>4606</v>
      </c>
      <c r="C4611" s="11">
        <v>169.97489558069293</v>
      </c>
      <c r="D4611" s="42"/>
    </row>
    <row r="4612" spans="2:4" ht="16" thickBot="1" x14ac:dyDescent="0.25">
      <c r="B4612" s="4">
        <v>4607</v>
      </c>
      <c r="C4612" s="10">
        <v>142.93690312591073</v>
      </c>
      <c r="D4612" s="42"/>
    </row>
    <row r="4613" spans="2:4" ht="16" thickBot="1" x14ac:dyDescent="0.25">
      <c r="B4613" s="5">
        <v>4608</v>
      </c>
      <c r="C4613" s="11">
        <v>175.74871615800498</v>
      </c>
      <c r="D4613" s="42"/>
    </row>
    <row r="4614" spans="2:4" ht="16" thickBot="1" x14ac:dyDescent="0.25">
      <c r="B4614" s="4">
        <v>4609</v>
      </c>
      <c r="C4614" s="10">
        <v>390.74592875263278</v>
      </c>
      <c r="D4614" s="42"/>
    </row>
    <row r="4615" spans="2:4" ht="16" thickBot="1" x14ac:dyDescent="0.25">
      <c r="B4615" s="5">
        <v>4610</v>
      </c>
      <c r="C4615" s="11">
        <v>120.72222370760532</v>
      </c>
      <c r="D4615" s="42"/>
    </row>
    <row r="4616" spans="2:4" ht="16" thickBot="1" x14ac:dyDescent="0.25">
      <c r="B4616" s="4">
        <v>4611</v>
      </c>
      <c r="C4616" s="10">
        <v>259.48078042121142</v>
      </c>
      <c r="D4616" s="42"/>
    </row>
    <row r="4617" spans="2:4" ht="16" thickBot="1" x14ac:dyDescent="0.25">
      <c r="B4617" s="5">
        <v>4612</v>
      </c>
      <c r="C4617" s="11">
        <v>632.9017769128277</v>
      </c>
      <c r="D4617" s="42"/>
    </row>
    <row r="4618" spans="2:4" ht="16" thickBot="1" x14ac:dyDescent="0.25">
      <c r="B4618" s="4">
        <v>4613</v>
      </c>
      <c r="C4618" s="10">
        <v>103.37902215998537</v>
      </c>
      <c r="D4618" s="42"/>
    </row>
    <row r="4619" spans="2:4" ht="16" thickBot="1" x14ac:dyDescent="0.25">
      <c r="B4619" s="5">
        <v>4614</v>
      </c>
      <c r="C4619" s="11">
        <v>148.406017639146</v>
      </c>
      <c r="D4619" s="42"/>
    </row>
    <row r="4620" spans="2:4" ht="16" thickBot="1" x14ac:dyDescent="0.25">
      <c r="B4620" s="4">
        <v>4615</v>
      </c>
      <c r="C4620" s="10">
        <v>915.04348086058747</v>
      </c>
      <c r="D4620" s="42"/>
    </row>
    <row r="4621" spans="2:4" ht="16" thickBot="1" x14ac:dyDescent="0.25">
      <c r="B4621" s="5">
        <v>4616</v>
      </c>
      <c r="C4621" s="11">
        <v>410.09711915045898</v>
      </c>
      <c r="D4621" s="42"/>
    </row>
    <row r="4622" spans="2:4" ht="16" thickBot="1" x14ac:dyDescent="0.25">
      <c r="B4622" s="4">
        <v>4617</v>
      </c>
      <c r="C4622" s="10">
        <v>93.781695841591841</v>
      </c>
      <c r="D4622" s="42"/>
    </row>
    <row r="4623" spans="2:4" ht="16" thickBot="1" x14ac:dyDescent="0.25">
      <c r="B4623" s="5">
        <v>4618</v>
      </c>
      <c r="C4623" s="11">
        <v>50.116306065955065</v>
      </c>
      <c r="D4623" s="42"/>
    </row>
    <row r="4624" spans="2:4" ht="16" thickBot="1" x14ac:dyDescent="0.25">
      <c r="B4624" s="4">
        <v>4619</v>
      </c>
      <c r="C4624" s="10">
        <v>355.4690667655874</v>
      </c>
      <c r="D4624" s="42"/>
    </row>
    <row r="4625" spans="2:4" ht="16" thickBot="1" x14ac:dyDescent="0.25">
      <c r="B4625" s="5">
        <v>4620</v>
      </c>
      <c r="C4625" s="11">
        <v>274.16934537686069</v>
      </c>
      <c r="D4625" s="42"/>
    </row>
    <row r="4626" spans="2:4" ht="16" thickBot="1" x14ac:dyDescent="0.25">
      <c r="B4626" s="4">
        <v>4621</v>
      </c>
      <c r="C4626" s="10">
        <v>413.68585160791935</v>
      </c>
      <c r="D4626" s="42"/>
    </row>
    <row r="4627" spans="2:4" ht="16" thickBot="1" x14ac:dyDescent="0.25">
      <c r="B4627" s="5">
        <v>4622</v>
      </c>
      <c r="C4627" s="11">
        <v>122.76929519287785</v>
      </c>
      <c r="D4627" s="42"/>
    </row>
    <row r="4628" spans="2:4" ht="16" thickBot="1" x14ac:dyDescent="0.25">
      <c r="B4628" s="4">
        <v>4623</v>
      </c>
      <c r="C4628" s="10">
        <v>62.528375880081043</v>
      </c>
      <c r="D4628" s="42"/>
    </row>
    <row r="4629" spans="2:4" ht="16" thickBot="1" x14ac:dyDescent="0.25">
      <c r="B4629" s="5">
        <v>4624</v>
      </c>
      <c r="C4629" s="11">
        <v>578.33274733803819</v>
      </c>
      <c r="D4629" s="42"/>
    </row>
    <row r="4630" spans="2:4" ht="16" thickBot="1" x14ac:dyDescent="0.25">
      <c r="B4630" s="4">
        <v>4625</v>
      </c>
      <c r="C4630" s="10">
        <v>249.37852323454649</v>
      </c>
      <c r="D4630" s="42"/>
    </row>
    <row r="4631" spans="2:4" ht="16" thickBot="1" x14ac:dyDescent="0.25">
      <c r="B4631" s="5">
        <v>4626</v>
      </c>
      <c r="C4631" s="11">
        <v>170.44932838113891</v>
      </c>
      <c r="D4631" s="42"/>
    </row>
    <row r="4632" spans="2:4" ht="16" thickBot="1" x14ac:dyDescent="0.25">
      <c r="B4632" s="4">
        <v>4627</v>
      </c>
      <c r="C4632" s="10">
        <v>95.854963223609289</v>
      </c>
      <c r="D4632" s="42"/>
    </row>
    <row r="4633" spans="2:4" ht="16" thickBot="1" x14ac:dyDescent="0.25">
      <c r="B4633" s="5">
        <v>4628</v>
      </c>
      <c r="C4633" s="11">
        <v>436.46518531133984</v>
      </c>
      <c r="D4633" s="42"/>
    </row>
    <row r="4634" spans="2:4" ht="16" thickBot="1" x14ac:dyDescent="0.25">
      <c r="B4634" s="4">
        <v>4629</v>
      </c>
      <c r="C4634" s="10">
        <v>123.87339937749323</v>
      </c>
      <c r="D4634" s="42"/>
    </row>
    <row r="4635" spans="2:4" ht="16" thickBot="1" x14ac:dyDescent="0.25">
      <c r="B4635" s="5">
        <v>4630</v>
      </c>
      <c r="C4635" s="11">
        <v>305.30129086453326</v>
      </c>
      <c r="D4635" s="42"/>
    </row>
    <row r="4636" spans="2:4" ht="16" thickBot="1" x14ac:dyDescent="0.25">
      <c r="B4636" s="4">
        <v>4631</v>
      </c>
      <c r="C4636" s="10">
        <v>396.81952556549965</v>
      </c>
      <c r="D4636" s="42"/>
    </row>
    <row r="4637" spans="2:4" ht="16" thickBot="1" x14ac:dyDescent="0.25">
      <c r="B4637" s="5">
        <v>4632</v>
      </c>
      <c r="C4637" s="11">
        <v>162.8208595824434</v>
      </c>
      <c r="D4637" s="42"/>
    </row>
    <row r="4638" spans="2:4" ht="16" thickBot="1" x14ac:dyDescent="0.25">
      <c r="B4638" s="4">
        <v>4633</v>
      </c>
      <c r="C4638" s="10">
        <v>138.19931684870619</v>
      </c>
      <c r="D4638" s="42"/>
    </row>
    <row r="4639" spans="2:4" ht="16" thickBot="1" x14ac:dyDescent="0.25">
      <c r="B4639" s="5">
        <v>4634</v>
      </c>
      <c r="C4639" s="11">
        <v>336.72824474150514</v>
      </c>
      <c r="D4639" s="42"/>
    </row>
    <row r="4640" spans="2:4" ht="16" thickBot="1" x14ac:dyDescent="0.25">
      <c r="B4640" s="4">
        <v>4635</v>
      </c>
      <c r="C4640" s="10">
        <v>157.69438700303169</v>
      </c>
      <c r="D4640" s="42"/>
    </row>
    <row r="4641" spans="2:4" ht="16" thickBot="1" x14ac:dyDescent="0.25">
      <c r="B4641" s="5">
        <v>4636</v>
      </c>
      <c r="C4641" s="11">
        <v>340.76690836917334</v>
      </c>
      <c r="D4641" s="42"/>
    </row>
    <row r="4642" spans="2:4" ht="16" thickBot="1" x14ac:dyDescent="0.25">
      <c r="B4642" s="4">
        <v>4637</v>
      </c>
      <c r="C4642" s="10">
        <v>125.19396129898921</v>
      </c>
      <c r="D4642" s="42"/>
    </row>
    <row r="4643" spans="2:4" ht="16" thickBot="1" x14ac:dyDescent="0.25">
      <c r="B4643" s="5">
        <v>4638</v>
      </c>
      <c r="C4643" s="11">
        <v>256.58607857022361</v>
      </c>
      <c r="D4643" s="42"/>
    </row>
    <row r="4644" spans="2:4" ht="16" thickBot="1" x14ac:dyDescent="0.25">
      <c r="B4644" s="4">
        <v>4639</v>
      </c>
      <c r="C4644" s="10">
        <v>51.773568246958156</v>
      </c>
      <c r="D4644" s="42"/>
    </row>
    <row r="4645" spans="2:4" ht="16" thickBot="1" x14ac:dyDescent="0.25">
      <c r="B4645" s="5">
        <v>4640</v>
      </c>
      <c r="C4645" s="11">
        <v>202.62464913533609</v>
      </c>
      <c r="D4645" s="42"/>
    </row>
    <row r="4646" spans="2:4" ht="16" thickBot="1" x14ac:dyDescent="0.25">
      <c r="B4646" s="4">
        <v>4641</v>
      </c>
      <c r="C4646" s="10">
        <v>225.32757305088342</v>
      </c>
      <c r="D4646" s="42"/>
    </row>
    <row r="4647" spans="2:4" ht="16" thickBot="1" x14ac:dyDescent="0.25">
      <c r="B4647" s="5">
        <v>4642</v>
      </c>
      <c r="C4647" s="11">
        <v>236.68521032343349</v>
      </c>
      <c r="D4647" s="42"/>
    </row>
    <row r="4648" spans="2:4" ht="16" thickBot="1" x14ac:dyDescent="0.25">
      <c r="B4648" s="4">
        <v>4643</v>
      </c>
      <c r="C4648" s="10">
        <v>348.70305458707566</v>
      </c>
      <c r="D4648" s="42"/>
    </row>
    <row r="4649" spans="2:4" ht="16" thickBot="1" x14ac:dyDescent="0.25">
      <c r="B4649" s="5">
        <v>4644</v>
      </c>
      <c r="C4649" s="11">
        <v>229.92442245449462</v>
      </c>
      <c r="D4649" s="42"/>
    </row>
    <row r="4650" spans="2:4" ht="16" thickBot="1" x14ac:dyDescent="0.25">
      <c r="B4650" s="4">
        <v>4645</v>
      </c>
      <c r="C4650" s="10">
        <v>87.320410863926114</v>
      </c>
      <c r="D4650" s="42"/>
    </row>
    <row r="4651" spans="2:4" ht="16" thickBot="1" x14ac:dyDescent="0.25">
      <c r="B4651" s="5">
        <v>4646</v>
      </c>
      <c r="C4651" s="11">
        <v>268.35601802461025</v>
      </c>
      <c r="D4651" s="42"/>
    </row>
    <row r="4652" spans="2:4" ht="16" thickBot="1" x14ac:dyDescent="0.25">
      <c r="B4652" s="4">
        <v>4647</v>
      </c>
      <c r="C4652" s="10">
        <v>368.15126946280498</v>
      </c>
      <c r="D4652" s="42"/>
    </row>
    <row r="4653" spans="2:4" ht="16" thickBot="1" x14ac:dyDescent="0.25">
      <c r="B4653" s="5">
        <v>4648</v>
      </c>
      <c r="C4653" s="11">
        <v>186.21036636403878</v>
      </c>
      <c r="D4653" s="42"/>
    </row>
    <row r="4654" spans="2:4" ht="16" thickBot="1" x14ac:dyDescent="0.25">
      <c r="B4654" s="4">
        <v>4649</v>
      </c>
      <c r="C4654" s="10">
        <v>295.88645287033222</v>
      </c>
      <c r="D4654" s="42"/>
    </row>
    <row r="4655" spans="2:4" ht="16" thickBot="1" x14ac:dyDescent="0.25">
      <c r="B4655" s="5">
        <v>4650</v>
      </c>
      <c r="C4655" s="11">
        <v>67.409134337021541</v>
      </c>
      <c r="D4655" s="42"/>
    </row>
    <row r="4656" spans="2:4" ht="16" thickBot="1" x14ac:dyDescent="0.25">
      <c r="B4656" s="4">
        <v>4651</v>
      </c>
      <c r="C4656" s="10">
        <v>134.5574977154379</v>
      </c>
      <c r="D4656" s="42"/>
    </row>
    <row r="4657" spans="2:4" ht="16" thickBot="1" x14ac:dyDescent="0.25">
      <c r="B4657" s="5">
        <v>4652</v>
      </c>
      <c r="C4657" s="11">
        <v>231.49433115140079</v>
      </c>
      <c r="D4657" s="42"/>
    </row>
    <row r="4658" spans="2:4" ht="16" thickBot="1" x14ac:dyDescent="0.25">
      <c r="B4658" s="4">
        <v>4653</v>
      </c>
      <c r="C4658" s="10">
        <v>184.37079313418855</v>
      </c>
      <c r="D4658" s="42"/>
    </row>
    <row r="4659" spans="2:4" ht="16" thickBot="1" x14ac:dyDescent="0.25">
      <c r="B4659" s="5">
        <v>4654</v>
      </c>
      <c r="C4659" s="11">
        <v>159.77997835285296</v>
      </c>
      <c r="D4659" s="42"/>
    </row>
    <row r="4660" spans="2:4" ht="16" thickBot="1" x14ac:dyDescent="0.25">
      <c r="B4660" s="4">
        <v>4655</v>
      </c>
      <c r="C4660" s="10">
        <v>93.786684971196081</v>
      </c>
      <c r="D4660" s="42"/>
    </row>
    <row r="4661" spans="2:4" ht="16" thickBot="1" x14ac:dyDescent="0.25">
      <c r="B4661" s="5">
        <v>4656</v>
      </c>
      <c r="C4661" s="11">
        <v>137.33997043634383</v>
      </c>
      <c r="D4661" s="42"/>
    </row>
    <row r="4662" spans="2:4" ht="16" thickBot="1" x14ac:dyDescent="0.25">
      <c r="B4662" s="4">
        <v>4657</v>
      </c>
      <c r="C4662" s="10">
        <v>451.18162250640489</v>
      </c>
      <c r="D4662" s="42"/>
    </row>
    <row r="4663" spans="2:4" ht="16" thickBot="1" x14ac:dyDescent="0.25">
      <c r="B4663" s="5">
        <v>4658</v>
      </c>
      <c r="C4663" s="11">
        <v>440.15632129931134</v>
      </c>
      <c r="D4663" s="42"/>
    </row>
    <row r="4664" spans="2:4" ht="16" thickBot="1" x14ac:dyDescent="0.25">
      <c r="B4664" s="4">
        <v>4659</v>
      </c>
      <c r="C4664" s="10">
        <v>694.06981321069338</v>
      </c>
      <c r="D4664" s="42"/>
    </row>
    <row r="4665" spans="2:4" ht="16" thickBot="1" x14ac:dyDescent="0.25">
      <c r="B4665" s="5">
        <v>4660</v>
      </c>
      <c r="C4665" s="11">
        <v>1436.7746299287273</v>
      </c>
      <c r="D4665" s="42"/>
    </row>
    <row r="4666" spans="2:4" ht="16" thickBot="1" x14ac:dyDescent="0.25">
      <c r="B4666" s="4">
        <v>4661</v>
      </c>
      <c r="C4666" s="10">
        <v>215.28235601582517</v>
      </c>
      <c r="D4666" s="42"/>
    </row>
    <row r="4667" spans="2:4" ht="16" thickBot="1" x14ac:dyDescent="0.25">
      <c r="B4667" s="5">
        <v>4662</v>
      </c>
      <c r="C4667" s="11">
        <v>215.84614175889857</v>
      </c>
      <c r="D4667" s="42"/>
    </row>
    <row r="4668" spans="2:4" ht="16" thickBot="1" x14ac:dyDescent="0.25">
      <c r="B4668" s="4">
        <v>4663</v>
      </c>
      <c r="C4668" s="10">
        <v>101.01228737398839</v>
      </c>
      <c r="D4668" s="42"/>
    </row>
    <row r="4669" spans="2:4" ht="16" thickBot="1" x14ac:dyDescent="0.25">
      <c r="B4669" s="5">
        <v>4664</v>
      </c>
      <c r="C4669" s="11">
        <v>120.14681498172628</v>
      </c>
      <c r="D4669" s="42"/>
    </row>
    <row r="4670" spans="2:4" ht="16" thickBot="1" x14ac:dyDescent="0.25">
      <c r="B4670" s="4">
        <v>4665</v>
      </c>
      <c r="C4670" s="10">
        <v>285.4206276970408</v>
      </c>
      <c r="D4670" s="42"/>
    </row>
    <row r="4671" spans="2:4" ht="16" thickBot="1" x14ac:dyDescent="0.25">
      <c r="B4671" s="5">
        <v>4666</v>
      </c>
      <c r="C4671" s="11">
        <v>269.05782037037778</v>
      </c>
      <c r="D4671" s="42"/>
    </row>
    <row r="4672" spans="2:4" ht="16" thickBot="1" x14ac:dyDescent="0.25">
      <c r="B4672" s="4">
        <v>4667</v>
      </c>
      <c r="C4672" s="10">
        <v>377.07932359364145</v>
      </c>
      <c r="D4672" s="42"/>
    </row>
    <row r="4673" spans="2:4" ht="16" thickBot="1" x14ac:dyDescent="0.25">
      <c r="B4673" s="5">
        <v>4668</v>
      </c>
      <c r="C4673" s="11">
        <v>147.5005288548638</v>
      </c>
      <c r="D4673" s="42"/>
    </row>
    <row r="4674" spans="2:4" ht="16" thickBot="1" x14ac:dyDescent="0.25">
      <c r="B4674" s="4">
        <v>4669</v>
      </c>
      <c r="C4674" s="10">
        <v>345.63840946193153</v>
      </c>
      <c r="D4674" s="42"/>
    </row>
    <row r="4675" spans="2:4" ht="16" thickBot="1" x14ac:dyDescent="0.25">
      <c r="B4675" s="5">
        <v>4670</v>
      </c>
      <c r="C4675" s="11">
        <v>128.49261432571677</v>
      </c>
      <c r="D4675" s="42"/>
    </row>
    <row r="4676" spans="2:4" ht="16" thickBot="1" x14ac:dyDescent="0.25">
      <c r="B4676" s="4">
        <v>4671</v>
      </c>
      <c r="C4676" s="10">
        <v>412.99433146610204</v>
      </c>
      <c r="D4676" s="42"/>
    </row>
    <row r="4677" spans="2:4" ht="16" thickBot="1" x14ac:dyDescent="0.25">
      <c r="B4677" s="5">
        <v>4672</v>
      </c>
      <c r="C4677" s="11">
        <v>274.5248537923311</v>
      </c>
      <c r="D4677" s="42"/>
    </row>
    <row r="4678" spans="2:4" ht="16" thickBot="1" x14ac:dyDescent="0.25">
      <c r="B4678" s="4">
        <v>4673</v>
      </c>
      <c r="C4678" s="10">
        <v>64.784570986956766</v>
      </c>
      <c r="D4678" s="42"/>
    </row>
    <row r="4679" spans="2:4" ht="16" thickBot="1" x14ac:dyDescent="0.25">
      <c r="B4679" s="5">
        <v>4674</v>
      </c>
      <c r="C4679" s="11">
        <v>166.19300557320395</v>
      </c>
      <c r="D4679" s="42"/>
    </row>
    <row r="4680" spans="2:4" ht="16" thickBot="1" x14ac:dyDescent="0.25">
      <c r="B4680" s="4">
        <v>4675</v>
      </c>
      <c r="C4680" s="10">
        <v>390.31704747921259</v>
      </c>
      <c r="D4680" s="42"/>
    </row>
    <row r="4681" spans="2:4" ht="16" thickBot="1" x14ac:dyDescent="0.25">
      <c r="B4681" s="5">
        <v>4676</v>
      </c>
      <c r="C4681" s="11">
        <v>512.187359254635</v>
      </c>
      <c r="D4681" s="42"/>
    </row>
    <row r="4682" spans="2:4" ht="16" thickBot="1" x14ac:dyDescent="0.25">
      <c r="B4682" s="4">
        <v>4677</v>
      </c>
      <c r="C4682" s="10">
        <v>242.08580532082871</v>
      </c>
      <c r="D4682" s="42"/>
    </row>
    <row r="4683" spans="2:4" ht="16" thickBot="1" x14ac:dyDescent="0.25">
      <c r="B4683" s="5">
        <v>4678</v>
      </c>
      <c r="C4683" s="11">
        <v>219.18947369046168</v>
      </c>
      <c r="D4683" s="42"/>
    </row>
    <row r="4684" spans="2:4" ht="16" thickBot="1" x14ac:dyDescent="0.25">
      <c r="B4684" s="4">
        <v>4679</v>
      </c>
      <c r="C4684" s="10">
        <v>309.37488793843602</v>
      </c>
      <c r="D4684" s="42"/>
    </row>
    <row r="4685" spans="2:4" ht="16" thickBot="1" x14ac:dyDescent="0.25">
      <c r="B4685" s="5">
        <v>4680</v>
      </c>
      <c r="C4685" s="11">
        <v>271.00848453213899</v>
      </c>
      <c r="D4685" s="42"/>
    </row>
    <row r="4686" spans="2:4" ht="16" thickBot="1" x14ac:dyDescent="0.25">
      <c r="B4686" s="4">
        <v>4681</v>
      </c>
      <c r="C4686" s="10">
        <v>295.53612227108397</v>
      </c>
      <c r="D4686" s="42"/>
    </row>
    <row r="4687" spans="2:4" ht="16" thickBot="1" x14ac:dyDescent="0.25">
      <c r="B4687" s="5">
        <v>4682</v>
      </c>
      <c r="C4687" s="11">
        <v>408.92193393415812</v>
      </c>
      <c r="D4687" s="42"/>
    </row>
    <row r="4688" spans="2:4" ht="16" thickBot="1" x14ac:dyDescent="0.25">
      <c r="B4688" s="4">
        <v>4683</v>
      </c>
      <c r="C4688" s="10">
        <v>168.23529112068678</v>
      </c>
      <c r="D4688" s="42"/>
    </row>
    <row r="4689" spans="2:4" ht="16" thickBot="1" x14ac:dyDescent="0.25">
      <c r="B4689" s="5">
        <v>4684</v>
      </c>
      <c r="C4689" s="11">
        <v>185.22345765602611</v>
      </c>
      <c r="D4689" s="42"/>
    </row>
    <row r="4690" spans="2:4" ht="16" thickBot="1" x14ac:dyDescent="0.25">
      <c r="B4690" s="4">
        <v>4685</v>
      </c>
      <c r="C4690" s="10">
        <v>231.89974986374017</v>
      </c>
      <c r="D4690" s="42"/>
    </row>
    <row r="4691" spans="2:4" ht="16" thickBot="1" x14ac:dyDescent="0.25">
      <c r="B4691" s="5">
        <v>4686</v>
      </c>
      <c r="C4691" s="11">
        <v>298.81903834154809</v>
      </c>
      <c r="D4691" s="42"/>
    </row>
    <row r="4692" spans="2:4" ht="16" thickBot="1" x14ac:dyDescent="0.25">
      <c r="B4692" s="4">
        <v>4687</v>
      </c>
      <c r="C4692" s="10">
        <v>622.14216308384653</v>
      </c>
      <c r="D4692" s="42"/>
    </row>
    <row r="4693" spans="2:4" ht="16" thickBot="1" x14ac:dyDescent="0.25">
      <c r="B4693" s="5">
        <v>4688</v>
      </c>
      <c r="C4693" s="11">
        <v>433.77064503181174</v>
      </c>
      <c r="D4693" s="42"/>
    </row>
    <row r="4694" spans="2:4" ht="16" thickBot="1" x14ac:dyDescent="0.25">
      <c r="B4694" s="4">
        <v>4689</v>
      </c>
      <c r="C4694" s="10">
        <v>280.88090518883342</v>
      </c>
      <c r="D4694" s="42"/>
    </row>
    <row r="4695" spans="2:4" ht="16" thickBot="1" x14ac:dyDescent="0.25">
      <c r="B4695" s="5">
        <v>4690</v>
      </c>
      <c r="C4695" s="11">
        <v>316.05489781363417</v>
      </c>
      <c r="D4695" s="42"/>
    </row>
    <row r="4696" spans="2:4" ht="16" thickBot="1" x14ac:dyDescent="0.25">
      <c r="B4696" s="4">
        <v>4691</v>
      </c>
      <c r="C4696" s="10">
        <v>195.6745739325811</v>
      </c>
      <c r="D4696" s="42"/>
    </row>
    <row r="4697" spans="2:4" ht="16" thickBot="1" x14ac:dyDescent="0.25">
      <c r="B4697" s="5">
        <v>4692</v>
      </c>
      <c r="C4697" s="11">
        <v>327.09207522175933</v>
      </c>
      <c r="D4697" s="42"/>
    </row>
    <row r="4698" spans="2:4" ht="16" thickBot="1" x14ac:dyDescent="0.25">
      <c r="B4698" s="4">
        <v>4693</v>
      </c>
      <c r="C4698" s="10">
        <v>392.34793571917777</v>
      </c>
      <c r="D4698" s="42"/>
    </row>
    <row r="4699" spans="2:4" ht="16" thickBot="1" x14ac:dyDescent="0.25">
      <c r="B4699" s="5">
        <v>4694</v>
      </c>
      <c r="C4699" s="11">
        <v>484.40323023737619</v>
      </c>
      <c r="D4699" s="42"/>
    </row>
    <row r="4700" spans="2:4" ht="16" thickBot="1" x14ac:dyDescent="0.25">
      <c r="B4700" s="4">
        <v>4695</v>
      </c>
      <c r="C4700" s="10">
        <v>727.24357996039782</v>
      </c>
      <c r="D4700" s="42"/>
    </row>
    <row r="4701" spans="2:4" ht="16" thickBot="1" x14ac:dyDescent="0.25">
      <c r="B4701" s="5">
        <v>4696</v>
      </c>
      <c r="C4701" s="11">
        <v>365.01966585503169</v>
      </c>
      <c r="D4701" s="42"/>
    </row>
    <row r="4702" spans="2:4" ht="16" thickBot="1" x14ac:dyDescent="0.25">
      <c r="B4702" s="4">
        <v>4697</v>
      </c>
      <c r="C4702" s="10">
        <v>119.11629117001218</v>
      </c>
      <c r="D4702" s="42"/>
    </row>
    <row r="4703" spans="2:4" ht="16" thickBot="1" x14ac:dyDescent="0.25">
      <c r="B4703" s="5">
        <v>4698</v>
      </c>
      <c r="C4703" s="11">
        <v>105.07706357351871</v>
      </c>
      <c r="D4703" s="42"/>
    </row>
    <row r="4704" spans="2:4" ht="16" thickBot="1" x14ac:dyDescent="0.25">
      <c r="B4704" s="4">
        <v>4699</v>
      </c>
      <c r="C4704" s="10">
        <v>54.098556231436461</v>
      </c>
      <c r="D4704" s="42"/>
    </row>
    <row r="4705" spans="2:4" ht="16" thickBot="1" x14ac:dyDescent="0.25">
      <c r="B4705" s="5">
        <v>4700</v>
      </c>
      <c r="C4705" s="11">
        <v>129.30854643689017</v>
      </c>
      <c r="D4705" s="42"/>
    </row>
    <row r="4706" spans="2:4" ht="16" thickBot="1" x14ac:dyDescent="0.25">
      <c r="B4706" s="4">
        <v>4701</v>
      </c>
      <c r="C4706" s="10">
        <v>230.13712380866488</v>
      </c>
      <c r="D4706" s="42"/>
    </row>
    <row r="4707" spans="2:4" ht="16" thickBot="1" x14ac:dyDescent="0.25">
      <c r="B4707" s="5">
        <v>4702</v>
      </c>
      <c r="C4707" s="11">
        <v>324.68130164843029</v>
      </c>
      <c r="D4707" s="42"/>
    </row>
    <row r="4708" spans="2:4" ht="16" thickBot="1" x14ac:dyDescent="0.25">
      <c r="B4708" s="4">
        <v>4703</v>
      </c>
      <c r="C4708" s="10">
        <v>237.57703796382759</v>
      </c>
      <c r="D4708" s="42"/>
    </row>
    <row r="4709" spans="2:4" ht="16" thickBot="1" x14ac:dyDescent="0.25">
      <c r="B4709" s="5">
        <v>4704</v>
      </c>
      <c r="C4709" s="11">
        <v>213.25230791029637</v>
      </c>
      <c r="D4709" s="42"/>
    </row>
    <row r="4710" spans="2:4" ht="16" thickBot="1" x14ac:dyDescent="0.25">
      <c r="B4710" s="4">
        <v>4705</v>
      </c>
      <c r="C4710" s="10">
        <v>343.56022474530903</v>
      </c>
      <c r="D4710" s="42"/>
    </row>
    <row r="4711" spans="2:4" ht="16" thickBot="1" x14ac:dyDescent="0.25">
      <c r="B4711" s="5">
        <v>4706</v>
      </c>
      <c r="C4711" s="11">
        <v>64.977163312154872</v>
      </c>
      <c r="D4711" s="42"/>
    </row>
    <row r="4712" spans="2:4" ht="16" thickBot="1" x14ac:dyDescent="0.25">
      <c r="B4712" s="4">
        <v>4707</v>
      </c>
      <c r="C4712" s="10">
        <v>23.234774443554187</v>
      </c>
      <c r="D4712" s="42"/>
    </row>
    <row r="4713" spans="2:4" ht="16" thickBot="1" x14ac:dyDescent="0.25">
      <c r="B4713" s="5">
        <v>4708</v>
      </c>
      <c r="C4713" s="11">
        <v>441.48125169234225</v>
      </c>
      <c r="D4713" s="42"/>
    </row>
    <row r="4714" spans="2:4" ht="16" thickBot="1" x14ac:dyDescent="0.25">
      <c r="B4714" s="4">
        <v>4709</v>
      </c>
      <c r="C4714" s="10">
        <v>144.64982735212291</v>
      </c>
      <c r="D4714" s="42"/>
    </row>
    <row r="4715" spans="2:4" ht="16" thickBot="1" x14ac:dyDescent="0.25">
      <c r="B4715" s="5">
        <v>4710</v>
      </c>
      <c r="C4715" s="11">
        <v>255.10461297192032</v>
      </c>
      <c r="D4715" s="42"/>
    </row>
    <row r="4716" spans="2:4" ht="16" thickBot="1" x14ac:dyDescent="0.25">
      <c r="B4716" s="4">
        <v>4711</v>
      </c>
      <c r="C4716" s="10">
        <v>100.41191135838339</v>
      </c>
      <c r="D4716" s="42"/>
    </row>
    <row r="4717" spans="2:4" ht="16" thickBot="1" x14ac:dyDescent="0.25">
      <c r="B4717" s="5">
        <v>4712</v>
      </c>
      <c r="C4717" s="11">
        <v>310.81650234399552</v>
      </c>
      <c r="D4717" s="42"/>
    </row>
    <row r="4718" spans="2:4" ht="16" thickBot="1" x14ac:dyDescent="0.25">
      <c r="B4718" s="4">
        <v>4713</v>
      </c>
      <c r="C4718" s="10">
        <v>326.44534492538094</v>
      </c>
      <c r="D4718" s="42"/>
    </row>
    <row r="4719" spans="2:4" ht="16" thickBot="1" x14ac:dyDescent="0.25">
      <c r="B4719" s="5">
        <v>4714</v>
      </c>
      <c r="C4719" s="11">
        <v>65.64106084122119</v>
      </c>
      <c r="D4719" s="42"/>
    </row>
    <row r="4720" spans="2:4" ht="16" thickBot="1" x14ac:dyDescent="0.25">
      <c r="B4720" s="4">
        <v>4715</v>
      </c>
      <c r="C4720" s="10">
        <v>182.70919140734142</v>
      </c>
      <c r="D4720" s="42"/>
    </row>
    <row r="4721" spans="2:4" ht="16" thickBot="1" x14ac:dyDescent="0.25">
      <c r="B4721" s="5">
        <v>4716</v>
      </c>
      <c r="C4721" s="11">
        <v>306.49196053341717</v>
      </c>
      <c r="D4721" s="42"/>
    </row>
    <row r="4722" spans="2:4" ht="16" thickBot="1" x14ac:dyDescent="0.25">
      <c r="B4722" s="4">
        <v>4717</v>
      </c>
      <c r="C4722" s="10">
        <v>672.5607055954581</v>
      </c>
      <c r="D4722" s="42"/>
    </row>
    <row r="4723" spans="2:4" ht="16" thickBot="1" x14ac:dyDescent="0.25">
      <c r="B4723" s="5">
        <v>4718</v>
      </c>
      <c r="C4723" s="11">
        <v>299.95077593559836</v>
      </c>
      <c r="D4723" s="42"/>
    </row>
    <row r="4724" spans="2:4" ht="16" thickBot="1" x14ac:dyDescent="0.25">
      <c r="B4724" s="4">
        <v>4719</v>
      </c>
      <c r="C4724" s="10">
        <v>384.91763609645704</v>
      </c>
      <c r="D4724" s="42"/>
    </row>
    <row r="4725" spans="2:4" ht="16" thickBot="1" x14ac:dyDescent="0.25">
      <c r="B4725" s="5">
        <v>4720</v>
      </c>
      <c r="C4725" s="11">
        <v>362.37193104146468</v>
      </c>
      <c r="D4725" s="42"/>
    </row>
    <row r="4726" spans="2:4" ht="16" thickBot="1" x14ac:dyDescent="0.25">
      <c r="B4726" s="4">
        <v>4721</v>
      </c>
      <c r="C4726" s="10">
        <v>241.80492310671141</v>
      </c>
      <c r="D4726" s="42"/>
    </row>
    <row r="4727" spans="2:4" ht="16" thickBot="1" x14ac:dyDescent="0.25">
      <c r="B4727" s="5">
        <v>4722</v>
      </c>
      <c r="C4727" s="11">
        <v>146.44568906657184</v>
      </c>
      <c r="D4727" s="42"/>
    </row>
    <row r="4728" spans="2:4" ht="16" thickBot="1" x14ac:dyDescent="0.25">
      <c r="B4728" s="4">
        <v>4723</v>
      </c>
      <c r="C4728" s="10">
        <v>265.72667692492183</v>
      </c>
      <c r="D4728" s="42"/>
    </row>
    <row r="4729" spans="2:4" ht="16" thickBot="1" x14ac:dyDescent="0.25">
      <c r="B4729" s="5">
        <v>4724</v>
      </c>
      <c r="C4729" s="11">
        <v>279.37217179571587</v>
      </c>
      <c r="D4729" s="42"/>
    </row>
    <row r="4730" spans="2:4" ht="16" thickBot="1" x14ac:dyDescent="0.25">
      <c r="B4730" s="4">
        <v>4725</v>
      </c>
      <c r="C4730" s="10">
        <v>186.73432250906757</v>
      </c>
      <c r="D4730" s="42"/>
    </row>
    <row r="4731" spans="2:4" ht="16" thickBot="1" x14ac:dyDescent="0.25">
      <c r="B4731" s="5">
        <v>4726</v>
      </c>
      <c r="C4731" s="11">
        <v>420.14784066289883</v>
      </c>
      <c r="D4731" s="42"/>
    </row>
    <row r="4732" spans="2:4" ht="16" thickBot="1" x14ac:dyDescent="0.25">
      <c r="B4732" s="4">
        <v>4727</v>
      </c>
      <c r="C4732" s="10">
        <v>318.48522442586892</v>
      </c>
      <c r="D4732" s="42"/>
    </row>
    <row r="4733" spans="2:4" ht="16" thickBot="1" x14ac:dyDescent="0.25">
      <c r="B4733" s="5">
        <v>4728</v>
      </c>
      <c r="C4733" s="11">
        <v>100.41247467644672</v>
      </c>
      <c r="D4733" s="42"/>
    </row>
    <row r="4734" spans="2:4" ht="16" thickBot="1" x14ac:dyDescent="0.25">
      <c r="B4734" s="4">
        <v>4729</v>
      </c>
      <c r="C4734" s="10">
        <v>345.83680840433607</v>
      </c>
      <c r="D4734" s="42"/>
    </row>
    <row r="4735" spans="2:4" ht="16" thickBot="1" x14ac:dyDescent="0.25">
      <c r="B4735" s="5">
        <v>4730</v>
      </c>
      <c r="C4735" s="11">
        <v>543.98722959707266</v>
      </c>
      <c r="D4735" s="42"/>
    </row>
    <row r="4736" spans="2:4" ht="16" thickBot="1" x14ac:dyDescent="0.25">
      <c r="B4736" s="4">
        <v>4731</v>
      </c>
      <c r="C4736" s="10">
        <v>129.99225019382931</v>
      </c>
      <c r="D4736" s="42"/>
    </row>
    <row r="4737" spans="2:4" ht="16" thickBot="1" x14ac:dyDescent="0.25">
      <c r="B4737" s="5">
        <v>4732</v>
      </c>
      <c r="C4737" s="11">
        <v>493.57970965247097</v>
      </c>
      <c r="D4737" s="42"/>
    </row>
    <row r="4738" spans="2:4" ht="16" thickBot="1" x14ac:dyDescent="0.25">
      <c r="B4738" s="4">
        <v>4733</v>
      </c>
      <c r="C4738" s="10">
        <v>73.473896640245144</v>
      </c>
      <c r="D4738" s="42"/>
    </row>
    <row r="4739" spans="2:4" ht="16" thickBot="1" x14ac:dyDescent="0.25">
      <c r="B4739" s="5">
        <v>4734</v>
      </c>
      <c r="C4739" s="11">
        <v>45.33342643695778</v>
      </c>
      <c r="D4739" s="42"/>
    </row>
    <row r="4740" spans="2:4" ht="16" thickBot="1" x14ac:dyDescent="0.25">
      <c r="B4740" s="4">
        <v>4735</v>
      </c>
      <c r="C4740" s="10">
        <v>222.8468653575907</v>
      </c>
      <c r="D4740" s="42"/>
    </row>
    <row r="4741" spans="2:4" ht="16" thickBot="1" x14ac:dyDescent="0.25">
      <c r="B4741" s="5">
        <v>4736</v>
      </c>
      <c r="C4741" s="11">
        <v>480.84235987257705</v>
      </c>
      <c r="D4741" s="42"/>
    </row>
    <row r="4742" spans="2:4" ht="16" thickBot="1" x14ac:dyDescent="0.25">
      <c r="B4742" s="4">
        <v>4737</v>
      </c>
      <c r="C4742" s="10">
        <v>197.44483662385971</v>
      </c>
      <c r="D4742" s="42"/>
    </row>
    <row r="4743" spans="2:4" ht="16" thickBot="1" x14ac:dyDescent="0.25">
      <c r="B4743" s="5">
        <v>4738</v>
      </c>
      <c r="C4743" s="11">
        <v>441.55594183017865</v>
      </c>
      <c r="D4743" s="42"/>
    </row>
    <row r="4744" spans="2:4" ht="16" thickBot="1" x14ac:dyDescent="0.25">
      <c r="B4744" s="4">
        <v>4739</v>
      </c>
      <c r="C4744" s="10">
        <v>174.43164881238735</v>
      </c>
      <c r="D4744" s="42"/>
    </row>
    <row r="4745" spans="2:4" ht="16" thickBot="1" x14ac:dyDescent="0.25">
      <c r="B4745" s="5">
        <v>4740</v>
      </c>
      <c r="C4745" s="11">
        <v>234.89657711172157</v>
      </c>
      <c r="D4745" s="42"/>
    </row>
    <row r="4746" spans="2:4" ht="16" thickBot="1" x14ac:dyDescent="0.25">
      <c r="B4746" s="4">
        <v>4741</v>
      </c>
      <c r="C4746" s="10">
        <v>233.57906425461647</v>
      </c>
      <c r="D4746" s="42"/>
    </row>
    <row r="4747" spans="2:4" ht="16" thickBot="1" x14ac:dyDescent="0.25">
      <c r="B4747" s="5">
        <v>4742</v>
      </c>
      <c r="C4747" s="11">
        <v>310.94465839855474</v>
      </c>
      <c r="D4747" s="42"/>
    </row>
    <row r="4748" spans="2:4" ht="16" thickBot="1" x14ac:dyDescent="0.25">
      <c r="B4748" s="4">
        <v>4743</v>
      </c>
      <c r="C4748" s="10">
        <v>167.7085098557782</v>
      </c>
      <c r="D4748" s="42"/>
    </row>
    <row r="4749" spans="2:4" ht="16" thickBot="1" x14ac:dyDescent="0.25">
      <c r="B4749" s="5">
        <v>4744</v>
      </c>
      <c r="C4749" s="11">
        <v>216.98035930842107</v>
      </c>
      <c r="D4749" s="42"/>
    </row>
    <row r="4750" spans="2:4" ht="16" thickBot="1" x14ac:dyDescent="0.25">
      <c r="B4750" s="4">
        <v>4745</v>
      </c>
      <c r="C4750" s="10">
        <v>279.20055289491614</v>
      </c>
      <c r="D4750" s="42"/>
    </row>
    <row r="4751" spans="2:4" ht="16" thickBot="1" x14ac:dyDescent="0.25">
      <c r="B4751" s="5">
        <v>4746</v>
      </c>
      <c r="C4751" s="11">
        <v>863.22544092396049</v>
      </c>
      <c r="D4751" s="42"/>
    </row>
    <row r="4752" spans="2:4" ht="16" thickBot="1" x14ac:dyDescent="0.25">
      <c r="B4752" s="4">
        <v>4747</v>
      </c>
      <c r="C4752" s="10">
        <v>312.74165165893294</v>
      </c>
      <c r="D4752" s="42"/>
    </row>
    <row r="4753" spans="2:4" ht="16" thickBot="1" x14ac:dyDescent="0.25">
      <c r="B4753" s="5">
        <v>4748</v>
      </c>
      <c r="C4753" s="11">
        <v>355.50901120731766</v>
      </c>
      <c r="D4753" s="42"/>
    </row>
    <row r="4754" spans="2:4" ht="16" thickBot="1" x14ac:dyDescent="0.25">
      <c r="B4754" s="4">
        <v>4749</v>
      </c>
      <c r="C4754" s="10">
        <v>550.89593246527511</v>
      </c>
      <c r="D4754" s="42"/>
    </row>
    <row r="4755" spans="2:4" ht="16" thickBot="1" x14ac:dyDescent="0.25">
      <c r="B4755" s="5">
        <v>4750</v>
      </c>
      <c r="C4755" s="11">
        <v>221.76021307949929</v>
      </c>
      <c r="D4755" s="42"/>
    </row>
    <row r="4756" spans="2:4" ht="16" thickBot="1" x14ac:dyDescent="0.25">
      <c r="B4756" s="4">
        <v>4751</v>
      </c>
      <c r="C4756" s="10">
        <v>343.43473890356762</v>
      </c>
      <c r="D4756" s="42"/>
    </row>
    <row r="4757" spans="2:4" ht="16" thickBot="1" x14ac:dyDescent="0.25">
      <c r="B4757" s="5">
        <v>4752</v>
      </c>
      <c r="C4757" s="11">
        <v>179.77825442353407</v>
      </c>
      <c r="D4757" s="42"/>
    </row>
    <row r="4758" spans="2:4" ht="16" thickBot="1" x14ac:dyDescent="0.25">
      <c r="B4758" s="4">
        <v>4753</v>
      </c>
      <c r="C4758" s="10">
        <v>322.71546450461301</v>
      </c>
      <c r="D4758" s="42"/>
    </row>
    <row r="4759" spans="2:4" ht="16" thickBot="1" x14ac:dyDescent="0.25">
      <c r="B4759" s="5">
        <v>4754</v>
      </c>
      <c r="C4759" s="11">
        <v>166.50106049838163</v>
      </c>
      <c r="D4759" s="42"/>
    </row>
    <row r="4760" spans="2:4" ht="16" thickBot="1" x14ac:dyDescent="0.25">
      <c r="B4760" s="4">
        <v>4755</v>
      </c>
      <c r="C4760" s="10">
        <v>250.94429205186879</v>
      </c>
      <c r="D4760" s="42"/>
    </row>
    <row r="4761" spans="2:4" ht="16" thickBot="1" x14ac:dyDescent="0.25">
      <c r="B4761" s="5">
        <v>4756</v>
      </c>
      <c r="C4761" s="11">
        <v>551.74257279346978</v>
      </c>
      <c r="D4761" s="42"/>
    </row>
    <row r="4762" spans="2:4" ht="16" thickBot="1" x14ac:dyDescent="0.25">
      <c r="B4762" s="4">
        <v>4757</v>
      </c>
      <c r="C4762" s="10">
        <v>183.75052812289269</v>
      </c>
      <c r="D4762" s="42"/>
    </row>
    <row r="4763" spans="2:4" ht="16" thickBot="1" x14ac:dyDescent="0.25">
      <c r="B4763" s="5">
        <v>4758</v>
      </c>
      <c r="C4763" s="11">
        <v>670.36080765415261</v>
      </c>
      <c r="D4763" s="42"/>
    </row>
    <row r="4764" spans="2:4" ht="16" thickBot="1" x14ac:dyDescent="0.25">
      <c r="B4764" s="4">
        <v>4759</v>
      </c>
      <c r="C4764" s="10">
        <v>311.45553943808022</v>
      </c>
      <c r="D4764" s="42"/>
    </row>
    <row r="4765" spans="2:4" ht="16" thickBot="1" x14ac:dyDescent="0.25">
      <c r="B4765" s="5">
        <v>4760</v>
      </c>
      <c r="C4765" s="11">
        <v>56.754978194190556</v>
      </c>
      <c r="D4765" s="42"/>
    </row>
    <row r="4766" spans="2:4" ht="16" thickBot="1" x14ac:dyDescent="0.25">
      <c r="B4766" s="4">
        <v>4761</v>
      </c>
      <c r="C4766" s="10">
        <v>203.40040802833445</v>
      </c>
      <c r="D4766" s="42"/>
    </row>
    <row r="4767" spans="2:4" ht="16" thickBot="1" x14ac:dyDescent="0.25">
      <c r="B4767" s="5">
        <v>4762</v>
      </c>
      <c r="C4767" s="11">
        <v>180.28247839274064</v>
      </c>
      <c r="D4767" s="42"/>
    </row>
    <row r="4768" spans="2:4" ht="16" thickBot="1" x14ac:dyDescent="0.25">
      <c r="B4768" s="4">
        <v>4763</v>
      </c>
      <c r="C4768" s="10">
        <v>375.28820825351721</v>
      </c>
      <c r="D4768" s="42"/>
    </row>
    <row r="4769" spans="2:4" ht="16" thickBot="1" x14ac:dyDescent="0.25">
      <c r="B4769" s="5">
        <v>4764</v>
      </c>
      <c r="C4769" s="11">
        <v>221.15193202864234</v>
      </c>
      <c r="D4769" s="42"/>
    </row>
    <row r="4770" spans="2:4" ht="16" thickBot="1" x14ac:dyDescent="0.25">
      <c r="B4770" s="4">
        <v>4765</v>
      </c>
      <c r="C4770" s="10">
        <v>203.12954020326112</v>
      </c>
      <c r="D4770" s="42"/>
    </row>
    <row r="4771" spans="2:4" ht="16" thickBot="1" x14ac:dyDescent="0.25">
      <c r="B4771" s="5">
        <v>4766</v>
      </c>
      <c r="C4771" s="11">
        <v>200.00942556198555</v>
      </c>
      <c r="D4771" s="42"/>
    </row>
    <row r="4772" spans="2:4" ht="16" thickBot="1" x14ac:dyDescent="0.25">
      <c r="B4772" s="4">
        <v>4767</v>
      </c>
      <c r="C4772" s="10">
        <v>258.00903451460829</v>
      </c>
      <c r="D4772" s="42"/>
    </row>
    <row r="4773" spans="2:4" ht="16" thickBot="1" x14ac:dyDescent="0.25">
      <c r="B4773" s="5">
        <v>4768</v>
      </c>
      <c r="C4773" s="11">
        <v>101.25905409397454</v>
      </c>
      <c r="D4773" s="42"/>
    </row>
    <row r="4774" spans="2:4" ht="16" thickBot="1" x14ac:dyDescent="0.25">
      <c r="B4774" s="4">
        <v>4769</v>
      </c>
      <c r="C4774" s="10">
        <v>597.09551149920378</v>
      </c>
      <c r="D4774" s="42"/>
    </row>
    <row r="4775" spans="2:4" ht="16" thickBot="1" x14ac:dyDescent="0.25">
      <c r="B4775" s="5">
        <v>4770</v>
      </c>
      <c r="C4775" s="11">
        <v>454.24435333468699</v>
      </c>
      <c r="D4775" s="42"/>
    </row>
    <row r="4776" spans="2:4" ht="16" thickBot="1" x14ac:dyDescent="0.25">
      <c r="B4776" s="4">
        <v>4771</v>
      </c>
      <c r="C4776" s="10">
        <v>172.18123812902545</v>
      </c>
      <c r="D4776" s="42"/>
    </row>
    <row r="4777" spans="2:4" ht="16" thickBot="1" x14ac:dyDescent="0.25">
      <c r="B4777" s="5">
        <v>4772</v>
      </c>
      <c r="C4777" s="11">
        <v>109.98300768166666</v>
      </c>
      <c r="D4777" s="42"/>
    </row>
    <row r="4778" spans="2:4" ht="16" thickBot="1" x14ac:dyDescent="0.25">
      <c r="B4778" s="4">
        <v>4773</v>
      </c>
      <c r="C4778" s="10">
        <v>61.544604097875116</v>
      </c>
      <c r="D4778" s="42"/>
    </row>
    <row r="4779" spans="2:4" ht="16" thickBot="1" x14ac:dyDescent="0.25">
      <c r="B4779" s="5">
        <v>4774</v>
      </c>
      <c r="C4779" s="11">
        <v>325.60061609702484</v>
      </c>
      <c r="D4779" s="42"/>
    </row>
    <row r="4780" spans="2:4" ht="16" thickBot="1" x14ac:dyDescent="0.25">
      <c r="B4780" s="4">
        <v>4775</v>
      </c>
      <c r="C4780" s="10">
        <v>186.22194205412768</v>
      </c>
      <c r="D4780" s="42"/>
    </row>
    <row r="4781" spans="2:4" ht="16" thickBot="1" x14ac:dyDescent="0.25">
      <c r="B4781" s="5">
        <v>4776</v>
      </c>
      <c r="C4781" s="11">
        <v>435.74852691172856</v>
      </c>
      <c r="D4781" s="42"/>
    </row>
    <row r="4782" spans="2:4" ht="16" thickBot="1" x14ac:dyDescent="0.25">
      <c r="B4782" s="4">
        <v>4777</v>
      </c>
      <c r="C4782" s="10">
        <v>123.06199189703212</v>
      </c>
      <c r="D4782" s="42"/>
    </row>
    <row r="4783" spans="2:4" ht="16" thickBot="1" x14ac:dyDescent="0.25">
      <c r="B4783" s="5">
        <v>4778</v>
      </c>
      <c r="C4783" s="11">
        <v>406.77787372584459</v>
      </c>
      <c r="D4783" s="42"/>
    </row>
    <row r="4784" spans="2:4" ht="16" thickBot="1" x14ac:dyDescent="0.25">
      <c r="B4784" s="4">
        <v>4779</v>
      </c>
      <c r="C4784" s="10">
        <v>326.81608790969187</v>
      </c>
      <c r="D4784" s="42"/>
    </row>
    <row r="4785" spans="2:4" ht="16" thickBot="1" x14ac:dyDescent="0.25">
      <c r="B4785" s="5">
        <v>4780</v>
      </c>
      <c r="C4785" s="11">
        <v>72.715846065128147</v>
      </c>
      <c r="D4785" s="42"/>
    </row>
    <row r="4786" spans="2:4" ht="16" thickBot="1" x14ac:dyDescent="0.25">
      <c r="B4786" s="4">
        <v>4781</v>
      </c>
      <c r="C4786" s="10">
        <v>542.39304593962993</v>
      </c>
      <c r="D4786" s="42"/>
    </row>
    <row r="4787" spans="2:4" ht="16" thickBot="1" x14ac:dyDescent="0.25">
      <c r="B4787" s="5">
        <v>4782</v>
      </c>
      <c r="C4787" s="11">
        <v>175.39008547427582</v>
      </c>
      <c r="D4787" s="42"/>
    </row>
    <row r="4788" spans="2:4" ht="16" thickBot="1" x14ac:dyDescent="0.25">
      <c r="B4788" s="4">
        <v>4783</v>
      </c>
      <c r="C4788" s="10">
        <v>234.18888849756979</v>
      </c>
      <c r="D4788" s="42"/>
    </row>
    <row r="4789" spans="2:4" ht="16" thickBot="1" x14ac:dyDescent="0.25">
      <c r="B4789" s="5">
        <v>4784</v>
      </c>
      <c r="C4789" s="11">
        <v>476.94021159993167</v>
      </c>
      <c r="D4789" s="42"/>
    </row>
    <row r="4790" spans="2:4" ht="16" thickBot="1" x14ac:dyDescent="0.25">
      <c r="B4790" s="4">
        <v>4785</v>
      </c>
      <c r="C4790" s="10">
        <v>223.46185455334771</v>
      </c>
      <c r="D4790" s="42"/>
    </row>
    <row r="4791" spans="2:4" ht="16" thickBot="1" x14ac:dyDescent="0.25">
      <c r="B4791" s="5">
        <v>4786</v>
      </c>
      <c r="C4791" s="11">
        <v>267.80368485820708</v>
      </c>
      <c r="D4791" s="42"/>
    </row>
    <row r="4792" spans="2:4" ht="16" thickBot="1" x14ac:dyDescent="0.25">
      <c r="B4792" s="4">
        <v>4787</v>
      </c>
      <c r="C4792" s="10">
        <v>212.75535164267095</v>
      </c>
      <c r="D4792" s="42"/>
    </row>
    <row r="4793" spans="2:4" ht="16" thickBot="1" x14ac:dyDescent="0.25">
      <c r="B4793" s="5">
        <v>4788</v>
      </c>
      <c r="C4793" s="11">
        <v>349.5120929567052</v>
      </c>
      <c r="D4793" s="42"/>
    </row>
    <row r="4794" spans="2:4" ht="16" thickBot="1" x14ac:dyDescent="0.25">
      <c r="B4794" s="4">
        <v>4789</v>
      </c>
      <c r="C4794" s="10">
        <v>572.71532435789879</v>
      </c>
      <c r="D4794" s="42"/>
    </row>
    <row r="4795" spans="2:4" ht="16" thickBot="1" x14ac:dyDescent="0.25">
      <c r="B4795" s="5">
        <v>4790</v>
      </c>
      <c r="C4795" s="11">
        <v>191.38167566867438</v>
      </c>
      <c r="D4795" s="42"/>
    </row>
    <row r="4796" spans="2:4" ht="16" thickBot="1" x14ac:dyDescent="0.25">
      <c r="B4796" s="4">
        <v>4791</v>
      </c>
      <c r="C4796" s="10">
        <v>300.87890482252311</v>
      </c>
      <c r="D4796" s="42"/>
    </row>
    <row r="4797" spans="2:4" ht="16" thickBot="1" x14ac:dyDescent="0.25">
      <c r="B4797" s="5">
        <v>4792</v>
      </c>
      <c r="C4797" s="11">
        <v>143.46871470992647</v>
      </c>
      <c r="D4797" s="42"/>
    </row>
    <row r="4798" spans="2:4" ht="16" thickBot="1" x14ac:dyDescent="0.25">
      <c r="B4798" s="4">
        <v>4793</v>
      </c>
      <c r="C4798" s="10">
        <v>130.28331284113244</v>
      </c>
      <c r="D4798" s="42"/>
    </row>
    <row r="4799" spans="2:4" ht="16" thickBot="1" x14ac:dyDescent="0.25">
      <c r="B4799" s="5">
        <v>4794</v>
      </c>
      <c r="C4799" s="11">
        <v>96.396042940246573</v>
      </c>
      <c r="D4799" s="42"/>
    </row>
    <row r="4800" spans="2:4" ht="16" thickBot="1" x14ac:dyDescent="0.25">
      <c r="B4800" s="4">
        <v>4795</v>
      </c>
      <c r="C4800" s="10">
        <v>148.32037665872761</v>
      </c>
      <c r="D4800" s="42"/>
    </row>
    <row r="4801" spans="2:4" ht="16" thickBot="1" x14ac:dyDescent="0.25">
      <c r="B4801" s="5">
        <v>4796</v>
      </c>
      <c r="C4801" s="11">
        <v>334.37495804714558</v>
      </c>
      <c r="D4801" s="42"/>
    </row>
    <row r="4802" spans="2:4" ht="16" thickBot="1" x14ac:dyDescent="0.25">
      <c r="B4802" s="4">
        <v>4797</v>
      </c>
      <c r="C4802" s="10">
        <v>415.29845772542558</v>
      </c>
      <c r="D4802" s="42"/>
    </row>
    <row r="4803" spans="2:4" ht="16" thickBot="1" x14ac:dyDescent="0.25">
      <c r="B4803" s="5">
        <v>4798</v>
      </c>
      <c r="C4803" s="11">
        <v>322.72408747570046</v>
      </c>
      <c r="D4803" s="42"/>
    </row>
    <row r="4804" spans="2:4" ht="16" thickBot="1" x14ac:dyDescent="0.25">
      <c r="B4804" s="4">
        <v>4799</v>
      </c>
      <c r="C4804" s="10">
        <v>324.93415651966814</v>
      </c>
      <c r="D4804" s="42"/>
    </row>
    <row r="4805" spans="2:4" ht="16" thickBot="1" x14ac:dyDescent="0.25">
      <c r="B4805" s="5">
        <v>4800</v>
      </c>
      <c r="C4805" s="11">
        <v>198.28267250754834</v>
      </c>
      <c r="D4805" s="42"/>
    </row>
    <row r="4806" spans="2:4" ht="16" thickBot="1" x14ac:dyDescent="0.25">
      <c r="B4806" s="4">
        <v>4801</v>
      </c>
      <c r="C4806" s="10">
        <v>345.92386044057918</v>
      </c>
      <c r="D4806" s="42"/>
    </row>
    <row r="4807" spans="2:4" ht="16" thickBot="1" x14ac:dyDescent="0.25">
      <c r="B4807" s="5">
        <v>4802</v>
      </c>
      <c r="C4807" s="11">
        <v>137.2927692940718</v>
      </c>
      <c r="D4807" s="42"/>
    </row>
    <row r="4808" spans="2:4" ht="16" thickBot="1" x14ac:dyDescent="0.25">
      <c r="B4808" s="4">
        <v>4803</v>
      </c>
      <c r="C4808" s="10">
        <v>174.6730180096969</v>
      </c>
      <c r="D4808" s="42"/>
    </row>
    <row r="4809" spans="2:4" ht="16" thickBot="1" x14ac:dyDescent="0.25">
      <c r="B4809" s="5">
        <v>4804</v>
      </c>
      <c r="C4809" s="11">
        <v>359.23074540063681</v>
      </c>
      <c r="D4809" s="42"/>
    </row>
    <row r="4810" spans="2:4" ht="16" thickBot="1" x14ac:dyDescent="0.25">
      <c r="B4810" s="4">
        <v>4805</v>
      </c>
      <c r="C4810" s="10">
        <v>143.70109241287474</v>
      </c>
      <c r="D4810" s="42"/>
    </row>
    <row r="4811" spans="2:4" ht="16" thickBot="1" x14ac:dyDescent="0.25">
      <c r="B4811" s="5">
        <v>4806</v>
      </c>
      <c r="C4811" s="11">
        <v>6.1388042697388761</v>
      </c>
      <c r="D4811" s="42"/>
    </row>
    <row r="4812" spans="2:4" ht="16" thickBot="1" x14ac:dyDescent="0.25">
      <c r="B4812" s="4">
        <v>4807</v>
      </c>
      <c r="C4812" s="10">
        <v>154.88670212627429</v>
      </c>
      <c r="D4812" s="42"/>
    </row>
    <row r="4813" spans="2:4" ht="16" thickBot="1" x14ac:dyDescent="0.25">
      <c r="B4813" s="5">
        <v>4808</v>
      </c>
      <c r="C4813" s="11">
        <v>157.31610877583574</v>
      </c>
      <c r="D4813" s="42"/>
    </row>
    <row r="4814" spans="2:4" ht="16" thickBot="1" x14ac:dyDescent="0.25">
      <c r="B4814" s="4">
        <v>4809</v>
      </c>
      <c r="C4814" s="10">
        <v>236.63802568679924</v>
      </c>
      <c r="D4814" s="42"/>
    </row>
    <row r="4815" spans="2:4" ht="16" thickBot="1" x14ac:dyDescent="0.25">
      <c r="B4815" s="5">
        <v>4810</v>
      </c>
      <c r="C4815" s="11">
        <v>70.661966548003065</v>
      </c>
      <c r="D4815" s="42"/>
    </row>
    <row r="4816" spans="2:4" ht="16" thickBot="1" x14ac:dyDescent="0.25">
      <c r="B4816" s="4">
        <v>4811</v>
      </c>
      <c r="C4816" s="10">
        <v>286.82278128919393</v>
      </c>
      <c r="D4816" s="42"/>
    </row>
    <row r="4817" spans="2:4" ht="16" thickBot="1" x14ac:dyDescent="0.25">
      <c r="B4817" s="5">
        <v>4812</v>
      </c>
      <c r="C4817" s="11">
        <v>56.611588530406003</v>
      </c>
      <c r="D4817" s="42"/>
    </row>
    <row r="4818" spans="2:4" ht="16" thickBot="1" x14ac:dyDescent="0.25">
      <c r="B4818" s="4">
        <v>4813</v>
      </c>
      <c r="C4818" s="10">
        <v>542.3777087704957</v>
      </c>
      <c r="D4818" s="42"/>
    </row>
    <row r="4819" spans="2:4" ht="16" thickBot="1" x14ac:dyDescent="0.25">
      <c r="B4819" s="5">
        <v>4814</v>
      </c>
      <c r="C4819" s="11">
        <v>145.36289565901771</v>
      </c>
      <c r="D4819" s="42"/>
    </row>
    <row r="4820" spans="2:4" ht="16" thickBot="1" x14ac:dyDescent="0.25">
      <c r="B4820" s="4">
        <v>4815</v>
      </c>
      <c r="C4820" s="10">
        <v>347.15598429297131</v>
      </c>
      <c r="D4820" s="42"/>
    </row>
    <row r="4821" spans="2:4" ht="16" thickBot="1" x14ac:dyDescent="0.25">
      <c r="B4821" s="5">
        <v>4816</v>
      </c>
      <c r="C4821" s="11">
        <v>89.621432977062625</v>
      </c>
      <c r="D4821" s="42"/>
    </row>
    <row r="4822" spans="2:4" ht="16" thickBot="1" x14ac:dyDescent="0.25">
      <c r="B4822" s="4">
        <v>4817</v>
      </c>
      <c r="C4822" s="10">
        <v>400.46816986777583</v>
      </c>
      <c r="D4822" s="42"/>
    </row>
    <row r="4823" spans="2:4" ht="16" thickBot="1" x14ac:dyDescent="0.25">
      <c r="B4823" s="5">
        <v>4818</v>
      </c>
      <c r="C4823" s="11">
        <v>64.453523014649406</v>
      </c>
      <c r="D4823" s="42"/>
    </row>
    <row r="4824" spans="2:4" ht="16" thickBot="1" x14ac:dyDescent="0.25">
      <c r="B4824" s="4">
        <v>4819</v>
      </c>
      <c r="C4824" s="10">
        <v>164.44702247144949</v>
      </c>
      <c r="D4824" s="42"/>
    </row>
    <row r="4825" spans="2:4" ht="16" thickBot="1" x14ac:dyDescent="0.25">
      <c r="B4825" s="5">
        <v>4820</v>
      </c>
      <c r="C4825" s="11">
        <v>121.40882827800932</v>
      </c>
      <c r="D4825" s="42"/>
    </row>
    <row r="4826" spans="2:4" ht="16" thickBot="1" x14ac:dyDescent="0.25">
      <c r="B4826" s="4">
        <v>4821</v>
      </c>
      <c r="C4826" s="10">
        <v>47.109991968199978</v>
      </c>
      <c r="D4826" s="42"/>
    </row>
    <row r="4827" spans="2:4" ht="16" thickBot="1" x14ac:dyDescent="0.25">
      <c r="B4827" s="5">
        <v>4822</v>
      </c>
      <c r="C4827" s="11">
        <v>223.87115023390075</v>
      </c>
      <c r="D4827" s="42"/>
    </row>
    <row r="4828" spans="2:4" ht="16" thickBot="1" x14ac:dyDescent="0.25">
      <c r="B4828" s="4">
        <v>4823</v>
      </c>
      <c r="C4828" s="10">
        <v>283.46766988550678</v>
      </c>
      <c r="D4828" s="42"/>
    </row>
    <row r="4829" spans="2:4" ht="16" thickBot="1" x14ac:dyDescent="0.25">
      <c r="B4829" s="5">
        <v>4824</v>
      </c>
      <c r="C4829" s="11">
        <v>430.40660699896102</v>
      </c>
      <c r="D4829" s="42"/>
    </row>
    <row r="4830" spans="2:4" ht="16" thickBot="1" x14ac:dyDescent="0.25">
      <c r="B4830" s="4">
        <v>4825</v>
      </c>
      <c r="C4830" s="10">
        <v>82.201316707602714</v>
      </c>
      <c r="D4830" s="42"/>
    </row>
    <row r="4831" spans="2:4" ht="16" thickBot="1" x14ac:dyDescent="0.25">
      <c r="B4831" s="5">
        <v>4826</v>
      </c>
      <c r="C4831" s="11">
        <v>416.51048809532028</v>
      </c>
      <c r="D4831" s="42"/>
    </row>
    <row r="4832" spans="2:4" ht="16" thickBot="1" x14ac:dyDescent="0.25">
      <c r="B4832" s="4">
        <v>4827</v>
      </c>
      <c r="C4832" s="10">
        <v>467.27944124018143</v>
      </c>
      <c r="D4832" s="42"/>
    </row>
    <row r="4833" spans="2:4" ht="16" thickBot="1" x14ac:dyDescent="0.25">
      <c r="B4833" s="5">
        <v>4828</v>
      </c>
      <c r="C4833" s="11">
        <v>438.26095051858516</v>
      </c>
      <c r="D4833" s="42"/>
    </row>
    <row r="4834" spans="2:4" ht="16" thickBot="1" x14ac:dyDescent="0.25">
      <c r="B4834" s="4">
        <v>4829</v>
      </c>
      <c r="C4834" s="10">
        <v>481.74688526846398</v>
      </c>
      <c r="D4834" s="42"/>
    </row>
    <row r="4835" spans="2:4" ht="16" thickBot="1" x14ac:dyDescent="0.25">
      <c r="B4835" s="5">
        <v>4830</v>
      </c>
      <c r="C4835" s="11">
        <v>227.61337375390914</v>
      </c>
      <c r="D4835" s="42"/>
    </row>
    <row r="4836" spans="2:4" ht="16" thickBot="1" x14ac:dyDescent="0.25">
      <c r="B4836" s="4">
        <v>4831</v>
      </c>
      <c r="C4836" s="10">
        <v>86.001405368391772</v>
      </c>
      <c r="D4836" s="42"/>
    </row>
    <row r="4837" spans="2:4" ht="16" thickBot="1" x14ac:dyDescent="0.25">
      <c r="B4837" s="5">
        <v>4832</v>
      </c>
      <c r="C4837" s="11">
        <v>132.7432478717914</v>
      </c>
      <c r="D4837" s="42"/>
    </row>
    <row r="4838" spans="2:4" ht="16" thickBot="1" x14ac:dyDescent="0.25">
      <c r="B4838" s="4">
        <v>4833</v>
      </c>
      <c r="C4838" s="10">
        <v>89.054929357805335</v>
      </c>
      <c r="D4838" s="42"/>
    </row>
    <row r="4839" spans="2:4" ht="16" thickBot="1" x14ac:dyDescent="0.25">
      <c r="B4839" s="5">
        <v>4834</v>
      </c>
      <c r="C4839" s="11">
        <v>338.18471498632425</v>
      </c>
      <c r="D4839" s="42"/>
    </row>
    <row r="4840" spans="2:4" ht="16" thickBot="1" x14ac:dyDescent="0.25">
      <c r="B4840" s="4">
        <v>4835</v>
      </c>
      <c r="C4840" s="10">
        <v>139.8228014343652</v>
      </c>
      <c r="D4840" s="42"/>
    </row>
    <row r="4841" spans="2:4" ht="16" thickBot="1" x14ac:dyDescent="0.25">
      <c r="B4841" s="5">
        <v>4836</v>
      </c>
      <c r="C4841" s="11">
        <v>215.02812961935913</v>
      </c>
      <c r="D4841" s="42"/>
    </row>
    <row r="4842" spans="2:4" ht="16" thickBot="1" x14ac:dyDescent="0.25">
      <c r="B4842" s="4">
        <v>4837</v>
      </c>
      <c r="C4842" s="10">
        <v>314.31663619047248</v>
      </c>
      <c r="D4842" s="42"/>
    </row>
    <row r="4843" spans="2:4" ht="16" thickBot="1" x14ac:dyDescent="0.25">
      <c r="B4843" s="5">
        <v>4838</v>
      </c>
      <c r="C4843" s="11">
        <v>407.50082980245099</v>
      </c>
      <c r="D4843" s="42"/>
    </row>
    <row r="4844" spans="2:4" ht="16" thickBot="1" x14ac:dyDescent="0.25">
      <c r="B4844" s="4">
        <v>4839</v>
      </c>
      <c r="C4844" s="10">
        <v>102.69059918766411</v>
      </c>
      <c r="D4844" s="42"/>
    </row>
    <row r="4845" spans="2:4" ht="16" thickBot="1" x14ac:dyDescent="0.25">
      <c r="B4845" s="5">
        <v>4840</v>
      </c>
      <c r="C4845" s="11">
        <v>462.21657856842086</v>
      </c>
      <c r="D4845" s="42"/>
    </row>
    <row r="4846" spans="2:4" ht="16" thickBot="1" x14ac:dyDescent="0.25">
      <c r="B4846" s="4">
        <v>4841</v>
      </c>
      <c r="C4846" s="10">
        <v>394.02383115013845</v>
      </c>
      <c r="D4846" s="42"/>
    </row>
    <row r="4847" spans="2:4" ht="16" thickBot="1" x14ac:dyDescent="0.25">
      <c r="B4847" s="5">
        <v>4842</v>
      </c>
      <c r="C4847" s="11">
        <v>660.6227361723785</v>
      </c>
      <c r="D4847" s="42"/>
    </row>
    <row r="4848" spans="2:4" ht="16" thickBot="1" x14ac:dyDescent="0.25">
      <c r="B4848" s="4">
        <v>4843</v>
      </c>
      <c r="C4848" s="10">
        <v>177.13920681216828</v>
      </c>
      <c r="D4848" s="42"/>
    </row>
    <row r="4849" spans="2:4" ht="16" thickBot="1" x14ac:dyDescent="0.25">
      <c r="B4849" s="5">
        <v>4844</v>
      </c>
      <c r="C4849" s="11">
        <v>36.030376919070591</v>
      </c>
      <c r="D4849" s="42"/>
    </row>
    <row r="4850" spans="2:4" ht="16" thickBot="1" x14ac:dyDescent="0.25">
      <c r="B4850" s="4">
        <v>4845</v>
      </c>
      <c r="C4850" s="10">
        <v>338.04166755447767</v>
      </c>
      <c r="D4850" s="42"/>
    </row>
    <row r="4851" spans="2:4" ht="16" thickBot="1" x14ac:dyDescent="0.25">
      <c r="B4851" s="5">
        <v>4846</v>
      </c>
      <c r="C4851" s="11">
        <v>348.12119312091323</v>
      </c>
      <c r="D4851" s="42"/>
    </row>
    <row r="4852" spans="2:4" ht="16" thickBot="1" x14ac:dyDescent="0.25">
      <c r="B4852" s="4">
        <v>4847</v>
      </c>
      <c r="C4852" s="10">
        <v>250.0185016430008</v>
      </c>
      <c r="D4852" s="42"/>
    </row>
    <row r="4853" spans="2:4" ht="16" thickBot="1" x14ac:dyDescent="0.25">
      <c r="B4853" s="5">
        <v>4848</v>
      </c>
      <c r="C4853" s="11">
        <v>167.27413461415756</v>
      </c>
      <c r="D4853" s="42"/>
    </row>
    <row r="4854" spans="2:4" ht="16" thickBot="1" x14ac:dyDescent="0.25">
      <c r="B4854" s="4">
        <v>4849</v>
      </c>
      <c r="C4854" s="10">
        <v>430.7664594281116</v>
      </c>
      <c r="D4854" s="42"/>
    </row>
    <row r="4855" spans="2:4" ht="16" thickBot="1" x14ac:dyDescent="0.25">
      <c r="B4855" s="5">
        <v>4850</v>
      </c>
      <c r="C4855" s="11">
        <v>302.65497722188769</v>
      </c>
      <c r="D4855" s="42"/>
    </row>
    <row r="4856" spans="2:4" ht="16" thickBot="1" x14ac:dyDescent="0.25">
      <c r="B4856" s="4">
        <v>4851</v>
      </c>
      <c r="C4856" s="10">
        <v>925.1470611998227</v>
      </c>
      <c r="D4856" s="42"/>
    </row>
    <row r="4857" spans="2:4" ht="16" thickBot="1" x14ac:dyDescent="0.25">
      <c r="B4857" s="5">
        <v>4852</v>
      </c>
      <c r="C4857" s="11">
        <v>250.82880675743871</v>
      </c>
      <c r="D4857" s="42"/>
    </row>
    <row r="4858" spans="2:4" ht="16" thickBot="1" x14ac:dyDescent="0.25">
      <c r="B4858" s="4">
        <v>4853</v>
      </c>
      <c r="C4858" s="10">
        <v>288.18263697936953</v>
      </c>
      <c r="D4858" s="42"/>
    </row>
    <row r="4859" spans="2:4" ht="16" thickBot="1" x14ac:dyDescent="0.25">
      <c r="B4859" s="5">
        <v>4854</v>
      </c>
      <c r="C4859" s="11">
        <v>653.60791921187399</v>
      </c>
      <c r="D4859" s="42"/>
    </row>
    <row r="4860" spans="2:4" ht="16" thickBot="1" x14ac:dyDescent="0.25">
      <c r="B4860" s="4">
        <v>4855</v>
      </c>
      <c r="C4860" s="10">
        <v>195.59695279808062</v>
      </c>
      <c r="D4860" s="42"/>
    </row>
    <row r="4861" spans="2:4" ht="16" thickBot="1" x14ac:dyDescent="0.25">
      <c r="B4861" s="5">
        <v>4856</v>
      </c>
      <c r="C4861" s="11">
        <v>211.73987516458953</v>
      </c>
      <c r="D4861" s="42"/>
    </row>
    <row r="4862" spans="2:4" ht="16" thickBot="1" x14ac:dyDescent="0.25">
      <c r="B4862" s="4">
        <v>4857</v>
      </c>
      <c r="C4862" s="10">
        <v>299.21578170495474</v>
      </c>
      <c r="D4862" s="42"/>
    </row>
    <row r="4863" spans="2:4" ht="16" thickBot="1" x14ac:dyDescent="0.25">
      <c r="B4863" s="5">
        <v>4858</v>
      </c>
      <c r="C4863" s="11">
        <v>320.0010696829662</v>
      </c>
      <c r="D4863" s="42"/>
    </row>
    <row r="4864" spans="2:4" ht="16" thickBot="1" x14ac:dyDescent="0.25">
      <c r="B4864" s="4">
        <v>4859</v>
      </c>
      <c r="C4864" s="10">
        <v>97.711200853087263</v>
      </c>
      <c r="D4864" s="42"/>
    </row>
    <row r="4865" spans="2:4" ht="16" thickBot="1" x14ac:dyDescent="0.25">
      <c r="B4865" s="5">
        <v>4860</v>
      </c>
      <c r="C4865" s="11">
        <v>174.38692170680653</v>
      </c>
      <c r="D4865" s="42"/>
    </row>
    <row r="4866" spans="2:4" ht="16" thickBot="1" x14ac:dyDescent="0.25">
      <c r="B4866" s="4">
        <v>4861</v>
      </c>
      <c r="C4866" s="10">
        <v>135.71190464223164</v>
      </c>
      <c r="D4866" s="42"/>
    </row>
    <row r="4867" spans="2:4" ht="16" thickBot="1" x14ac:dyDescent="0.25">
      <c r="B4867" s="5">
        <v>4862</v>
      </c>
      <c r="C4867" s="11">
        <v>410.74661108001516</v>
      </c>
      <c r="D4867" s="42"/>
    </row>
    <row r="4868" spans="2:4" ht="16" thickBot="1" x14ac:dyDescent="0.25">
      <c r="B4868" s="4">
        <v>4863</v>
      </c>
      <c r="C4868" s="10">
        <v>273.07713334232113</v>
      </c>
      <c r="D4868" s="42"/>
    </row>
    <row r="4869" spans="2:4" ht="16" thickBot="1" x14ac:dyDescent="0.25">
      <c r="B4869" s="5">
        <v>4864</v>
      </c>
      <c r="C4869" s="11">
        <v>282.42160598036298</v>
      </c>
      <c r="D4869" s="42"/>
    </row>
    <row r="4870" spans="2:4" ht="16" thickBot="1" x14ac:dyDescent="0.25">
      <c r="B4870" s="4">
        <v>4865</v>
      </c>
      <c r="C4870" s="10">
        <v>33.759830870853861</v>
      </c>
      <c r="D4870" s="42"/>
    </row>
    <row r="4871" spans="2:4" ht="16" thickBot="1" x14ac:dyDescent="0.25">
      <c r="B4871" s="5">
        <v>4866</v>
      </c>
      <c r="C4871" s="11">
        <v>240.90628872357681</v>
      </c>
      <c r="D4871" s="42"/>
    </row>
    <row r="4872" spans="2:4" ht="16" thickBot="1" x14ac:dyDescent="0.25">
      <c r="B4872" s="4">
        <v>4867</v>
      </c>
      <c r="C4872" s="10">
        <v>359.90651996047711</v>
      </c>
      <c r="D4872" s="42"/>
    </row>
    <row r="4873" spans="2:4" ht="16" thickBot="1" x14ac:dyDescent="0.25">
      <c r="B4873" s="5">
        <v>4868</v>
      </c>
      <c r="C4873" s="11">
        <v>255.80928036466921</v>
      </c>
      <c r="D4873" s="42"/>
    </row>
    <row r="4874" spans="2:4" ht="16" thickBot="1" x14ac:dyDescent="0.25">
      <c r="B4874" s="4">
        <v>4869</v>
      </c>
      <c r="C4874" s="10">
        <v>518.7294038826011</v>
      </c>
      <c r="D4874" s="42"/>
    </row>
    <row r="4875" spans="2:4" ht="16" thickBot="1" x14ac:dyDescent="0.25">
      <c r="B4875" s="5">
        <v>4870</v>
      </c>
      <c r="C4875" s="11">
        <v>178.02418204837304</v>
      </c>
      <c r="D4875" s="42"/>
    </row>
    <row r="4876" spans="2:4" ht="16" thickBot="1" x14ac:dyDescent="0.25">
      <c r="B4876" s="4">
        <v>4871</v>
      </c>
      <c r="C4876" s="10">
        <v>357.68735712645832</v>
      </c>
      <c r="D4876" s="42"/>
    </row>
    <row r="4877" spans="2:4" ht="16" thickBot="1" x14ac:dyDescent="0.25">
      <c r="B4877" s="5">
        <v>4872</v>
      </c>
      <c r="C4877" s="11">
        <v>123.77852307581847</v>
      </c>
      <c r="D4877" s="42"/>
    </row>
    <row r="4878" spans="2:4" ht="16" thickBot="1" x14ac:dyDescent="0.25">
      <c r="B4878" s="4">
        <v>4873</v>
      </c>
      <c r="C4878" s="10">
        <v>138.74864764543332</v>
      </c>
      <c r="D4878" s="42"/>
    </row>
    <row r="4879" spans="2:4" ht="16" thickBot="1" x14ac:dyDescent="0.25">
      <c r="B4879" s="5">
        <v>4874</v>
      </c>
      <c r="C4879" s="11">
        <v>266.12588237524363</v>
      </c>
      <c r="D4879" s="42"/>
    </row>
    <row r="4880" spans="2:4" ht="16" thickBot="1" x14ac:dyDescent="0.25">
      <c r="B4880" s="4">
        <v>4875</v>
      </c>
      <c r="C4880" s="10">
        <v>81.431371909582282</v>
      </c>
      <c r="D4880" s="42"/>
    </row>
    <row r="4881" spans="2:4" ht="16" thickBot="1" x14ac:dyDescent="0.25">
      <c r="B4881" s="5">
        <v>4876</v>
      </c>
      <c r="C4881" s="11">
        <v>515.55980107721689</v>
      </c>
      <c r="D4881" s="42"/>
    </row>
    <row r="4882" spans="2:4" ht="16" thickBot="1" x14ac:dyDescent="0.25">
      <c r="B4882" s="4">
        <v>4877</v>
      </c>
      <c r="C4882" s="10">
        <v>215.06518600266486</v>
      </c>
      <c r="D4882" s="42"/>
    </row>
    <row r="4883" spans="2:4" ht="16" thickBot="1" x14ac:dyDescent="0.25">
      <c r="B4883" s="5">
        <v>4878</v>
      </c>
      <c r="C4883" s="11">
        <v>433.69729642908317</v>
      </c>
      <c r="D4883" s="42"/>
    </row>
    <row r="4884" spans="2:4" ht="16" thickBot="1" x14ac:dyDescent="0.25">
      <c r="B4884" s="4">
        <v>4879</v>
      </c>
      <c r="C4884" s="10">
        <v>150.48458586618727</v>
      </c>
      <c r="D4884" s="42"/>
    </row>
    <row r="4885" spans="2:4" ht="16" thickBot="1" x14ac:dyDescent="0.25">
      <c r="B4885" s="5">
        <v>4880</v>
      </c>
      <c r="C4885" s="11">
        <v>289.18602147779524</v>
      </c>
      <c r="D4885" s="42"/>
    </row>
    <row r="4886" spans="2:4" ht="16" thickBot="1" x14ac:dyDescent="0.25">
      <c r="B4886" s="4">
        <v>4881</v>
      </c>
      <c r="C4886" s="10">
        <v>157.55989288068034</v>
      </c>
      <c r="D4886" s="42"/>
    </row>
    <row r="4887" spans="2:4" ht="16" thickBot="1" x14ac:dyDescent="0.25">
      <c r="B4887" s="5">
        <v>4882</v>
      </c>
      <c r="C4887" s="11">
        <v>346.27191591806888</v>
      </c>
      <c r="D4887" s="42"/>
    </row>
    <row r="4888" spans="2:4" ht="16" thickBot="1" x14ac:dyDescent="0.25">
      <c r="B4888" s="4">
        <v>4883</v>
      </c>
      <c r="C4888" s="10">
        <v>365.1116677704095</v>
      </c>
      <c r="D4888" s="42"/>
    </row>
    <row r="4889" spans="2:4" ht="16" thickBot="1" x14ac:dyDescent="0.25">
      <c r="B4889" s="5">
        <v>4884</v>
      </c>
      <c r="C4889" s="11">
        <v>462.46274909921738</v>
      </c>
      <c r="D4889" s="42"/>
    </row>
    <row r="4890" spans="2:4" ht="16" thickBot="1" x14ac:dyDescent="0.25">
      <c r="B4890" s="4">
        <v>4885</v>
      </c>
      <c r="C4890" s="10">
        <v>131.52317179266129</v>
      </c>
      <c r="D4890" s="42"/>
    </row>
    <row r="4891" spans="2:4" ht="16" thickBot="1" x14ac:dyDescent="0.25">
      <c r="B4891" s="5">
        <v>4886</v>
      </c>
      <c r="C4891" s="11">
        <v>178.03892073761568</v>
      </c>
      <c r="D4891" s="42"/>
    </row>
    <row r="4892" spans="2:4" ht="16" thickBot="1" x14ac:dyDescent="0.25">
      <c r="B4892" s="4">
        <v>4887</v>
      </c>
      <c r="C4892" s="10">
        <v>517.24611754451826</v>
      </c>
      <c r="D4892" s="42"/>
    </row>
    <row r="4893" spans="2:4" ht="16" thickBot="1" x14ac:dyDescent="0.25">
      <c r="B4893" s="5">
        <v>4888</v>
      </c>
      <c r="C4893" s="11">
        <v>225.28315563862094</v>
      </c>
      <c r="D4893" s="42"/>
    </row>
    <row r="4894" spans="2:4" ht="16" thickBot="1" x14ac:dyDescent="0.25">
      <c r="B4894" s="4">
        <v>4889</v>
      </c>
      <c r="C4894" s="10">
        <v>254.08158633702652</v>
      </c>
      <c r="D4894" s="42"/>
    </row>
    <row r="4895" spans="2:4" ht="16" thickBot="1" x14ac:dyDescent="0.25">
      <c r="B4895" s="5">
        <v>4890</v>
      </c>
      <c r="C4895" s="11">
        <v>288.50335303174887</v>
      </c>
      <c r="D4895" s="42"/>
    </row>
    <row r="4896" spans="2:4" ht="16" thickBot="1" x14ac:dyDescent="0.25">
      <c r="B4896" s="4">
        <v>4891</v>
      </c>
      <c r="C4896" s="10">
        <v>605.28893848671305</v>
      </c>
      <c r="D4896" s="42"/>
    </row>
    <row r="4897" spans="2:4" ht="16" thickBot="1" x14ac:dyDescent="0.25">
      <c r="B4897" s="5">
        <v>4892</v>
      </c>
      <c r="C4897" s="11">
        <v>57.976604365315239</v>
      </c>
      <c r="D4897" s="42"/>
    </row>
    <row r="4898" spans="2:4" ht="16" thickBot="1" x14ac:dyDescent="0.25">
      <c r="B4898" s="4">
        <v>4893</v>
      </c>
      <c r="C4898" s="10">
        <v>41.459198842248668</v>
      </c>
      <c r="D4898" s="42"/>
    </row>
    <row r="4899" spans="2:4" ht="16" thickBot="1" x14ac:dyDescent="0.25">
      <c r="B4899" s="5">
        <v>4894</v>
      </c>
      <c r="C4899" s="11">
        <v>227.58782491325724</v>
      </c>
      <c r="D4899" s="42"/>
    </row>
    <row r="4900" spans="2:4" ht="16" thickBot="1" x14ac:dyDescent="0.25">
      <c r="B4900" s="4">
        <v>4895</v>
      </c>
      <c r="C4900" s="10">
        <v>243.41862610991507</v>
      </c>
      <c r="D4900" s="42"/>
    </row>
    <row r="4901" spans="2:4" ht="16" thickBot="1" x14ac:dyDescent="0.25">
      <c r="B4901" s="5">
        <v>4896</v>
      </c>
      <c r="C4901" s="11">
        <v>129.37795597895709</v>
      </c>
      <c r="D4901" s="42"/>
    </row>
    <row r="4902" spans="2:4" ht="16" thickBot="1" x14ac:dyDescent="0.25">
      <c r="B4902" s="4">
        <v>4897</v>
      </c>
      <c r="C4902" s="10">
        <v>389.74634493892995</v>
      </c>
      <c r="D4902" s="42"/>
    </row>
    <row r="4903" spans="2:4" ht="16" thickBot="1" x14ac:dyDescent="0.25">
      <c r="B4903" s="5">
        <v>4898</v>
      </c>
      <c r="C4903" s="11">
        <v>168.03219617086444</v>
      </c>
      <c r="D4903" s="42"/>
    </row>
    <row r="4904" spans="2:4" ht="16" thickBot="1" x14ac:dyDescent="0.25">
      <c r="B4904" s="4">
        <v>4899</v>
      </c>
      <c r="C4904" s="10">
        <v>168.51582126179238</v>
      </c>
      <c r="D4904" s="42"/>
    </row>
    <row r="4905" spans="2:4" ht="16" thickBot="1" x14ac:dyDescent="0.25">
      <c r="B4905" s="5">
        <v>4900</v>
      </c>
      <c r="C4905" s="11">
        <v>208.35454979872668</v>
      </c>
      <c r="D4905" s="42"/>
    </row>
    <row r="4906" spans="2:4" ht="16" thickBot="1" x14ac:dyDescent="0.25">
      <c r="B4906" s="4">
        <v>4901</v>
      </c>
      <c r="C4906" s="10">
        <v>304.80253254292347</v>
      </c>
      <c r="D4906" s="42"/>
    </row>
    <row r="4907" spans="2:4" ht="16" thickBot="1" x14ac:dyDescent="0.25">
      <c r="B4907" s="5">
        <v>4902</v>
      </c>
      <c r="C4907" s="11">
        <v>299.93336627790683</v>
      </c>
      <c r="D4907" s="42"/>
    </row>
    <row r="4908" spans="2:4" ht="16" thickBot="1" x14ac:dyDescent="0.25">
      <c r="B4908" s="4">
        <v>4903</v>
      </c>
      <c r="C4908" s="10">
        <v>271.348395173325</v>
      </c>
      <c r="D4908" s="42"/>
    </row>
    <row r="4909" spans="2:4" ht="16" thickBot="1" x14ac:dyDescent="0.25">
      <c r="B4909" s="5">
        <v>4904</v>
      </c>
      <c r="C4909" s="11">
        <v>336.45979996974756</v>
      </c>
      <c r="D4909" s="42"/>
    </row>
    <row r="4910" spans="2:4" ht="16" thickBot="1" x14ac:dyDescent="0.25">
      <c r="B4910" s="4">
        <v>4905</v>
      </c>
      <c r="C4910" s="10">
        <v>561.52957415494711</v>
      </c>
      <c r="D4910" s="42"/>
    </row>
    <row r="4911" spans="2:4" ht="16" thickBot="1" x14ac:dyDescent="0.25">
      <c r="B4911" s="5">
        <v>4906</v>
      </c>
      <c r="C4911" s="11">
        <v>366.87224824416069</v>
      </c>
      <c r="D4911" s="42"/>
    </row>
    <row r="4912" spans="2:4" ht="16" thickBot="1" x14ac:dyDescent="0.25">
      <c r="B4912" s="4">
        <v>4907</v>
      </c>
      <c r="C4912" s="10">
        <v>109.13102678430441</v>
      </c>
      <c r="D4912" s="42"/>
    </row>
    <row r="4913" spans="2:4" ht="16" thickBot="1" x14ac:dyDescent="0.25">
      <c r="B4913" s="5">
        <v>4908</v>
      </c>
      <c r="C4913" s="11">
        <v>445.6108330914517</v>
      </c>
      <c r="D4913" s="42"/>
    </row>
    <row r="4914" spans="2:4" ht="16" thickBot="1" x14ac:dyDescent="0.25">
      <c r="B4914" s="4">
        <v>4909</v>
      </c>
      <c r="C4914" s="10">
        <v>85.38498347067376</v>
      </c>
      <c r="D4914" s="42"/>
    </row>
    <row r="4915" spans="2:4" ht="16" thickBot="1" x14ac:dyDescent="0.25">
      <c r="B4915" s="5">
        <v>4910</v>
      </c>
      <c r="C4915" s="11">
        <v>199.2450666105</v>
      </c>
      <c r="D4915" s="42"/>
    </row>
    <row r="4916" spans="2:4" ht="16" thickBot="1" x14ac:dyDescent="0.25">
      <c r="B4916" s="4">
        <v>4911</v>
      </c>
      <c r="C4916" s="10">
        <v>518.15391287051511</v>
      </c>
      <c r="D4916" s="42"/>
    </row>
    <row r="4917" spans="2:4" ht="16" thickBot="1" x14ac:dyDescent="0.25">
      <c r="B4917" s="5">
        <v>4912</v>
      </c>
      <c r="C4917" s="11">
        <v>128.33415029126587</v>
      </c>
      <c r="D4917" s="42"/>
    </row>
    <row r="4918" spans="2:4" ht="16" thickBot="1" x14ac:dyDescent="0.25">
      <c r="B4918" s="4">
        <v>4913</v>
      </c>
      <c r="C4918" s="10">
        <v>827.12053029809942</v>
      </c>
      <c r="D4918" s="42"/>
    </row>
    <row r="4919" spans="2:4" ht="16" thickBot="1" x14ac:dyDescent="0.25">
      <c r="B4919" s="5">
        <v>4914</v>
      </c>
      <c r="C4919" s="11">
        <v>70.216891840665511</v>
      </c>
      <c r="D4919" s="42"/>
    </row>
    <row r="4920" spans="2:4" ht="16" thickBot="1" x14ac:dyDescent="0.25">
      <c r="B4920" s="4">
        <v>4915</v>
      </c>
      <c r="C4920" s="10">
        <v>185.02672878747276</v>
      </c>
      <c r="D4920" s="42"/>
    </row>
    <row r="4921" spans="2:4" ht="16" thickBot="1" x14ac:dyDescent="0.25">
      <c r="B4921" s="5">
        <v>4916</v>
      </c>
      <c r="C4921" s="11">
        <v>676.5338332589364</v>
      </c>
      <c r="D4921" s="42"/>
    </row>
    <row r="4922" spans="2:4" ht="16" thickBot="1" x14ac:dyDescent="0.25">
      <c r="B4922" s="4">
        <v>4917</v>
      </c>
      <c r="C4922" s="10">
        <v>407.75625765205194</v>
      </c>
      <c r="D4922" s="42"/>
    </row>
    <row r="4923" spans="2:4" ht="16" thickBot="1" x14ac:dyDescent="0.25">
      <c r="B4923" s="5">
        <v>4918</v>
      </c>
      <c r="C4923" s="11">
        <v>85.526406516684773</v>
      </c>
      <c r="D4923" s="42"/>
    </row>
    <row r="4924" spans="2:4" ht="16" thickBot="1" x14ac:dyDescent="0.25">
      <c r="B4924" s="4">
        <v>4919</v>
      </c>
      <c r="C4924" s="10">
        <v>302.57069344979999</v>
      </c>
      <c r="D4924" s="42"/>
    </row>
    <row r="4925" spans="2:4" ht="16" thickBot="1" x14ac:dyDescent="0.25">
      <c r="B4925" s="5">
        <v>4920</v>
      </c>
      <c r="C4925" s="11">
        <v>557.00004247778168</v>
      </c>
      <c r="D4925" s="42"/>
    </row>
    <row r="4926" spans="2:4" ht="16" thickBot="1" x14ac:dyDescent="0.25">
      <c r="B4926" s="4">
        <v>4921</v>
      </c>
      <c r="C4926" s="10">
        <v>74.276841376306038</v>
      </c>
      <c r="D4926" s="42"/>
    </row>
    <row r="4927" spans="2:4" ht="16" thickBot="1" x14ac:dyDescent="0.25">
      <c r="B4927" s="5">
        <v>4922</v>
      </c>
      <c r="C4927" s="11">
        <v>192.03092530004139</v>
      </c>
      <c r="D4927" s="42"/>
    </row>
    <row r="4928" spans="2:4" ht="16" thickBot="1" x14ac:dyDescent="0.25">
      <c r="B4928" s="4">
        <v>4923</v>
      </c>
      <c r="C4928" s="10">
        <v>48.558937501800052</v>
      </c>
      <c r="D4928" s="42"/>
    </row>
    <row r="4929" spans="2:4" ht="16" thickBot="1" x14ac:dyDescent="0.25">
      <c r="B4929" s="5">
        <v>4924</v>
      </c>
      <c r="C4929" s="11">
        <v>263.21762402081208</v>
      </c>
      <c r="D4929" s="42"/>
    </row>
    <row r="4930" spans="2:4" ht="16" thickBot="1" x14ac:dyDescent="0.25">
      <c r="B4930" s="4">
        <v>4925</v>
      </c>
      <c r="C4930" s="10">
        <v>502.55473295516458</v>
      </c>
      <c r="D4930" s="42"/>
    </row>
    <row r="4931" spans="2:4" ht="16" thickBot="1" x14ac:dyDescent="0.25">
      <c r="B4931" s="5">
        <v>4926</v>
      </c>
      <c r="C4931" s="11">
        <v>266.9929734087292</v>
      </c>
      <c r="D4931" s="42"/>
    </row>
    <row r="4932" spans="2:4" ht="16" thickBot="1" x14ac:dyDescent="0.25">
      <c r="B4932" s="4">
        <v>4927</v>
      </c>
      <c r="C4932" s="10">
        <v>160.63872264527964</v>
      </c>
      <c r="D4932" s="42"/>
    </row>
    <row r="4933" spans="2:4" ht="16" thickBot="1" x14ac:dyDescent="0.25">
      <c r="B4933" s="5">
        <v>4928</v>
      </c>
      <c r="C4933" s="11">
        <v>433.17382022915058</v>
      </c>
      <c r="D4933" s="42"/>
    </row>
    <row r="4934" spans="2:4" ht="16" thickBot="1" x14ac:dyDescent="0.25">
      <c r="B4934" s="4">
        <v>4929</v>
      </c>
      <c r="C4934" s="10">
        <v>328.01421102897228</v>
      </c>
      <c r="D4934" s="42"/>
    </row>
    <row r="4935" spans="2:4" ht="16" thickBot="1" x14ac:dyDescent="0.25">
      <c r="B4935" s="5">
        <v>4930</v>
      </c>
      <c r="C4935" s="11">
        <v>339.59350672573311</v>
      </c>
      <c r="D4935" s="42"/>
    </row>
    <row r="4936" spans="2:4" ht="16" thickBot="1" x14ac:dyDescent="0.25">
      <c r="B4936" s="4">
        <v>4931</v>
      </c>
      <c r="C4936" s="10">
        <v>232.80451854744848</v>
      </c>
      <c r="D4936" s="42"/>
    </row>
    <row r="4937" spans="2:4" ht="16" thickBot="1" x14ac:dyDescent="0.25">
      <c r="B4937" s="5">
        <v>4932</v>
      </c>
      <c r="C4937" s="11">
        <v>313.15930051549071</v>
      </c>
      <c r="D4937" s="42"/>
    </row>
    <row r="4938" spans="2:4" ht="16" thickBot="1" x14ac:dyDescent="0.25">
      <c r="B4938" s="4">
        <v>4933</v>
      </c>
      <c r="C4938" s="10">
        <v>478.88980360053654</v>
      </c>
      <c r="D4938" s="42"/>
    </row>
    <row r="4939" spans="2:4" ht="16" thickBot="1" x14ac:dyDescent="0.25">
      <c r="B4939" s="5">
        <v>4934</v>
      </c>
      <c r="C4939" s="11">
        <v>479.69402137873828</v>
      </c>
      <c r="D4939" s="42"/>
    </row>
    <row r="4940" spans="2:4" ht="16" thickBot="1" x14ac:dyDescent="0.25">
      <c r="B4940" s="4">
        <v>4935</v>
      </c>
      <c r="C4940" s="10">
        <v>176.86850893721379</v>
      </c>
      <c r="D4940" s="42"/>
    </row>
    <row r="4941" spans="2:4" ht="16" thickBot="1" x14ac:dyDescent="0.25">
      <c r="B4941" s="5">
        <v>4936</v>
      </c>
      <c r="C4941" s="11">
        <v>227.60475454019721</v>
      </c>
      <c r="D4941" s="42"/>
    </row>
    <row r="4942" spans="2:4" ht="16" thickBot="1" x14ac:dyDescent="0.25">
      <c r="B4942" s="4">
        <v>4937</v>
      </c>
      <c r="C4942" s="10">
        <v>142.36902221971729</v>
      </c>
      <c r="D4942" s="42"/>
    </row>
    <row r="4943" spans="2:4" ht="16" thickBot="1" x14ac:dyDescent="0.25">
      <c r="B4943" s="5">
        <v>4938</v>
      </c>
      <c r="C4943" s="11">
        <v>61.064328715782636</v>
      </c>
      <c r="D4943" s="42"/>
    </row>
    <row r="4944" spans="2:4" ht="16" thickBot="1" x14ac:dyDescent="0.25">
      <c r="B4944" s="4">
        <v>4939</v>
      </c>
      <c r="C4944" s="10">
        <v>273.48621226603603</v>
      </c>
      <c r="D4944" s="42"/>
    </row>
    <row r="4945" spans="2:4" ht="16" thickBot="1" x14ac:dyDescent="0.25">
      <c r="B4945" s="5">
        <v>4940</v>
      </c>
      <c r="C4945" s="11">
        <v>29.333711343413857</v>
      </c>
      <c r="D4945" s="42"/>
    </row>
    <row r="4946" spans="2:4" ht="16" thickBot="1" x14ac:dyDescent="0.25">
      <c r="B4946" s="4">
        <v>4941</v>
      </c>
      <c r="C4946" s="10">
        <v>351.00472657566951</v>
      </c>
      <c r="D4946" s="42"/>
    </row>
    <row r="4947" spans="2:4" ht="16" thickBot="1" x14ac:dyDescent="0.25">
      <c r="B4947" s="5">
        <v>4942</v>
      </c>
      <c r="C4947" s="11">
        <v>166.22092243105098</v>
      </c>
      <c r="D4947" s="42"/>
    </row>
    <row r="4948" spans="2:4" ht="16" thickBot="1" x14ac:dyDescent="0.25">
      <c r="B4948" s="4">
        <v>4943</v>
      </c>
      <c r="C4948" s="10">
        <v>410.151165946731</v>
      </c>
      <c r="D4948" s="42"/>
    </row>
    <row r="4949" spans="2:4" ht="16" thickBot="1" x14ac:dyDescent="0.25">
      <c r="B4949" s="5">
        <v>4944</v>
      </c>
      <c r="C4949" s="11">
        <v>411.66007741144875</v>
      </c>
      <c r="D4949" s="42"/>
    </row>
    <row r="4950" spans="2:4" ht="16" thickBot="1" x14ac:dyDescent="0.25">
      <c r="B4950" s="4">
        <v>4945</v>
      </c>
      <c r="C4950" s="10">
        <v>173.00139987069898</v>
      </c>
      <c r="D4950" s="42"/>
    </row>
    <row r="4951" spans="2:4" ht="16" thickBot="1" x14ac:dyDescent="0.25">
      <c r="B4951" s="5">
        <v>4946</v>
      </c>
      <c r="C4951" s="11">
        <v>410.08161670307243</v>
      </c>
      <c r="D4951" s="42"/>
    </row>
    <row r="4952" spans="2:4" ht="16" thickBot="1" x14ac:dyDescent="0.25">
      <c r="B4952" s="4">
        <v>4947</v>
      </c>
      <c r="C4952" s="10">
        <v>138.46681167103048</v>
      </c>
      <c r="D4952" s="42"/>
    </row>
    <row r="4953" spans="2:4" ht="16" thickBot="1" x14ac:dyDescent="0.25">
      <c r="B4953" s="5">
        <v>4948</v>
      </c>
      <c r="C4953" s="11">
        <v>413.77023913379907</v>
      </c>
      <c r="D4953" s="42"/>
    </row>
    <row r="4954" spans="2:4" ht="16" thickBot="1" x14ac:dyDescent="0.25">
      <c r="B4954" s="4">
        <v>4949</v>
      </c>
      <c r="C4954" s="10">
        <v>63.739406176573674</v>
      </c>
      <c r="D4954" s="42"/>
    </row>
    <row r="4955" spans="2:4" ht="16" thickBot="1" x14ac:dyDescent="0.25">
      <c r="B4955" s="5">
        <v>4950</v>
      </c>
      <c r="C4955" s="11">
        <v>129.99019881379994</v>
      </c>
      <c r="D4955" s="42"/>
    </row>
    <row r="4956" spans="2:4" ht="16" thickBot="1" x14ac:dyDescent="0.25">
      <c r="B4956" s="4">
        <v>4951</v>
      </c>
      <c r="C4956" s="10">
        <v>94.811609625508098</v>
      </c>
      <c r="D4956" s="42"/>
    </row>
    <row r="4957" spans="2:4" ht="16" thickBot="1" x14ac:dyDescent="0.25">
      <c r="B4957" s="5">
        <v>4952</v>
      </c>
      <c r="C4957" s="11">
        <v>146.54114869656092</v>
      </c>
      <c r="D4957" s="42"/>
    </row>
    <row r="4958" spans="2:4" ht="16" thickBot="1" x14ac:dyDescent="0.25">
      <c r="B4958" s="4">
        <v>4953</v>
      </c>
      <c r="C4958" s="10">
        <v>345.5475233121399</v>
      </c>
      <c r="D4958" s="42"/>
    </row>
    <row r="4959" spans="2:4" ht="16" thickBot="1" x14ac:dyDescent="0.25">
      <c r="B4959" s="5">
        <v>4954</v>
      </c>
      <c r="C4959" s="11">
        <v>435.6747286455348</v>
      </c>
      <c r="D4959" s="42"/>
    </row>
    <row r="4960" spans="2:4" ht="16" thickBot="1" x14ac:dyDescent="0.25">
      <c r="B4960" s="4">
        <v>4955</v>
      </c>
      <c r="C4960" s="10">
        <v>115.38049051667274</v>
      </c>
      <c r="D4960" s="42"/>
    </row>
    <row r="4961" spans="2:4" ht="16" thickBot="1" x14ac:dyDescent="0.25">
      <c r="B4961" s="5">
        <v>4956</v>
      </c>
      <c r="C4961" s="11">
        <v>74.93786636385579</v>
      </c>
      <c r="D4961" s="42"/>
    </row>
    <row r="4962" spans="2:4" ht="16" thickBot="1" x14ac:dyDescent="0.25">
      <c r="B4962" s="4">
        <v>4957</v>
      </c>
      <c r="C4962" s="10">
        <v>231.6578027517123</v>
      </c>
      <c r="D4962" s="42"/>
    </row>
    <row r="4963" spans="2:4" ht="16" thickBot="1" x14ac:dyDescent="0.25">
      <c r="B4963" s="5">
        <v>4958</v>
      </c>
      <c r="C4963" s="11">
        <v>191.86079149160614</v>
      </c>
      <c r="D4963" s="42"/>
    </row>
    <row r="4964" spans="2:4" ht="16" thickBot="1" x14ac:dyDescent="0.25">
      <c r="B4964" s="4">
        <v>4959</v>
      </c>
      <c r="C4964" s="10">
        <v>419.76754603152489</v>
      </c>
      <c r="D4964" s="42"/>
    </row>
    <row r="4965" spans="2:4" ht="16" thickBot="1" x14ac:dyDescent="0.25">
      <c r="B4965" s="5">
        <v>4960</v>
      </c>
      <c r="C4965" s="11">
        <v>413.56946732662527</v>
      </c>
      <c r="D4965" s="42"/>
    </row>
    <row r="4966" spans="2:4" ht="16" thickBot="1" x14ac:dyDescent="0.25">
      <c r="B4966" s="4">
        <v>4961</v>
      </c>
      <c r="C4966" s="10">
        <v>261.40978008435457</v>
      </c>
      <c r="D4966" s="42"/>
    </row>
    <row r="4967" spans="2:4" ht="16" thickBot="1" x14ac:dyDescent="0.25">
      <c r="B4967" s="5">
        <v>4962</v>
      </c>
      <c r="C4967" s="11">
        <v>293.47197309678677</v>
      </c>
      <c r="D4967" s="42"/>
    </row>
    <row r="4968" spans="2:4" ht="16" thickBot="1" x14ac:dyDescent="0.25">
      <c r="B4968" s="4">
        <v>4963</v>
      </c>
      <c r="C4968" s="10">
        <v>265.43238853906627</v>
      </c>
      <c r="D4968" s="42"/>
    </row>
    <row r="4969" spans="2:4" ht="16" thickBot="1" x14ac:dyDescent="0.25">
      <c r="B4969" s="5">
        <v>4964</v>
      </c>
      <c r="C4969" s="11">
        <v>93.416243767002001</v>
      </c>
      <c r="D4969" s="42"/>
    </row>
    <row r="4970" spans="2:4" ht="16" thickBot="1" x14ac:dyDescent="0.25">
      <c r="B4970" s="4">
        <v>4965</v>
      </c>
      <c r="C4970" s="10">
        <v>221.32350001694815</v>
      </c>
      <c r="D4970" s="42"/>
    </row>
    <row r="4971" spans="2:4" ht="16" thickBot="1" x14ac:dyDescent="0.25">
      <c r="B4971" s="5">
        <v>4966</v>
      </c>
      <c r="C4971" s="11">
        <v>517.33387647587347</v>
      </c>
      <c r="D4971" s="42"/>
    </row>
    <row r="4972" spans="2:4" ht="16" thickBot="1" x14ac:dyDescent="0.25">
      <c r="B4972" s="4">
        <v>4967</v>
      </c>
      <c r="C4972" s="10">
        <v>279.14922707780084</v>
      </c>
      <c r="D4972" s="42"/>
    </row>
    <row r="4973" spans="2:4" ht="16" thickBot="1" x14ac:dyDescent="0.25">
      <c r="B4973" s="5">
        <v>4968</v>
      </c>
      <c r="C4973" s="11">
        <v>166.26622856314836</v>
      </c>
      <c r="D4973" s="42"/>
    </row>
    <row r="4974" spans="2:4" ht="16" thickBot="1" x14ac:dyDescent="0.25">
      <c r="B4974" s="4">
        <v>4969</v>
      </c>
      <c r="C4974" s="10">
        <v>227.68164838613481</v>
      </c>
      <c r="D4974" s="42"/>
    </row>
    <row r="4975" spans="2:4" ht="16" thickBot="1" x14ac:dyDescent="0.25">
      <c r="B4975" s="5">
        <v>4970</v>
      </c>
      <c r="C4975" s="11">
        <v>69.422137951523894</v>
      </c>
      <c r="D4975" s="42"/>
    </row>
    <row r="4976" spans="2:4" ht="16" thickBot="1" x14ac:dyDescent="0.25">
      <c r="B4976" s="4">
        <v>4971</v>
      </c>
      <c r="C4976" s="10">
        <v>284.05768542172677</v>
      </c>
      <c r="D4976" s="42"/>
    </row>
    <row r="4977" spans="2:4" ht="16" thickBot="1" x14ac:dyDescent="0.25">
      <c r="B4977" s="5">
        <v>4972</v>
      </c>
      <c r="C4977" s="11">
        <v>107.64318158844162</v>
      </c>
      <c r="D4977" s="42"/>
    </row>
    <row r="4978" spans="2:4" ht="16" thickBot="1" x14ac:dyDescent="0.25">
      <c r="B4978" s="4">
        <v>4973</v>
      </c>
      <c r="C4978" s="10">
        <v>247.58534918042426</v>
      </c>
      <c r="D4978" s="42"/>
    </row>
    <row r="4979" spans="2:4" ht="16" thickBot="1" x14ac:dyDescent="0.25">
      <c r="B4979" s="5">
        <v>4974</v>
      </c>
      <c r="C4979" s="11">
        <v>431.32811943964401</v>
      </c>
      <c r="D4979" s="42"/>
    </row>
    <row r="4980" spans="2:4" ht="16" thickBot="1" x14ac:dyDescent="0.25">
      <c r="B4980" s="4">
        <v>4975</v>
      </c>
      <c r="C4980" s="10">
        <v>396.84166209907846</v>
      </c>
      <c r="D4980" s="42"/>
    </row>
    <row r="4981" spans="2:4" ht="16" thickBot="1" x14ac:dyDescent="0.25">
      <c r="B4981" s="5">
        <v>4976</v>
      </c>
      <c r="C4981" s="11">
        <v>151.82309014231504</v>
      </c>
      <c r="D4981" s="42"/>
    </row>
    <row r="4982" spans="2:4" ht="16" thickBot="1" x14ac:dyDescent="0.25">
      <c r="B4982" s="4">
        <v>4977</v>
      </c>
      <c r="C4982" s="10">
        <v>492.99571566370571</v>
      </c>
      <c r="D4982" s="42"/>
    </row>
    <row r="4983" spans="2:4" ht="16" thickBot="1" x14ac:dyDescent="0.25">
      <c r="B4983" s="5">
        <v>4978</v>
      </c>
      <c r="C4983" s="11">
        <v>389.65868292079119</v>
      </c>
      <c r="D4983" s="42"/>
    </row>
    <row r="4984" spans="2:4" ht="16" thickBot="1" x14ac:dyDescent="0.25">
      <c r="B4984" s="4">
        <v>4979</v>
      </c>
      <c r="C4984" s="10">
        <v>236.31069683428498</v>
      </c>
      <c r="D4984" s="42"/>
    </row>
    <row r="4985" spans="2:4" ht="16" thickBot="1" x14ac:dyDescent="0.25">
      <c r="B4985" s="5">
        <v>4980</v>
      </c>
      <c r="C4985" s="11">
        <v>243.96686626867825</v>
      </c>
      <c r="D4985" s="42"/>
    </row>
    <row r="4986" spans="2:4" ht="16" thickBot="1" x14ac:dyDescent="0.25">
      <c r="B4986" s="4">
        <v>4981</v>
      </c>
      <c r="C4986" s="10">
        <v>205.02603774970865</v>
      </c>
      <c r="D4986" s="42"/>
    </row>
    <row r="4987" spans="2:4" ht="16" thickBot="1" x14ac:dyDescent="0.25">
      <c r="B4987" s="5">
        <v>4982</v>
      </c>
      <c r="C4987" s="11">
        <v>405.84535913911066</v>
      </c>
      <c r="D4987" s="42"/>
    </row>
    <row r="4988" spans="2:4" ht="16" thickBot="1" x14ac:dyDescent="0.25">
      <c r="B4988" s="4">
        <v>4983</v>
      </c>
      <c r="C4988" s="10">
        <v>470.24918273031341</v>
      </c>
      <c r="D4988" s="42"/>
    </row>
    <row r="4989" spans="2:4" ht="16" thickBot="1" x14ac:dyDescent="0.25">
      <c r="B4989" s="5">
        <v>4984</v>
      </c>
      <c r="C4989" s="11">
        <v>202.48649607785438</v>
      </c>
      <c r="D4989" s="42"/>
    </row>
    <row r="4990" spans="2:4" ht="16" thickBot="1" x14ac:dyDescent="0.25">
      <c r="B4990" s="4">
        <v>4985</v>
      </c>
      <c r="C4990" s="10">
        <v>324.41212294471507</v>
      </c>
      <c r="D4990" s="42"/>
    </row>
    <row r="4991" spans="2:4" ht="16" thickBot="1" x14ac:dyDescent="0.25">
      <c r="B4991" s="5">
        <v>4986</v>
      </c>
      <c r="C4991" s="11">
        <v>300.13952874429862</v>
      </c>
      <c r="D4991" s="42"/>
    </row>
    <row r="4992" spans="2:4" ht="16" thickBot="1" x14ac:dyDescent="0.25">
      <c r="B4992" s="4">
        <v>4987</v>
      </c>
      <c r="C4992" s="10">
        <v>363.22255785346726</v>
      </c>
      <c r="D4992" s="42"/>
    </row>
    <row r="4993" spans="2:4" ht="16" thickBot="1" x14ac:dyDescent="0.25">
      <c r="B4993" s="5">
        <v>4988</v>
      </c>
      <c r="C4993" s="11">
        <v>288.5509120225143</v>
      </c>
      <c r="D4993" s="42"/>
    </row>
    <row r="4994" spans="2:4" ht="16" thickBot="1" x14ac:dyDescent="0.25">
      <c r="B4994" s="4">
        <v>4989</v>
      </c>
      <c r="C4994" s="10">
        <v>353.02442925495825</v>
      </c>
      <c r="D4994" s="42"/>
    </row>
    <row r="4995" spans="2:4" ht="16" thickBot="1" x14ac:dyDescent="0.25">
      <c r="B4995" s="5">
        <v>4990</v>
      </c>
      <c r="C4995" s="11">
        <v>262.53908157912213</v>
      </c>
      <c r="D4995" s="42"/>
    </row>
    <row r="4996" spans="2:4" ht="16" thickBot="1" x14ac:dyDescent="0.25">
      <c r="B4996" s="4">
        <v>4991</v>
      </c>
      <c r="C4996" s="10">
        <v>376.91820627182494</v>
      </c>
      <c r="D4996" s="42"/>
    </row>
    <row r="4997" spans="2:4" ht="16" thickBot="1" x14ac:dyDescent="0.25">
      <c r="B4997" s="5">
        <v>4992</v>
      </c>
      <c r="C4997" s="11">
        <v>193.72689515825496</v>
      </c>
      <c r="D4997" s="42"/>
    </row>
    <row r="4998" spans="2:4" ht="16" thickBot="1" x14ac:dyDescent="0.25">
      <c r="B4998" s="4">
        <v>4993</v>
      </c>
      <c r="C4998" s="10">
        <v>110.81757078871824</v>
      </c>
      <c r="D4998" s="42"/>
    </row>
    <row r="4999" spans="2:4" ht="16" thickBot="1" x14ac:dyDescent="0.25">
      <c r="B4999" s="5">
        <v>4994</v>
      </c>
      <c r="C4999" s="11">
        <v>160.61052385929884</v>
      </c>
      <c r="D4999" s="42"/>
    </row>
    <row r="5000" spans="2:4" ht="16" thickBot="1" x14ac:dyDescent="0.25">
      <c r="B5000" s="4">
        <v>4995</v>
      </c>
      <c r="C5000" s="10">
        <v>200.66937901030718</v>
      </c>
      <c r="D5000" s="42"/>
    </row>
    <row r="5001" spans="2:4" ht="16" thickBot="1" x14ac:dyDescent="0.25">
      <c r="B5001" s="5">
        <v>4996</v>
      </c>
      <c r="C5001" s="11">
        <v>260.21426955434077</v>
      </c>
      <c r="D5001" s="42"/>
    </row>
    <row r="5002" spans="2:4" ht="16" thickBot="1" x14ac:dyDescent="0.25">
      <c r="B5002" s="4">
        <v>4997</v>
      </c>
      <c r="C5002" s="10">
        <v>118.3659499416319</v>
      </c>
      <c r="D5002" s="42"/>
    </row>
    <row r="5003" spans="2:4" ht="16" thickBot="1" x14ac:dyDescent="0.25">
      <c r="B5003" s="5">
        <v>4998</v>
      </c>
      <c r="C5003" s="11">
        <v>181.92671129099983</v>
      </c>
      <c r="D5003" s="42"/>
    </row>
    <row r="5004" spans="2:4" ht="16" thickBot="1" x14ac:dyDescent="0.25">
      <c r="B5004" s="4">
        <v>4999</v>
      </c>
      <c r="C5004" s="10">
        <v>200.6648380539192</v>
      </c>
      <c r="D5004" s="42"/>
    </row>
    <row r="5005" spans="2:4" ht="16" thickBot="1" x14ac:dyDescent="0.25">
      <c r="B5005" s="5">
        <v>5000</v>
      </c>
      <c r="C5005" s="11">
        <v>30.605938816595827</v>
      </c>
      <c r="D5005" s="42"/>
    </row>
    <row r="5006" spans="2:4" ht="16" thickBot="1" x14ac:dyDescent="0.25">
      <c r="B5006" s="4">
        <v>5001</v>
      </c>
      <c r="C5006" s="10">
        <v>163.61363546599927</v>
      </c>
      <c r="D5006" s="42"/>
    </row>
    <row r="5007" spans="2:4" ht="16" thickBot="1" x14ac:dyDescent="0.25">
      <c r="B5007" s="5">
        <v>5002</v>
      </c>
      <c r="C5007" s="11">
        <v>239.02843036987068</v>
      </c>
      <c r="D5007" s="42"/>
    </row>
    <row r="5008" spans="2:4" ht="16" thickBot="1" x14ac:dyDescent="0.25">
      <c r="B5008" s="4">
        <v>5003</v>
      </c>
      <c r="C5008" s="10">
        <v>227.11617567014829</v>
      </c>
      <c r="D5008" s="42"/>
    </row>
    <row r="5009" spans="2:4" ht="16" thickBot="1" x14ac:dyDescent="0.25">
      <c r="B5009" s="5">
        <v>5004</v>
      </c>
      <c r="C5009" s="11">
        <v>633.3149496844112</v>
      </c>
      <c r="D5009" s="42"/>
    </row>
    <row r="5010" spans="2:4" ht="16" thickBot="1" x14ac:dyDescent="0.25">
      <c r="B5010" s="4">
        <v>5005</v>
      </c>
      <c r="C5010" s="10">
        <v>12.453764671307576</v>
      </c>
      <c r="D5010" s="42"/>
    </row>
    <row r="5011" spans="2:4" ht="16" thickBot="1" x14ac:dyDescent="0.25">
      <c r="B5011" s="5">
        <v>5006</v>
      </c>
      <c r="C5011" s="11">
        <v>56.351887516814145</v>
      </c>
      <c r="D5011" s="42"/>
    </row>
    <row r="5012" spans="2:4" ht="16" thickBot="1" x14ac:dyDescent="0.25">
      <c r="B5012" s="4">
        <v>5007</v>
      </c>
      <c r="C5012" s="10">
        <v>107.64440891663054</v>
      </c>
      <c r="D5012" s="42"/>
    </row>
    <row r="5013" spans="2:4" ht="16" thickBot="1" x14ac:dyDescent="0.25">
      <c r="B5013" s="5">
        <v>5008</v>
      </c>
      <c r="C5013" s="11">
        <v>396.13204898903837</v>
      </c>
      <c r="D5013" s="42"/>
    </row>
    <row r="5014" spans="2:4" ht="16" thickBot="1" x14ac:dyDescent="0.25">
      <c r="B5014" s="4">
        <v>5009</v>
      </c>
      <c r="C5014" s="10">
        <v>91.855936021450333</v>
      </c>
      <c r="D5014" s="42"/>
    </row>
    <row r="5015" spans="2:4" ht="16" thickBot="1" x14ac:dyDescent="0.25">
      <c r="B5015" s="5">
        <v>5010</v>
      </c>
      <c r="C5015" s="11">
        <v>583.49699709054948</v>
      </c>
      <c r="D5015" s="42"/>
    </row>
    <row r="5016" spans="2:4" ht="16" thickBot="1" x14ac:dyDescent="0.25">
      <c r="B5016" s="4">
        <v>5011</v>
      </c>
      <c r="C5016" s="10">
        <v>112.21352117428962</v>
      </c>
      <c r="D5016" s="42"/>
    </row>
    <row r="5017" spans="2:4" ht="16" thickBot="1" x14ac:dyDescent="0.25">
      <c r="B5017" s="5">
        <v>5012</v>
      </c>
      <c r="C5017" s="11">
        <v>484.59609655935446</v>
      </c>
      <c r="D5017" s="42"/>
    </row>
    <row r="5018" spans="2:4" ht="16" thickBot="1" x14ac:dyDescent="0.25">
      <c r="B5018" s="4">
        <v>5013</v>
      </c>
      <c r="C5018" s="10">
        <v>252.73466815177545</v>
      </c>
      <c r="D5018" s="42"/>
    </row>
    <row r="5019" spans="2:4" ht="16" thickBot="1" x14ac:dyDescent="0.25">
      <c r="B5019" s="5">
        <v>5014</v>
      </c>
      <c r="C5019" s="11">
        <v>195.34542894677327</v>
      </c>
      <c r="D5019" s="42"/>
    </row>
    <row r="5020" spans="2:4" ht="16" thickBot="1" x14ac:dyDescent="0.25">
      <c r="B5020" s="4">
        <v>5015</v>
      </c>
      <c r="C5020" s="10">
        <v>80.211411244899168</v>
      </c>
      <c r="D5020" s="42"/>
    </row>
    <row r="5021" spans="2:4" ht="16" thickBot="1" x14ac:dyDescent="0.25">
      <c r="B5021" s="5">
        <v>5016</v>
      </c>
      <c r="C5021" s="11">
        <v>142.63787949869084</v>
      </c>
      <c r="D5021" s="42"/>
    </row>
    <row r="5022" spans="2:4" ht="16" thickBot="1" x14ac:dyDescent="0.25">
      <c r="B5022" s="4">
        <v>5017</v>
      </c>
      <c r="C5022" s="10">
        <v>117.61759466122435</v>
      </c>
      <c r="D5022" s="42"/>
    </row>
    <row r="5023" spans="2:4" ht="16" thickBot="1" x14ac:dyDescent="0.25">
      <c r="B5023" s="5">
        <v>5018</v>
      </c>
      <c r="C5023" s="11">
        <v>112.70069040970702</v>
      </c>
      <c r="D5023" s="42"/>
    </row>
    <row r="5024" spans="2:4" ht="16" thickBot="1" x14ac:dyDescent="0.25">
      <c r="B5024" s="4">
        <v>5019</v>
      </c>
      <c r="C5024" s="10">
        <v>471.46343115954767</v>
      </c>
      <c r="D5024" s="42"/>
    </row>
    <row r="5025" spans="2:4" ht="16" thickBot="1" x14ac:dyDescent="0.25">
      <c r="B5025" s="5">
        <v>5020</v>
      </c>
      <c r="C5025" s="11">
        <v>293.04311610403812</v>
      </c>
      <c r="D5025" s="42"/>
    </row>
    <row r="5026" spans="2:4" ht="16" thickBot="1" x14ac:dyDescent="0.25">
      <c r="B5026" s="4">
        <v>5021</v>
      </c>
      <c r="C5026" s="10">
        <v>48.596821212116396</v>
      </c>
      <c r="D5026" s="42"/>
    </row>
    <row r="5027" spans="2:4" ht="16" thickBot="1" x14ac:dyDescent="0.25">
      <c r="B5027" s="5">
        <v>5022</v>
      </c>
      <c r="C5027" s="11">
        <v>201.33109271599946</v>
      </c>
      <c r="D5027" s="42"/>
    </row>
    <row r="5028" spans="2:4" ht="16" thickBot="1" x14ac:dyDescent="0.25">
      <c r="B5028" s="4">
        <v>5023</v>
      </c>
      <c r="C5028" s="10">
        <v>144.8130815037506</v>
      </c>
      <c r="D5028" s="42"/>
    </row>
    <row r="5029" spans="2:4" ht="16" thickBot="1" x14ac:dyDescent="0.25">
      <c r="B5029" s="5">
        <v>5024</v>
      </c>
      <c r="C5029" s="11">
        <v>290.54013071219708</v>
      </c>
      <c r="D5029" s="42"/>
    </row>
    <row r="5030" spans="2:4" ht="16" thickBot="1" x14ac:dyDescent="0.25">
      <c r="B5030" s="4">
        <v>5025</v>
      </c>
      <c r="C5030" s="10">
        <v>162.2765088155879</v>
      </c>
      <c r="D5030" s="42"/>
    </row>
    <row r="5031" spans="2:4" ht="16" thickBot="1" x14ac:dyDescent="0.25">
      <c r="B5031" s="5">
        <v>5026</v>
      </c>
      <c r="C5031" s="11">
        <v>326.09755110285829</v>
      </c>
      <c r="D5031" s="42"/>
    </row>
    <row r="5032" spans="2:4" ht="16" thickBot="1" x14ac:dyDescent="0.25">
      <c r="B5032" s="4">
        <v>5027</v>
      </c>
      <c r="C5032" s="10">
        <v>72.066756645852422</v>
      </c>
      <c r="D5032" s="42"/>
    </row>
    <row r="5033" spans="2:4" ht="16" thickBot="1" x14ac:dyDescent="0.25">
      <c r="B5033" s="5">
        <v>5028</v>
      </c>
      <c r="C5033" s="11">
        <v>148.96955590987884</v>
      </c>
      <c r="D5033" s="42"/>
    </row>
    <row r="5034" spans="2:4" ht="16" thickBot="1" x14ac:dyDescent="0.25">
      <c r="B5034" s="4">
        <v>5029</v>
      </c>
      <c r="C5034" s="10">
        <v>276.74659662953286</v>
      </c>
      <c r="D5034" s="42"/>
    </row>
    <row r="5035" spans="2:4" ht="16" thickBot="1" x14ac:dyDescent="0.25">
      <c r="B5035" s="5">
        <v>5030</v>
      </c>
      <c r="C5035" s="11">
        <v>164.16117562388121</v>
      </c>
      <c r="D5035" s="42"/>
    </row>
    <row r="5036" spans="2:4" ht="16" thickBot="1" x14ac:dyDescent="0.25">
      <c r="B5036" s="4">
        <v>5031</v>
      </c>
      <c r="C5036" s="10">
        <v>93.470414218188694</v>
      </c>
      <c r="D5036" s="42"/>
    </row>
    <row r="5037" spans="2:4" ht="16" thickBot="1" x14ac:dyDescent="0.25">
      <c r="B5037" s="5">
        <v>5032</v>
      </c>
      <c r="C5037" s="11">
        <v>307.83042646934678</v>
      </c>
      <c r="D5037" s="42"/>
    </row>
    <row r="5038" spans="2:4" ht="16" thickBot="1" x14ac:dyDescent="0.25">
      <c r="B5038" s="4">
        <v>5033</v>
      </c>
      <c r="C5038" s="10">
        <v>220.21630398586115</v>
      </c>
      <c r="D5038" s="42"/>
    </row>
    <row r="5039" spans="2:4" ht="16" thickBot="1" x14ac:dyDescent="0.25">
      <c r="B5039" s="5">
        <v>5034</v>
      </c>
      <c r="C5039" s="11">
        <v>113.76674217795411</v>
      </c>
      <c r="D5039" s="42"/>
    </row>
    <row r="5040" spans="2:4" ht="16" thickBot="1" x14ac:dyDescent="0.25">
      <c r="B5040" s="4">
        <v>5035</v>
      </c>
      <c r="C5040" s="10">
        <v>184.28820327419879</v>
      </c>
      <c r="D5040" s="42"/>
    </row>
    <row r="5041" spans="2:4" ht="16" thickBot="1" x14ac:dyDescent="0.25">
      <c r="B5041" s="5">
        <v>5036</v>
      </c>
      <c r="C5041" s="11">
        <v>238.89130228557724</v>
      </c>
      <c r="D5041" s="42"/>
    </row>
    <row r="5042" spans="2:4" ht="16" thickBot="1" x14ac:dyDescent="0.25">
      <c r="B5042" s="4">
        <v>5037</v>
      </c>
      <c r="C5042" s="10">
        <v>273.11307360929396</v>
      </c>
      <c r="D5042" s="42"/>
    </row>
    <row r="5043" spans="2:4" ht="16" thickBot="1" x14ac:dyDescent="0.25">
      <c r="B5043" s="5">
        <v>5038</v>
      </c>
      <c r="C5043" s="11">
        <v>321.69881667043819</v>
      </c>
      <c r="D5043" s="42"/>
    </row>
    <row r="5044" spans="2:4" ht="16" thickBot="1" x14ac:dyDescent="0.25">
      <c r="B5044" s="4">
        <v>5039</v>
      </c>
      <c r="C5044" s="10">
        <v>425.24436424856549</v>
      </c>
      <c r="D5044" s="42"/>
    </row>
    <row r="5045" spans="2:4" ht="16" thickBot="1" x14ac:dyDescent="0.25">
      <c r="B5045" s="5">
        <v>5040</v>
      </c>
      <c r="C5045" s="11">
        <v>516.53464486141434</v>
      </c>
      <c r="D5045" s="42"/>
    </row>
    <row r="5046" spans="2:4" ht="16" thickBot="1" x14ac:dyDescent="0.25">
      <c r="B5046" s="4">
        <v>5041</v>
      </c>
      <c r="C5046" s="10">
        <v>149.21402409653993</v>
      </c>
      <c r="D5046" s="42"/>
    </row>
    <row r="5047" spans="2:4" ht="16" thickBot="1" x14ac:dyDescent="0.25">
      <c r="B5047" s="5">
        <v>5042</v>
      </c>
      <c r="C5047" s="11">
        <v>201.1535098666661</v>
      </c>
      <c r="D5047" s="42"/>
    </row>
    <row r="5048" spans="2:4" ht="16" thickBot="1" x14ac:dyDescent="0.25">
      <c r="B5048" s="4">
        <v>5043</v>
      </c>
      <c r="C5048" s="10">
        <v>120.10243391411966</v>
      </c>
      <c r="D5048" s="42"/>
    </row>
    <row r="5049" spans="2:4" ht="16" thickBot="1" x14ac:dyDescent="0.25">
      <c r="B5049" s="5">
        <v>5044</v>
      </c>
      <c r="C5049" s="11">
        <v>311.96251197902853</v>
      </c>
      <c r="D5049" s="42"/>
    </row>
    <row r="5050" spans="2:4" ht="16" thickBot="1" x14ac:dyDescent="0.25">
      <c r="B5050" s="4">
        <v>5045</v>
      </c>
      <c r="C5050" s="10">
        <v>185.46880199562557</v>
      </c>
      <c r="D5050" s="42"/>
    </row>
    <row r="5051" spans="2:4" ht="16" thickBot="1" x14ac:dyDescent="0.25">
      <c r="B5051" s="5">
        <v>5046</v>
      </c>
      <c r="C5051" s="11">
        <v>247.26298436351422</v>
      </c>
      <c r="D5051" s="42"/>
    </row>
    <row r="5052" spans="2:4" ht="16" thickBot="1" x14ac:dyDescent="0.25">
      <c r="B5052" s="4">
        <v>5047</v>
      </c>
      <c r="C5052" s="10">
        <v>340.9168907140824</v>
      </c>
      <c r="D5052" s="42"/>
    </row>
    <row r="5053" spans="2:4" ht="16" thickBot="1" x14ac:dyDescent="0.25">
      <c r="B5053" s="5">
        <v>5048</v>
      </c>
      <c r="C5053" s="11">
        <v>467.0260542236922</v>
      </c>
      <c r="D5053" s="42"/>
    </row>
    <row r="5054" spans="2:4" ht="16" thickBot="1" x14ac:dyDescent="0.25">
      <c r="B5054" s="4">
        <v>5049</v>
      </c>
      <c r="C5054" s="10">
        <v>210.9222337260897</v>
      </c>
      <c r="D5054" s="42"/>
    </row>
    <row r="5055" spans="2:4" ht="16" thickBot="1" x14ac:dyDescent="0.25">
      <c r="B5055" s="5">
        <v>5050</v>
      </c>
      <c r="C5055" s="11">
        <v>524.87172131273257</v>
      </c>
      <c r="D5055" s="42"/>
    </row>
    <row r="5056" spans="2:4" ht="16" thickBot="1" x14ac:dyDescent="0.25">
      <c r="B5056" s="4">
        <v>5051</v>
      </c>
      <c r="C5056" s="10">
        <v>451.56346528307921</v>
      </c>
      <c r="D5056" s="42"/>
    </row>
    <row r="5057" spans="2:4" ht="16" thickBot="1" x14ac:dyDescent="0.25">
      <c r="B5057" s="5">
        <v>5052</v>
      </c>
      <c r="C5057" s="11">
        <v>154.11481834576412</v>
      </c>
      <c r="D5057" s="42"/>
    </row>
    <row r="5058" spans="2:4" ht="16" thickBot="1" x14ac:dyDescent="0.25">
      <c r="B5058" s="4">
        <v>5053</v>
      </c>
      <c r="C5058" s="10">
        <v>133.36410764156199</v>
      </c>
      <c r="D5058" s="42"/>
    </row>
    <row r="5059" spans="2:4" ht="16" thickBot="1" x14ac:dyDescent="0.25">
      <c r="B5059" s="5">
        <v>5054</v>
      </c>
      <c r="C5059" s="11">
        <v>312.59400063537032</v>
      </c>
      <c r="D5059" s="42"/>
    </row>
    <row r="5060" spans="2:4" ht="16" thickBot="1" x14ac:dyDescent="0.25">
      <c r="B5060" s="4">
        <v>5055</v>
      </c>
      <c r="C5060" s="10">
        <v>142.1231094535739</v>
      </c>
      <c r="D5060" s="42"/>
    </row>
    <row r="5061" spans="2:4" ht="16" thickBot="1" x14ac:dyDescent="0.25">
      <c r="B5061" s="5">
        <v>5056</v>
      </c>
      <c r="C5061" s="11">
        <v>273.82030423621268</v>
      </c>
      <c r="D5061" s="42"/>
    </row>
    <row r="5062" spans="2:4" ht="16" thickBot="1" x14ac:dyDescent="0.25">
      <c r="B5062" s="4">
        <v>5057</v>
      </c>
      <c r="C5062" s="10">
        <v>57.685445007396474</v>
      </c>
      <c r="D5062" s="42"/>
    </row>
    <row r="5063" spans="2:4" ht="16" thickBot="1" x14ac:dyDescent="0.25">
      <c r="B5063" s="5">
        <v>5058</v>
      </c>
      <c r="C5063" s="11">
        <v>176.36821574624182</v>
      </c>
      <c r="D5063" s="42"/>
    </row>
    <row r="5064" spans="2:4" ht="16" thickBot="1" x14ac:dyDescent="0.25">
      <c r="B5064" s="4">
        <v>5059</v>
      </c>
      <c r="C5064" s="10">
        <v>198.8848002351906</v>
      </c>
      <c r="D5064" s="42"/>
    </row>
    <row r="5065" spans="2:4" ht="16" thickBot="1" x14ac:dyDescent="0.25">
      <c r="B5065" s="5">
        <v>5060</v>
      </c>
      <c r="C5065" s="11">
        <v>184.81107050205802</v>
      </c>
      <c r="D5065" s="42"/>
    </row>
    <row r="5066" spans="2:4" ht="16" thickBot="1" x14ac:dyDescent="0.25">
      <c r="B5066" s="4">
        <v>5061</v>
      </c>
      <c r="C5066" s="10">
        <v>269.64706873568633</v>
      </c>
      <c r="D5066" s="42"/>
    </row>
    <row r="5067" spans="2:4" ht="16" thickBot="1" x14ac:dyDescent="0.25">
      <c r="B5067" s="5">
        <v>5062</v>
      </c>
      <c r="C5067" s="11">
        <v>380.00769769318549</v>
      </c>
      <c r="D5067" s="42"/>
    </row>
    <row r="5068" spans="2:4" ht="16" thickBot="1" x14ac:dyDescent="0.25">
      <c r="B5068" s="4">
        <v>5063</v>
      </c>
      <c r="C5068" s="10">
        <v>290.68493098139237</v>
      </c>
      <c r="D5068" s="42"/>
    </row>
    <row r="5069" spans="2:4" ht="16" thickBot="1" x14ac:dyDescent="0.25">
      <c r="B5069" s="5">
        <v>5064</v>
      </c>
      <c r="C5069" s="11">
        <v>151.51754354328185</v>
      </c>
      <c r="D5069" s="42"/>
    </row>
    <row r="5070" spans="2:4" ht="16" thickBot="1" x14ac:dyDescent="0.25">
      <c r="B5070" s="4">
        <v>5065</v>
      </c>
      <c r="C5070" s="10">
        <v>149.18967847098489</v>
      </c>
      <c r="D5070" s="42"/>
    </row>
    <row r="5071" spans="2:4" ht="16" thickBot="1" x14ac:dyDescent="0.25">
      <c r="B5071" s="5">
        <v>5066</v>
      </c>
      <c r="C5071" s="11">
        <v>108.27748556000846</v>
      </c>
      <c r="D5071" s="42"/>
    </row>
    <row r="5072" spans="2:4" ht="16" thickBot="1" x14ac:dyDescent="0.25">
      <c r="B5072" s="4">
        <v>5067</v>
      </c>
      <c r="C5072" s="10">
        <v>436.11777728084132</v>
      </c>
      <c r="D5072" s="42"/>
    </row>
    <row r="5073" spans="2:4" ht="16" thickBot="1" x14ac:dyDescent="0.25">
      <c r="B5073" s="5">
        <v>5068</v>
      </c>
      <c r="C5073" s="11">
        <v>337.3360414314493</v>
      </c>
      <c r="D5073" s="42"/>
    </row>
    <row r="5074" spans="2:4" ht="16" thickBot="1" x14ac:dyDescent="0.25">
      <c r="B5074" s="4">
        <v>5069</v>
      </c>
      <c r="C5074" s="10">
        <v>352.1035784610599</v>
      </c>
      <c r="D5074" s="42"/>
    </row>
    <row r="5075" spans="2:4" ht="16" thickBot="1" x14ac:dyDescent="0.25">
      <c r="B5075" s="5">
        <v>5070</v>
      </c>
      <c r="C5075" s="11">
        <v>183.16693532156057</v>
      </c>
      <c r="D5075" s="42"/>
    </row>
    <row r="5076" spans="2:4" ht="16" thickBot="1" x14ac:dyDescent="0.25">
      <c r="B5076" s="4">
        <v>5071</v>
      </c>
      <c r="C5076" s="10">
        <v>423.53290504606952</v>
      </c>
      <c r="D5076" s="42"/>
    </row>
    <row r="5077" spans="2:4" ht="16" thickBot="1" x14ac:dyDescent="0.25">
      <c r="B5077" s="5">
        <v>5072</v>
      </c>
      <c r="C5077" s="11">
        <v>99.572690524791383</v>
      </c>
      <c r="D5077" s="42"/>
    </row>
    <row r="5078" spans="2:4" ht="16" thickBot="1" x14ac:dyDescent="0.25">
      <c r="B5078" s="4">
        <v>5073</v>
      </c>
      <c r="C5078" s="10">
        <v>297.23636789171883</v>
      </c>
      <c r="D5078" s="42"/>
    </row>
    <row r="5079" spans="2:4" ht="16" thickBot="1" x14ac:dyDescent="0.25">
      <c r="B5079" s="5">
        <v>5074</v>
      </c>
      <c r="C5079" s="11">
        <v>185.59774666311185</v>
      </c>
      <c r="D5079" s="42"/>
    </row>
    <row r="5080" spans="2:4" ht="16" thickBot="1" x14ac:dyDescent="0.25">
      <c r="B5080" s="4">
        <v>5075</v>
      </c>
      <c r="C5080" s="10">
        <v>348.81512245231846</v>
      </c>
      <c r="D5080" s="42"/>
    </row>
    <row r="5081" spans="2:4" ht="16" thickBot="1" x14ac:dyDescent="0.25">
      <c r="B5081" s="5">
        <v>5076</v>
      </c>
      <c r="C5081" s="11">
        <v>109.8529478804644</v>
      </c>
      <c r="D5081" s="42"/>
    </row>
    <row r="5082" spans="2:4" ht="16" thickBot="1" x14ac:dyDescent="0.25">
      <c r="B5082" s="4">
        <v>5077</v>
      </c>
      <c r="C5082" s="10">
        <v>230.54110987879253</v>
      </c>
      <c r="D5082" s="42"/>
    </row>
    <row r="5083" spans="2:4" ht="16" thickBot="1" x14ac:dyDescent="0.25">
      <c r="B5083" s="5">
        <v>5078</v>
      </c>
      <c r="C5083" s="11">
        <v>21.52256408831909</v>
      </c>
      <c r="D5083" s="42"/>
    </row>
    <row r="5084" spans="2:4" ht="16" thickBot="1" x14ac:dyDescent="0.25">
      <c r="B5084" s="4">
        <v>5079</v>
      </c>
      <c r="C5084" s="10">
        <v>519.00424925075004</v>
      </c>
      <c r="D5084" s="42"/>
    </row>
    <row r="5085" spans="2:4" ht="16" thickBot="1" x14ac:dyDescent="0.25">
      <c r="B5085" s="5">
        <v>5080</v>
      </c>
      <c r="C5085" s="11">
        <v>151.66399031631818</v>
      </c>
      <c r="D5085" s="42"/>
    </row>
    <row r="5086" spans="2:4" ht="16" thickBot="1" x14ac:dyDescent="0.25">
      <c r="B5086" s="4">
        <v>5081</v>
      </c>
      <c r="C5086" s="10">
        <v>309.93947757792637</v>
      </c>
      <c r="D5086" s="42"/>
    </row>
    <row r="5087" spans="2:4" ht="16" thickBot="1" x14ac:dyDescent="0.25">
      <c r="B5087" s="5">
        <v>5082</v>
      </c>
      <c r="C5087" s="11">
        <v>502.79540237704805</v>
      </c>
      <c r="D5087" s="42"/>
    </row>
    <row r="5088" spans="2:4" ht="16" thickBot="1" x14ac:dyDescent="0.25">
      <c r="B5088" s="4">
        <v>5083</v>
      </c>
      <c r="C5088" s="10">
        <v>240.23887517156126</v>
      </c>
      <c r="D5088" s="42"/>
    </row>
    <row r="5089" spans="2:4" ht="16" thickBot="1" x14ac:dyDescent="0.25">
      <c r="B5089" s="5">
        <v>5084</v>
      </c>
      <c r="C5089" s="11">
        <v>383.55326505516706</v>
      </c>
      <c r="D5089" s="42"/>
    </row>
    <row r="5090" spans="2:4" ht="16" thickBot="1" x14ac:dyDescent="0.25">
      <c r="B5090" s="4">
        <v>5085</v>
      </c>
      <c r="C5090" s="10">
        <v>335.53311767397969</v>
      </c>
      <c r="D5090" s="42"/>
    </row>
    <row r="5091" spans="2:4" ht="16" thickBot="1" x14ac:dyDescent="0.25">
      <c r="B5091" s="5">
        <v>5086</v>
      </c>
      <c r="C5091" s="11">
        <v>339.46237714138306</v>
      </c>
      <c r="D5091" s="42"/>
    </row>
    <row r="5092" spans="2:4" ht="16" thickBot="1" x14ac:dyDescent="0.25">
      <c r="B5092" s="4">
        <v>5087</v>
      </c>
      <c r="C5092" s="10">
        <v>85.073080645660653</v>
      </c>
      <c r="D5092" s="42"/>
    </row>
    <row r="5093" spans="2:4" ht="16" thickBot="1" x14ac:dyDescent="0.25">
      <c r="B5093" s="5">
        <v>5088</v>
      </c>
      <c r="C5093" s="11">
        <v>325.08693428327706</v>
      </c>
      <c r="D5093" s="42"/>
    </row>
    <row r="5094" spans="2:4" ht="16" thickBot="1" x14ac:dyDescent="0.25">
      <c r="B5094" s="4">
        <v>5089</v>
      </c>
      <c r="C5094" s="10">
        <v>548.36696092151408</v>
      </c>
      <c r="D5094" s="42"/>
    </row>
    <row r="5095" spans="2:4" ht="16" thickBot="1" x14ac:dyDescent="0.25">
      <c r="B5095" s="5">
        <v>5090</v>
      </c>
      <c r="C5095" s="11">
        <v>419.89877290665697</v>
      </c>
      <c r="D5095" s="42"/>
    </row>
    <row r="5096" spans="2:4" ht="16" thickBot="1" x14ac:dyDescent="0.25">
      <c r="B5096" s="4">
        <v>5091</v>
      </c>
      <c r="C5096" s="10">
        <v>197.66451589956867</v>
      </c>
      <c r="D5096" s="42"/>
    </row>
    <row r="5097" spans="2:4" ht="16" thickBot="1" x14ac:dyDescent="0.25">
      <c r="B5097" s="5">
        <v>5092</v>
      </c>
      <c r="C5097" s="11">
        <v>118.72072729601601</v>
      </c>
      <c r="D5097" s="42"/>
    </row>
    <row r="5098" spans="2:4" ht="16" thickBot="1" x14ac:dyDescent="0.25">
      <c r="B5098" s="4">
        <v>5093</v>
      </c>
      <c r="C5098" s="10">
        <v>202.51799916171072</v>
      </c>
      <c r="D5098" s="42"/>
    </row>
    <row r="5099" spans="2:4" ht="16" thickBot="1" x14ac:dyDescent="0.25">
      <c r="B5099" s="5">
        <v>5094</v>
      </c>
      <c r="C5099" s="11">
        <v>145.80979730188886</v>
      </c>
      <c r="D5099" s="42"/>
    </row>
    <row r="5100" spans="2:4" ht="16" thickBot="1" x14ac:dyDescent="0.25">
      <c r="B5100" s="4">
        <v>5095</v>
      </c>
      <c r="C5100" s="10">
        <v>57.907140185390013</v>
      </c>
      <c r="D5100" s="42"/>
    </row>
    <row r="5101" spans="2:4" ht="16" thickBot="1" x14ac:dyDescent="0.25">
      <c r="B5101" s="5">
        <v>5096</v>
      </c>
      <c r="C5101" s="11">
        <v>309.97803781709194</v>
      </c>
      <c r="D5101" s="42"/>
    </row>
    <row r="5102" spans="2:4" ht="16" thickBot="1" x14ac:dyDescent="0.25">
      <c r="B5102" s="4">
        <v>5097</v>
      </c>
      <c r="C5102" s="10">
        <v>248.60843502662422</v>
      </c>
      <c r="D5102" s="42"/>
    </row>
    <row r="5103" spans="2:4" ht="16" thickBot="1" x14ac:dyDescent="0.25">
      <c r="B5103" s="5">
        <v>5098</v>
      </c>
      <c r="C5103" s="11">
        <v>408.97180388422402</v>
      </c>
      <c r="D5103" s="42"/>
    </row>
    <row r="5104" spans="2:4" ht="16" thickBot="1" x14ac:dyDescent="0.25">
      <c r="B5104" s="4">
        <v>5099</v>
      </c>
      <c r="C5104" s="10">
        <v>217.57023636918075</v>
      </c>
      <c r="D5104" s="42"/>
    </row>
    <row r="5105" spans="2:4" ht="16" thickBot="1" x14ac:dyDescent="0.25">
      <c r="B5105" s="5">
        <v>5100</v>
      </c>
      <c r="C5105" s="11">
        <v>153.6320812340951</v>
      </c>
      <c r="D5105" s="42"/>
    </row>
    <row r="5106" spans="2:4" ht="16" thickBot="1" x14ac:dyDescent="0.25">
      <c r="B5106" s="4">
        <v>5101</v>
      </c>
      <c r="C5106" s="10">
        <v>239.43216833713862</v>
      </c>
      <c r="D5106" s="42"/>
    </row>
    <row r="5107" spans="2:4" ht="16" thickBot="1" x14ac:dyDescent="0.25">
      <c r="B5107" s="5">
        <v>5102</v>
      </c>
      <c r="C5107" s="11">
        <v>153.12741880059087</v>
      </c>
      <c r="D5107" s="42"/>
    </row>
    <row r="5108" spans="2:4" ht="16" thickBot="1" x14ac:dyDescent="0.25">
      <c r="B5108" s="4">
        <v>5103</v>
      </c>
      <c r="C5108" s="10">
        <v>399.01055894204154</v>
      </c>
      <c r="D5108" s="42"/>
    </row>
    <row r="5109" spans="2:4" ht="16" thickBot="1" x14ac:dyDescent="0.25">
      <c r="B5109" s="5">
        <v>5104</v>
      </c>
      <c r="C5109" s="11">
        <v>284.94421595906323</v>
      </c>
      <c r="D5109" s="42"/>
    </row>
    <row r="5110" spans="2:4" ht="16" thickBot="1" x14ac:dyDescent="0.25">
      <c r="B5110" s="4">
        <v>5105</v>
      </c>
      <c r="C5110" s="10">
        <v>117.33322303513431</v>
      </c>
      <c r="D5110" s="42"/>
    </row>
    <row r="5111" spans="2:4" ht="16" thickBot="1" x14ac:dyDescent="0.25">
      <c r="B5111" s="5">
        <v>5106</v>
      </c>
      <c r="C5111" s="11">
        <v>329.14292752918914</v>
      </c>
      <c r="D5111" s="42"/>
    </row>
    <row r="5112" spans="2:4" ht="16" thickBot="1" x14ac:dyDescent="0.25">
      <c r="B5112" s="4">
        <v>5107</v>
      </c>
      <c r="C5112" s="10">
        <v>388.89538784069805</v>
      </c>
      <c r="D5112" s="42"/>
    </row>
    <row r="5113" spans="2:4" ht="16" thickBot="1" x14ac:dyDescent="0.25">
      <c r="B5113" s="5">
        <v>5108</v>
      </c>
      <c r="C5113" s="11">
        <v>148.02100528070926</v>
      </c>
      <c r="D5113" s="42"/>
    </row>
    <row r="5114" spans="2:4" ht="16" thickBot="1" x14ac:dyDescent="0.25">
      <c r="B5114" s="4">
        <v>5109</v>
      </c>
      <c r="C5114" s="10">
        <v>61.861847535894874</v>
      </c>
      <c r="D5114" s="42"/>
    </row>
    <row r="5115" spans="2:4" ht="16" thickBot="1" x14ac:dyDescent="0.25">
      <c r="B5115" s="5">
        <v>5110</v>
      </c>
      <c r="C5115" s="11">
        <v>292.96535613707255</v>
      </c>
      <c r="D5115" s="42"/>
    </row>
    <row r="5116" spans="2:4" ht="16" thickBot="1" x14ac:dyDescent="0.25">
      <c r="B5116" s="4">
        <v>5111</v>
      </c>
      <c r="C5116" s="10">
        <v>99.622057362401321</v>
      </c>
      <c r="D5116" s="42"/>
    </row>
    <row r="5117" spans="2:4" ht="16" thickBot="1" x14ac:dyDescent="0.25">
      <c r="B5117" s="5">
        <v>5112</v>
      </c>
      <c r="C5117" s="11">
        <v>385.53880421074319</v>
      </c>
      <c r="D5117" s="42"/>
    </row>
    <row r="5118" spans="2:4" ht="16" thickBot="1" x14ac:dyDescent="0.25">
      <c r="B5118" s="4">
        <v>5113</v>
      </c>
      <c r="C5118" s="10">
        <v>56.150197565509075</v>
      </c>
      <c r="D5118" s="42"/>
    </row>
    <row r="5119" spans="2:4" ht="16" thickBot="1" x14ac:dyDescent="0.25">
      <c r="B5119" s="5">
        <v>5114</v>
      </c>
      <c r="C5119" s="11">
        <v>246.8744754706934</v>
      </c>
      <c r="D5119" s="42"/>
    </row>
    <row r="5120" spans="2:4" ht="16" thickBot="1" x14ac:dyDescent="0.25">
      <c r="B5120" s="4">
        <v>5115</v>
      </c>
      <c r="C5120" s="10">
        <v>454.43551852427885</v>
      </c>
      <c r="D5120" s="42"/>
    </row>
    <row r="5121" spans="2:4" ht="16" thickBot="1" x14ac:dyDescent="0.25">
      <c r="B5121" s="5">
        <v>5116</v>
      </c>
      <c r="C5121" s="11">
        <v>360.11721303452583</v>
      </c>
      <c r="D5121" s="42"/>
    </row>
    <row r="5122" spans="2:4" ht="16" thickBot="1" x14ac:dyDescent="0.25">
      <c r="B5122" s="4">
        <v>5117</v>
      </c>
      <c r="C5122" s="10">
        <v>324.86189669659166</v>
      </c>
      <c r="D5122" s="42"/>
    </row>
    <row r="5123" spans="2:4" ht="16" thickBot="1" x14ac:dyDescent="0.25">
      <c r="B5123" s="5">
        <v>5118</v>
      </c>
      <c r="C5123" s="11">
        <v>354.84357942486406</v>
      </c>
      <c r="D5123" s="42"/>
    </row>
    <row r="5124" spans="2:4" ht="16" thickBot="1" x14ac:dyDescent="0.25">
      <c r="B5124" s="4">
        <v>5119</v>
      </c>
      <c r="C5124" s="10">
        <v>478.50915371501668</v>
      </c>
      <c r="D5124" s="42"/>
    </row>
    <row r="5125" spans="2:4" ht="16" thickBot="1" x14ac:dyDescent="0.25">
      <c r="B5125" s="5">
        <v>5120</v>
      </c>
      <c r="C5125" s="11">
        <v>516.28530949661672</v>
      </c>
      <c r="D5125" s="42"/>
    </row>
    <row r="5126" spans="2:4" ht="16" thickBot="1" x14ac:dyDescent="0.25">
      <c r="B5126" s="4">
        <v>5121</v>
      </c>
      <c r="C5126" s="10">
        <v>261.29821646113589</v>
      </c>
      <c r="D5126" s="42"/>
    </row>
    <row r="5127" spans="2:4" ht="16" thickBot="1" x14ac:dyDescent="0.25">
      <c r="B5127" s="5">
        <v>5122</v>
      </c>
      <c r="C5127" s="11">
        <v>192.13510589758747</v>
      </c>
      <c r="D5127" s="42"/>
    </row>
    <row r="5128" spans="2:4" ht="16" thickBot="1" x14ac:dyDescent="0.25">
      <c r="B5128" s="4">
        <v>5123</v>
      </c>
      <c r="C5128" s="10">
        <v>483.48122918464134</v>
      </c>
      <c r="D5128" s="42"/>
    </row>
    <row r="5129" spans="2:4" ht="16" thickBot="1" x14ac:dyDescent="0.25">
      <c r="B5129" s="5">
        <v>5124</v>
      </c>
      <c r="C5129" s="11">
        <v>223.4882341904956</v>
      </c>
      <c r="D5129" s="42"/>
    </row>
    <row r="5130" spans="2:4" ht="16" thickBot="1" x14ac:dyDescent="0.25">
      <c r="B5130" s="4">
        <v>5125</v>
      </c>
      <c r="C5130" s="10">
        <v>443.90357844329367</v>
      </c>
      <c r="D5130" s="42"/>
    </row>
    <row r="5131" spans="2:4" ht="16" thickBot="1" x14ac:dyDescent="0.25">
      <c r="B5131" s="5">
        <v>5126</v>
      </c>
      <c r="C5131" s="11">
        <v>152.85719509336869</v>
      </c>
      <c r="D5131" s="42"/>
    </row>
    <row r="5132" spans="2:4" ht="16" thickBot="1" x14ac:dyDescent="0.25">
      <c r="B5132" s="4">
        <v>5127</v>
      </c>
      <c r="C5132" s="10">
        <v>309.27165919753674</v>
      </c>
      <c r="D5132" s="42"/>
    </row>
    <row r="5133" spans="2:4" ht="16" thickBot="1" x14ac:dyDescent="0.25">
      <c r="B5133" s="5">
        <v>5128</v>
      </c>
      <c r="C5133" s="11">
        <v>236.06951437036287</v>
      </c>
      <c r="D5133" s="42"/>
    </row>
    <row r="5134" spans="2:4" ht="16" thickBot="1" x14ac:dyDescent="0.25">
      <c r="B5134" s="4">
        <v>5129</v>
      </c>
      <c r="C5134" s="10">
        <v>130.56059867925055</v>
      </c>
      <c r="D5134" s="42"/>
    </row>
    <row r="5135" spans="2:4" ht="16" thickBot="1" x14ac:dyDescent="0.25">
      <c r="B5135" s="5">
        <v>5130</v>
      </c>
      <c r="C5135" s="11">
        <v>221.06400414573406</v>
      </c>
      <c r="D5135" s="42"/>
    </row>
    <row r="5136" spans="2:4" ht="16" thickBot="1" x14ac:dyDescent="0.25">
      <c r="B5136" s="4">
        <v>5131</v>
      </c>
      <c r="C5136" s="10">
        <v>236.28093124978736</v>
      </c>
      <c r="D5136" s="42"/>
    </row>
    <row r="5137" spans="2:4" ht="16" thickBot="1" x14ac:dyDescent="0.25">
      <c r="B5137" s="5">
        <v>5132</v>
      </c>
      <c r="C5137" s="11">
        <v>213.49277260131075</v>
      </c>
      <c r="D5137" s="42"/>
    </row>
    <row r="5138" spans="2:4" ht="16" thickBot="1" x14ac:dyDescent="0.25">
      <c r="B5138" s="4">
        <v>5133</v>
      </c>
      <c r="C5138" s="10">
        <v>295.68131155307958</v>
      </c>
      <c r="D5138" s="42"/>
    </row>
    <row r="5139" spans="2:4" ht="16" thickBot="1" x14ac:dyDescent="0.25">
      <c r="B5139" s="5">
        <v>5134</v>
      </c>
      <c r="C5139" s="11">
        <v>470.93905921484935</v>
      </c>
      <c r="D5139" s="42"/>
    </row>
    <row r="5140" spans="2:4" ht="16" thickBot="1" x14ac:dyDescent="0.25">
      <c r="B5140" s="4">
        <v>5135</v>
      </c>
      <c r="C5140" s="10">
        <v>140.85626834947612</v>
      </c>
      <c r="D5140" s="42"/>
    </row>
    <row r="5141" spans="2:4" ht="16" thickBot="1" x14ac:dyDescent="0.25">
      <c r="B5141" s="5">
        <v>5136</v>
      </c>
      <c r="C5141" s="11">
        <v>283.08025200902603</v>
      </c>
      <c r="D5141" s="42"/>
    </row>
    <row r="5142" spans="2:4" ht="16" thickBot="1" x14ac:dyDescent="0.25">
      <c r="B5142" s="4">
        <v>5137</v>
      </c>
      <c r="C5142" s="10">
        <v>773.20436670080301</v>
      </c>
      <c r="D5142" s="42"/>
    </row>
    <row r="5143" spans="2:4" ht="16" thickBot="1" x14ac:dyDescent="0.25">
      <c r="B5143" s="5">
        <v>5138</v>
      </c>
      <c r="C5143" s="11">
        <v>178.36151383234701</v>
      </c>
      <c r="D5143" s="42"/>
    </row>
    <row r="5144" spans="2:4" ht="16" thickBot="1" x14ac:dyDescent="0.25">
      <c r="B5144" s="4">
        <v>5139</v>
      </c>
      <c r="C5144" s="10">
        <v>220.73005831523997</v>
      </c>
      <c r="D5144" s="42"/>
    </row>
    <row r="5145" spans="2:4" ht="16" thickBot="1" x14ac:dyDescent="0.25">
      <c r="B5145" s="5">
        <v>5140</v>
      </c>
      <c r="C5145" s="11">
        <v>199.41594758834788</v>
      </c>
      <c r="D5145" s="42"/>
    </row>
    <row r="5146" spans="2:4" ht="16" thickBot="1" x14ac:dyDescent="0.25">
      <c r="B5146" s="4">
        <v>5141</v>
      </c>
      <c r="C5146" s="10">
        <v>169.45382009192673</v>
      </c>
      <c r="D5146" s="42"/>
    </row>
    <row r="5147" spans="2:4" ht="16" thickBot="1" x14ac:dyDescent="0.25">
      <c r="B5147" s="5">
        <v>5142</v>
      </c>
      <c r="C5147" s="11">
        <v>170.41971690436768</v>
      </c>
      <c r="D5147" s="42"/>
    </row>
    <row r="5148" spans="2:4" ht="16" thickBot="1" x14ac:dyDescent="0.25">
      <c r="B5148" s="4">
        <v>5143</v>
      </c>
      <c r="C5148" s="10">
        <v>582.33837554467812</v>
      </c>
      <c r="D5148" s="42"/>
    </row>
    <row r="5149" spans="2:4" ht="16" thickBot="1" x14ac:dyDescent="0.25">
      <c r="B5149" s="5">
        <v>5144</v>
      </c>
      <c r="C5149" s="11">
        <v>151.31744966605041</v>
      </c>
      <c r="D5149" s="42"/>
    </row>
    <row r="5150" spans="2:4" ht="16" thickBot="1" x14ac:dyDescent="0.25">
      <c r="B5150" s="4">
        <v>5145</v>
      </c>
      <c r="C5150" s="10">
        <v>336.20955341749919</v>
      </c>
      <c r="D5150" s="42"/>
    </row>
    <row r="5151" spans="2:4" ht="16" thickBot="1" x14ac:dyDescent="0.25">
      <c r="B5151" s="5">
        <v>5146</v>
      </c>
      <c r="C5151" s="11">
        <v>297.57156434128592</v>
      </c>
      <c r="D5151" s="42"/>
    </row>
    <row r="5152" spans="2:4" ht="16" thickBot="1" x14ac:dyDescent="0.25">
      <c r="B5152" s="4">
        <v>5147</v>
      </c>
      <c r="C5152" s="10">
        <v>139.3026686649539</v>
      </c>
      <c r="D5152" s="42"/>
    </row>
    <row r="5153" spans="2:4" ht="16" thickBot="1" x14ac:dyDescent="0.25">
      <c r="B5153" s="5">
        <v>5148</v>
      </c>
      <c r="C5153" s="11">
        <v>316.39375730479026</v>
      </c>
      <c r="D5153" s="42"/>
    </row>
    <row r="5154" spans="2:4" ht="16" thickBot="1" x14ac:dyDescent="0.25">
      <c r="B5154" s="4">
        <v>5149</v>
      </c>
      <c r="C5154" s="10">
        <v>216.13591317641567</v>
      </c>
      <c r="D5154" s="42"/>
    </row>
    <row r="5155" spans="2:4" ht="16" thickBot="1" x14ac:dyDescent="0.25">
      <c r="B5155" s="5">
        <v>5150</v>
      </c>
      <c r="C5155" s="11">
        <v>126.42003502467303</v>
      </c>
      <c r="D5155" s="42"/>
    </row>
    <row r="5156" spans="2:4" ht="16" thickBot="1" x14ac:dyDescent="0.25">
      <c r="B5156" s="4">
        <v>5151</v>
      </c>
      <c r="C5156" s="10">
        <v>188.54996149195858</v>
      </c>
      <c r="D5156" s="42"/>
    </row>
    <row r="5157" spans="2:4" ht="16" thickBot="1" x14ac:dyDescent="0.25">
      <c r="B5157" s="5">
        <v>5152</v>
      </c>
      <c r="C5157" s="11">
        <v>475.01152906005746</v>
      </c>
      <c r="D5157" s="42"/>
    </row>
    <row r="5158" spans="2:4" ht="16" thickBot="1" x14ac:dyDescent="0.25">
      <c r="B5158" s="4">
        <v>5153</v>
      </c>
      <c r="C5158" s="10">
        <v>343.02483518868706</v>
      </c>
      <c r="D5158" s="42"/>
    </row>
    <row r="5159" spans="2:4" ht="16" thickBot="1" x14ac:dyDescent="0.25">
      <c r="B5159" s="5">
        <v>5154</v>
      </c>
      <c r="C5159" s="11">
        <v>181.78567562611718</v>
      </c>
      <c r="D5159" s="42"/>
    </row>
    <row r="5160" spans="2:4" ht="16" thickBot="1" x14ac:dyDescent="0.25">
      <c r="B5160" s="4">
        <v>5155</v>
      </c>
      <c r="C5160" s="10">
        <v>754.21887341244462</v>
      </c>
      <c r="D5160" s="42"/>
    </row>
    <row r="5161" spans="2:4" ht="16" thickBot="1" x14ac:dyDescent="0.25">
      <c r="B5161" s="5">
        <v>5156</v>
      </c>
      <c r="C5161" s="11">
        <v>48.467436917322523</v>
      </c>
      <c r="D5161" s="42"/>
    </row>
    <row r="5162" spans="2:4" ht="16" thickBot="1" x14ac:dyDescent="0.25">
      <c r="B5162" s="4">
        <v>5157</v>
      </c>
      <c r="C5162" s="10">
        <v>50.674819249364489</v>
      </c>
      <c r="D5162" s="42"/>
    </row>
    <row r="5163" spans="2:4" ht="16" thickBot="1" x14ac:dyDescent="0.25">
      <c r="B5163" s="5">
        <v>5158</v>
      </c>
      <c r="C5163" s="11">
        <v>273.43260791595549</v>
      </c>
      <c r="D5163" s="42"/>
    </row>
    <row r="5164" spans="2:4" ht="16" thickBot="1" x14ac:dyDescent="0.25">
      <c r="B5164" s="4">
        <v>5159</v>
      </c>
      <c r="C5164" s="10">
        <v>271.71019243911411</v>
      </c>
      <c r="D5164" s="42"/>
    </row>
    <row r="5165" spans="2:4" ht="16" thickBot="1" x14ac:dyDescent="0.25">
      <c r="B5165" s="5">
        <v>5160</v>
      </c>
      <c r="C5165" s="11">
        <v>213.25545270641831</v>
      </c>
      <c r="D5165" s="42"/>
    </row>
    <row r="5166" spans="2:4" ht="16" thickBot="1" x14ac:dyDescent="0.25">
      <c r="B5166" s="4">
        <v>5161</v>
      </c>
      <c r="C5166" s="10">
        <v>282.44754838848593</v>
      </c>
      <c r="D5166" s="42"/>
    </row>
    <row r="5167" spans="2:4" ht="16" thickBot="1" x14ac:dyDescent="0.25">
      <c r="B5167" s="5">
        <v>5162</v>
      </c>
      <c r="C5167" s="11">
        <v>301.59997629988879</v>
      </c>
      <c r="D5167" s="42"/>
    </row>
    <row r="5168" spans="2:4" ht="16" thickBot="1" x14ac:dyDescent="0.25">
      <c r="B5168" s="4">
        <v>5163</v>
      </c>
      <c r="C5168" s="10">
        <v>330.9576522302533</v>
      </c>
      <c r="D5168" s="42"/>
    </row>
    <row r="5169" spans="2:4" ht="16" thickBot="1" x14ac:dyDescent="0.25">
      <c r="B5169" s="5">
        <v>5164</v>
      </c>
      <c r="C5169" s="11">
        <v>402.86795142271558</v>
      </c>
      <c r="D5169" s="42"/>
    </row>
    <row r="5170" spans="2:4" ht="16" thickBot="1" x14ac:dyDescent="0.25">
      <c r="B5170" s="4">
        <v>5165</v>
      </c>
      <c r="C5170" s="10">
        <v>379.57044053695722</v>
      </c>
      <c r="D5170" s="42"/>
    </row>
    <row r="5171" spans="2:4" ht="16" thickBot="1" x14ac:dyDescent="0.25">
      <c r="B5171" s="5">
        <v>5166</v>
      </c>
      <c r="C5171" s="11">
        <v>249.36516191394307</v>
      </c>
      <c r="D5171" s="42"/>
    </row>
    <row r="5172" spans="2:4" ht="16" thickBot="1" x14ac:dyDescent="0.25">
      <c r="B5172" s="4">
        <v>5167</v>
      </c>
      <c r="C5172" s="10">
        <v>387.34816546238631</v>
      </c>
      <c r="D5172" s="42"/>
    </row>
    <row r="5173" spans="2:4" ht="16" thickBot="1" x14ac:dyDescent="0.25">
      <c r="B5173" s="5">
        <v>5168</v>
      </c>
      <c r="C5173" s="11">
        <v>178.03031514729486</v>
      </c>
      <c r="D5173" s="42"/>
    </row>
    <row r="5174" spans="2:4" ht="16" thickBot="1" x14ac:dyDescent="0.25">
      <c r="B5174" s="4">
        <v>5169</v>
      </c>
      <c r="C5174" s="10">
        <v>431.51042553004288</v>
      </c>
      <c r="D5174" s="42"/>
    </row>
    <row r="5175" spans="2:4" ht="16" thickBot="1" x14ac:dyDescent="0.25">
      <c r="B5175" s="5">
        <v>5170</v>
      </c>
      <c r="C5175" s="11">
        <v>94.542219631860462</v>
      </c>
      <c r="D5175" s="42"/>
    </row>
    <row r="5176" spans="2:4" ht="16" thickBot="1" x14ac:dyDescent="0.25">
      <c r="B5176" s="4">
        <v>5171</v>
      </c>
      <c r="C5176" s="10">
        <v>144.08347379505275</v>
      </c>
      <c r="D5176" s="42"/>
    </row>
    <row r="5177" spans="2:4" ht="16" thickBot="1" x14ac:dyDescent="0.25">
      <c r="B5177" s="5">
        <v>5172</v>
      </c>
      <c r="C5177" s="11">
        <v>229.43972076651218</v>
      </c>
      <c r="D5177" s="42"/>
    </row>
    <row r="5178" spans="2:4" ht="16" thickBot="1" x14ac:dyDescent="0.25">
      <c r="B5178" s="4">
        <v>5173</v>
      </c>
      <c r="C5178" s="10">
        <v>310.88990056370767</v>
      </c>
      <c r="D5178" s="42"/>
    </row>
    <row r="5179" spans="2:4" ht="16" thickBot="1" x14ac:dyDescent="0.25">
      <c r="B5179" s="5">
        <v>5174</v>
      </c>
      <c r="C5179" s="11">
        <v>110.94499907412472</v>
      </c>
      <c r="D5179" s="42"/>
    </row>
    <row r="5180" spans="2:4" ht="16" thickBot="1" x14ac:dyDescent="0.25">
      <c r="B5180" s="4">
        <v>5175</v>
      </c>
      <c r="C5180" s="10">
        <v>137.5077184006129</v>
      </c>
      <c r="D5180" s="42"/>
    </row>
    <row r="5181" spans="2:4" ht="16" thickBot="1" x14ac:dyDescent="0.25">
      <c r="B5181" s="5">
        <v>5176</v>
      </c>
      <c r="C5181" s="11">
        <v>188.08068296844917</v>
      </c>
      <c r="D5181" s="42"/>
    </row>
    <row r="5182" spans="2:4" ht="16" thickBot="1" x14ac:dyDescent="0.25">
      <c r="B5182" s="4">
        <v>5177</v>
      </c>
      <c r="C5182" s="10">
        <v>142.95136469724463</v>
      </c>
      <c r="D5182" s="42"/>
    </row>
    <row r="5183" spans="2:4" ht="16" thickBot="1" x14ac:dyDescent="0.25">
      <c r="B5183" s="5">
        <v>5178</v>
      </c>
      <c r="C5183" s="11">
        <v>103.98931399047224</v>
      </c>
      <c r="D5183" s="42"/>
    </row>
    <row r="5184" spans="2:4" ht="16" thickBot="1" x14ac:dyDescent="0.25">
      <c r="B5184" s="4">
        <v>5179</v>
      </c>
      <c r="C5184" s="10">
        <v>68.57052928945815</v>
      </c>
      <c r="D5184" s="42"/>
    </row>
    <row r="5185" spans="2:4" ht="16" thickBot="1" x14ac:dyDescent="0.25">
      <c r="B5185" s="5">
        <v>5180</v>
      </c>
      <c r="C5185" s="11">
        <v>151.09724871977707</v>
      </c>
      <c r="D5185" s="42"/>
    </row>
    <row r="5186" spans="2:4" ht="16" thickBot="1" x14ac:dyDescent="0.25">
      <c r="B5186" s="4">
        <v>5181</v>
      </c>
      <c r="C5186" s="10">
        <v>334.43203730826616</v>
      </c>
      <c r="D5186" s="42"/>
    </row>
    <row r="5187" spans="2:4" ht="16" thickBot="1" x14ac:dyDescent="0.25">
      <c r="B5187" s="5">
        <v>5182</v>
      </c>
      <c r="C5187" s="11">
        <v>35.859927298791817</v>
      </c>
      <c r="D5187" s="42"/>
    </row>
    <row r="5188" spans="2:4" ht="16" thickBot="1" x14ac:dyDescent="0.25">
      <c r="B5188" s="4">
        <v>5183</v>
      </c>
      <c r="C5188" s="10">
        <v>719.387515215191</v>
      </c>
      <c r="D5188" s="42"/>
    </row>
    <row r="5189" spans="2:4" ht="16" thickBot="1" x14ac:dyDescent="0.25">
      <c r="B5189" s="5">
        <v>5184</v>
      </c>
      <c r="C5189" s="11">
        <v>338.16554641030342</v>
      </c>
      <c r="D5189" s="42"/>
    </row>
    <row r="5190" spans="2:4" ht="16" thickBot="1" x14ac:dyDescent="0.25">
      <c r="B5190" s="4">
        <v>5185</v>
      </c>
      <c r="C5190" s="10">
        <v>189.61269280356353</v>
      </c>
      <c r="D5190" s="42"/>
    </row>
    <row r="5191" spans="2:4" ht="16" thickBot="1" x14ac:dyDescent="0.25">
      <c r="B5191" s="5">
        <v>5186</v>
      </c>
      <c r="C5191" s="11">
        <v>118.26208603061291</v>
      </c>
      <c r="D5191" s="42"/>
    </row>
    <row r="5192" spans="2:4" ht="16" thickBot="1" x14ac:dyDescent="0.25">
      <c r="B5192" s="4">
        <v>5187</v>
      </c>
      <c r="C5192" s="10">
        <v>280.009424256194</v>
      </c>
      <c r="D5192" s="42"/>
    </row>
    <row r="5193" spans="2:4" ht="16" thickBot="1" x14ac:dyDescent="0.25">
      <c r="B5193" s="5">
        <v>5188</v>
      </c>
      <c r="C5193" s="11">
        <v>631.61418601916569</v>
      </c>
      <c r="D5193" s="42"/>
    </row>
    <row r="5194" spans="2:4" ht="16" thickBot="1" x14ac:dyDescent="0.25">
      <c r="B5194" s="4">
        <v>5189</v>
      </c>
      <c r="C5194" s="10">
        <v>292.09717607643125</v>
      </c>
      <c r="D5194" s="42"/>
    </row>
    <row r="5195" spans="2:4" ht="16" thickBot="1" x14ac:dyDescent="0.25">
      <c r="B5195" s="5">
        <v>5190</v>
      </c>
      <c r="C5195" s="11">
        <v>396.87469262356888</v>
      </c>
      <c r="D5195" s="42"/>
    </row>
    <row r="5196" spans="2:4" ht="16" thickBot="1" x14ac:dyDescent="0.25">
      <c r="B5196" s="4">
        <v>5191</v>
      </c>
      <c r="C5196" s="10">
        <v>462.45723279050185</v>
      </c>
      <c r="D5196" s="42"/>
    </row>
    <row r="5197" spans="2:4" ht="16" thickBot="1" x14ac:dyDescent="0.25">
      <c r="B5197" s="5">
        <v>5192</v>
      </c>
      <c r="C5197" s="11">
        <v>441.60274538243664</v>
      </c>
      <c r="D5197" s="42"/>
    </row>
    <row r="5198" spans="2:4" ht="16" thickBot="1" x14ac:dyDescent="0.25">
      <c r="B5198" s="4">
        <v>5193</v>
      </c>
      <c r="C5198" s="10">
        <v>433.15270437553846</v>
      </c>
      <c r="D5198" s="42"/>
    </row>
    <row r="5199" spans="2:4" ht="16" thickBot="1" x14ac:dyDescent="0.25">
      <c r="B5199" s="5">
        <v>5194</v>
      </c>
      <c r="C5199" s="11">
        <v>314.48751027562173</v>
      </c>
      <c r="D5199" s="42"/>
    </row>
    <row r="5200" spans="2:4" ht="16" thickBot="1" x14ac:dyDescent="0.25">
      <c r="B5200" s="4">
        <v>5195</v>
      </c>
      <c r="C5200" s="10">
        <v>20.584500060025889</v>
      </c>
      <c r="D5200" s="42"/>
    </row>
    <row r="5201" spans="2:4" ht="16" thickBot="1" x14ac:dyDescent="0.25">
      <c r="B5201" s="5">
        <v>5196</v>
      </c>
      <c r="C5201" s="11">
        <v>184.30207821004296</v>
      </c>
      <c r="D5201" s="42"/>
    </row>
    <row r="5202" spans="2:4" ht="16" thickBot="1" x14ac:dyDescent="0.25">
      <c r="B5202" s="4">
        <v>5197</v>
      </c>
      <c r="C5202" s="10">
        <v>241.32834204572751</v>
      </c>
      <c r="D5202" s="42"/>
    </row>
    <row r="5203" spans="2:4" ht="16" thickBot="1" x14ac:dyDescent="0.25">
      <c r="B5203" s="5">
        <v>5198</v>
      </c>
      <c r="C5203" s="11">
        <v>377.30503302981651</v>
      </c>
      <c r="D5203" s="42"/>
    </row>
    <row r="5204" spans="2:4" ht="16" thickBot="1" x14ac:dyDescent="0.25">
      <c r="B5204" s="4">
        <v>5199</v>
      </c>
      <c r="C5204" s="10">
        <v>262.36932877651066</v>
      </c>
      <c r="D5204" s="42"/>
    </row>
    <row r="5205" spans="2:4" ht="16" thickBot="1" x14ac:dyDescent="0.25">
      <c r="B5205" s="5">
        <v>5200</v>
      </c>
      <c r="C5205" s="11">
        <v>718.56507660298485</v>
      </c>
      <c r="D5205" s="42"/>
    </row>
    <row r="5206" spans="2:4" ht="16" thickBot="1" x14ac:dyDescent="0.25">
      <c r="B5206" s="4">
        <v>5201</v>
      </c>
      <c r="C5206" s="10">
        <v>274.39910284021369</v>
      </c>
      <c r="D5206" s="42"/>
    </row>
    <row r="5207" spans="2:4" ht="16" thickBot="1" x14ac:dyDescent="0.25">
      <c r="B5207" s="5">
        <v>5202</v>
      </c>
      <c r="C5207" s="11">
        <v>112.02333439674511</v>
      </c>
      <c r="D5207" s="42"/>
    </row>
    <row r="5208" spans="2:4" ht="16" thickBot="1" x14ac:dyDescent="0.25">
      <c r="B5208" s="4">
        <v>5203</v>
      </c>
      <c r="C5208" s="10">
        <v>341.22859562040395</v>
      </c>
      <c r="D5208" s="42"/>
    </row>
    <row r="5209" spans="2:4" ht="16" thickBot="1" x14ac:dyDescent="0.25">
      <c r="B5209" s="5">
        <v>5204</v>
      </c>
      <c r="C5209" s="11">
        <v>456.04266891482928</v>
      </c>
      <c r="D5209" s="42"/>
    </row>
    <row r="5210" spans="2:4" ht="16" thickBot="1" x14ac:dyDescent="0.25">
      <c r="B5210" s="4">
        <v>5205</v>
      </c>
      <c r="C5210" s="10">
        <v>491.40685413746286</v>
      </c>
      <c r="D5210" s="42"/>
    </row>
    <row r="5211" spans="2:4" ht="16" thickBot="1" x14ac:dyDescent="0.25">
      <c r="B5211" s="5">
        <v>5206</v>
      </c>
      <c r="C5211" s="11">
        <v>89.531441598850847</v>
      </c>
      <c r="D5211" s="42"/>
    </row>
    <row r="5212" spans="2:4" ht="16" thickBot="1" x14ac:dyDescent="0.25">
      <c r="B5212" s="4">
        <v>5207</v>
      </c>
      <c r="C5212" s="10">
        <v>189.75322429251747</v>
      </c>
      <c r="D5212" s="42"/>
    </row>
    <row r="5213" spans="2:4" ht="16" thickBot="1" x14ac:dyDescent="0.25">
      <c r="B5213" s="5">
        <v>5208</v>
      </c>
      <c r="C5213" s="11">
        <v>358.74353328080389</v>
      </c>
      <c r="D5213" s="42"/>
    </row>
    <row r="5214" spans="2:4" ht="16" thickBot="1" x14ac:dyDescent="0.25">
      <c r="B5214" s="4">
        <v>5209</v>
      </c>
      <c r="C5214" s="10">
        <v>42.586742840767329</v>
      </c>
      <c r="D5214" s="42"/>
    </row>
    <row r="5215" spans="2:4" ht="16" thickBot="1" x14ac:dyDescent="0.25">
      <c r="B5215" s="5">
        <v>5210</v>
      </c>
      <c r="C5215" s="11">
        <v>100.72536751710106</v>
      </c>
      <c r="D5215" s="42"/>
    </row>
    <row r="5216" spans="2:4" ht="16" thickBot="1" x14ac:dyDescent="0.25">
      <c r="B5216" s="4">
        <v>5211</v>
      </c>
      <c r="C5216" s="10">
        <v>146.8889727890348</v>
      </c>
      <c r="D5216" s="42"/>
    </row>
    <row r="5217" spans="2:4" ht="16" thickBot="1" x14ac:dyDescent="0.25">
      <c r="B5217" s="5">
        <v>5212</v>
      </c>
      <c r="C5217" s="11">
        <v>128.99672561510104</v>
      </c>
      <c r="D5217" s="42"/>
    </row>
    <row r="5218" spans="2:4" ht="16" thickBot="1" x14ac:dyDescent="0.25">
      <c r="B5218" s="4">
        <v>5213</v>
      </c>
      <c r="C5218" s="10">
        <v>583.89390593925555</v>
      </c>
      <c r="D5218" s="42"/>
    </row>
    <row r="5219" spans="2:4" ht="16" thickBot="1" x14ac:dyDescent="0.25">
      <c r="B5219" s="5">
        <v>5214</v>
      </c>
      <c r="C5219" s="11">
        <v>595.73652027288756</v>
      </c>
      <c r="D5219" s="42"/>
    </row>
    <row r="5220" spans="2:4" ht="16" thickBot="1" x14ac:dyDescent="0.25">
      <c r="B5220" s="4">
        <v>5215</v>
      </c>
      <c r="C5220" s="10">
        <v>337.31441863691185</v>
      </c>
      <c r="D5220" s="42"/>
    </row>
    <row r="5221" spans="2:4" ht="16" thickBot="1" x14ac:dyDescent="0.25">
      <c r="B5221" s="5">
        <v>5216</v>
      </c>
      <c r="C5221" s="11">
        <v>254.86040389940797</v>
      </c>
      <c r="D5221" s="42"/>
    </row>
    <row r="5222" spans="2:4" ht="16" thickBot="1" x14ac:dyDescent="0.25">
      <c r="B5222" s="4">
        <v>5217</v>
      </c>
      <c r="C5222" s="10">
        <v>94.318624948711928</v>
      </c>
      <c r="D5222" s="42"/>
    </row>
    <row r="5223" spans="2:4" ht="16" thickBot="1" x14ac:dyDescent="0.25">
      <c r="B5223" s="5">
        <v>5218</v>
      </c>
      <c r="C5223" s="11">
        <v>142.65420709998753</v>
      </c>
      <c r="D5223" s="42"/>
    </row>
    <row r="5224" spans="2:4" ht="16" thickBot="1" x14ac:dyDescent="0.25">
      <c r="B5224" s="4">
        <v>5219</v>
      </c>
      <c r="C5224" s="10">
        <v>810.27973831496422</v>
      </c>
      <c r="D5224" s="42"/>
    </row>
    <row r="5225" spans="2:4" ht="16" thickBot="1" x14ac:dyDescent="0.25">
      <c r="B5225" s="5">
        <v>5220</v>
      </c>
      <c r="C5225" s="11">
        <v>281.00649126312487</v>
      </c>
      <c r="D5225" s="42"/>
    </row>
    <row r="5226" spans="2:4" ht="16" thickBot="1" x14ac:dyDescent="0.25">
      <c r="B5226" s="4">
        <v>5221</v>
      </c>
      <c r="C5226" s="10">
        <v>150.556742669019</v>
      </c>
      <c r="D5226" s="42"/>
    </row>
    <row r="5227" spans="2:4" ht="16" thickBot="1" x14ac:dyDescent="0.25">
      <c r="B5227" s="5">
        <v>5222</v>
      </c>
      <c r="C5227" s="11">
        <v>200.14358313769611</v>
      </c>
      <c r="D5227" s="42"/>
    </row>
    <row r="5228" spans="2:4" ht="16" thickBot="1" x14ac:dyDescent="0.25">
      <c r="B5228" s="4">
        <v>5223</v>
      </c>
      <c r="C5228" s="10">
        <v>98.280624475228109</v>
      </c>
      <c r="D5228" s="42"/>
    </row>
    <row r="5229" spans="2:4" ht="16" thickBot="1" x14ac:dyDescent="0.25">
      <c r="B5229" s="5">
        <v>5224</v>
      </c>
      <c r="C5229" s="11">
        <v>381.45341160908657</v>
      </c>
      <c r="D5229" s="42"/>
    </row>
    <row r="5230" spans="2:4" ht="16" thickBot="1" x14ac:dyDescent="0.25">
      <c r="B5230" s="4">
        <v>5225</v>
      </c>
      <c r="C5230" s="10">
        <v>393.0878781588915</v>
      </c>
      <c r="D5230" s="42"/>
    </row>
    <row r="5231" spans="2:4" ht="16" thickBot="1" x14ac:dyDescent="0.25">
      <c r="B5231" s="5">
        <v>5226</v>
      </c>
      <c r="C5231" s="11">
        <v>307.56391331285437</v>
      </c>
      <c r="D5231" s="42"/>
    </row>
    <row r="5232" spans="2:4" ht="16" thickBot="1" x14ac:dyDescent="0.25">
      <c r="B5232" s="4">
        <v>5227</v>
      </c>
      <c r="C5232" s="10">
        <v>499.59676181143629</v>
      </c>
      <c r="D5232" s="42"/>
    </row>
    <row r="5233" spans="2:4" ht="16" thickBot="1" x14ac:dyDescent="0.25">
      <c r="B5233" s="5">
        <v>5228</v>
      </c>
      <c r="C5233" s="11">
        <v>138.88400151009512</v>
      </c>
      <c r="D5233" s="42"/>
    </row>
    <row r="5234" spans="2:4" ht="16" thickBot="1" x14ac:dyDescent="0.25">
      <c r="B5234" s="4">
        <v>5229</v>
      </c>
      <c r="C5234" s="10">
        <v>373.85469615945971</v>
      </c>
      <c r="D5234" s="42"/>
    </row>
    <row r="5235" spans="2:4" ht="16" thickBot="1" x14ac:dyDescent="0.25">
      <c r="B5235" s="5">
        <v>5230</v>
      </c>
      <c r="C5235" s="11">
        <v>127.35003984622543</v>
      </c>
      <c r="D5235" s="42"/>
    </row>
    <row r="5236" spans="2:4" ht="16" thickBot="1" x14ac:dyDescent="0.25">
      <c r="B5236" s="4">
        <v>5231</v>
      </c>
      <c r="C5236" s="10">
        <v>150.46474729399313</v>
      </c>
      <c r="D5236" s="42"/>
    </row>
    <row r="5237" spans="2:4" ht="16" thickBot="1" x14ac:dyDescent="0.25">
      <c r="B5237" s="5">
        <v>5232</v>
      </c>
      <c r="C5237" s="11">
        <v>136.56987548325634</v>
      </c>
      <c r="D5237" s="42"/>
    </row>
    <row r="5238" spans="2:4" ht="16" thickBot="1" x14ac:dyDescent="0.25">
      <c r="B5238" s="4">
        <v>5233</v>
      </c>
      <c r="C5238" s="10">
        <v>217.64269850714041</v>
      </c>
      <c r="D5238" s="42"/>
    </row>
    <row r="5239" spans="2:4" ht="16" thickBot="1" x14ac:dyDescent="0.25">
      <c r="B5239" s="5">
        <v>5234</v>
      </c>
      <c r="C5239" s="11">
        <v>104.19481336204939</v>
      </c>
      <c r="D5239" s="42"/>
    </row>
    <row r="5240" spans="2:4" ht="16" thickBot="1" x14ac:dyDescent="0.25">
      <c r="B5240" s="4">
        <v>5235</v>
      </c>
      <c r="C5240" s="10">
        <v>384.51898491573058</v>
      </c>
      <c r="D5240" s="42"/>
    </row>
    <row r="5241" spans="2:4" ht="16" thickBot="1" x14ac:dyDescent="0.25">
      <c r="B5241" s="5">
        <v>5236</v>
      </c>
      <c r="C5241" s="11">
        <v>93.630408668621001</v>
      </c>
      <c r="D5241" s="42"/>
    </row>
    <row r="5242" spans="2:4" ht="16" thickBot="1" x14ac:dyDescent="0.25">
      <c r="B5242" s="4">
        <v>5237</v>
      </c>
      <c r="C5242" s="10">
        <v>328.5666495562233</v>
      </c>
      <c r="D5242" s="42"/>
    </row>
    <row r="5243" spans="2:4" ht="16" thickBot="1" x14ac:dyDescent="0.25">
      <c r="B5243" s="5">
        <v>5238</v>
      </c>
      <c r="C5243" s="11">
        <v>188.67421573781192</v>
      </c>
      <c r="D5243" s="42"/>
    </row>
    <row r="5244" spans="2:4" ht="16" thickBot="1" x14ac:dyDescent="0.25">
      <c r="B5244" s="4">
        <v>5239</v>
      </c>
      <c r="C5244" s="10">
        <v>145.53152033138807</v>
      </c>
      <c r="D5244" s="42"/>
    </row>
    <row r="5245" spans="2:4" ht="16" thickBot="1" x14ac:dyDescent="0.25">
      <c r="B5245" s="5">
        <v>5240</v>
      </c>
      <c r="C5245" s="11">
        <v>180.86032695270356</v>
      </c>
      <c r="D5245" s="42"/>
    </row>
    <row r="5246" spans="2:4" ht="16" thickBot="1" x14ac:dyDescent="0.25">
      <c r="B5246" s="4">
        <v>5241</v>
      </c>
      <c r="C5246" s="10">
        <v>282.19538335647906</v>
      </c>
      <c r="D5246" s="42"/>
    </row>
    <row r="5247" spans="2:4" ht="16" thickBot="1" x14ac:dyDescent="0.25">
      <c r="B5247" s="5">
        <v>5242</v>
      </c>
      <c r="C5247" s="11">
        <v>70.881456548853933</v>
      </c>
      <c r="D5247" s="42"/>
    </row>
    <row r="5248" spans="2:4" ht="16" thickBot="1" x14ac:dyDescent="0.25">
      <c r="B5248" s="4">
        <v>5243</v>
      </c>
      <c r="C5248" s="10">
        <v>235.92126239227335</v>
      </c>
      <c r="D5248" s="42"/>
    </row>
    <row r="5249" spans="2:4" ht="16" thickBot="1" x14ac:dyDescent="0.25">
      <c r="B5249" s="5">
        <v>5244</v>
      </c>
      <c r="C5249" s="11">
        <v>221.45546124428543</v>
      </c>
      <c r="D5249" s="42"/>
    </row>
    <row r="5250" spans="2:4" ht="16" thickBot="1" x14ac:dyDescent="0.25">
      <c r="B5250" s="4">
        <v>5245</v>
      </c>
      <c r="C5250" s="10">
        <v>543.75562191133758</v>
      </c>
      <c r="D5250" s="42"/>
    </row>
    <row r="5251" spans="2:4" ht="16" thickBot="1" x14ac:dyDescent="0.25">
      <c r="B5251" s="5">
        <v>5246</v>
      </c>
      <c r="C5251" s="11">
        <v>156.30154909595348</v>
      </c>
      <c r="D5251" s="42"/>
    </row>
    <row r="5252" spans="2:4" ht="16" thickBot="1" x14ac:dyDescent="0.25">
      <c r="B5252" s="4">
        <v>5247</v>
      </c>
      <c r="C5252" s="10">
        <v>204.36519125163073</v>
      </c>
      <c r="D5252" s="42"/>
    </row>
    <row r="5253" spans="2:4" ht="16" thickBot="1" x14ac:dyDescent="0.25">
      <c r="B5253" s="5">
        <v>5248</v>
      </c>
      <c r="C5253" s="11">
        <v>293.65034742927423</v>
      </c>
      <c r="D5253" s="42"/>
    </row>
    <row r="5254" spans="2:4" ht="16" thickBot="1" x14ac:dyDescent="0.25">
      <c r="B5254" s="4">
        <v>5249</v>
      </c>
      <c r="C5254" s="10">
        <v>131.61628563001602</v>
      </c>
      <c r="D5254" s="42"/>
    </row>
    <row r="5255" spans="2:4" ht="16" thickBot="1" x14ac:dyDescent="0.25">
      <c r="B5255" s="5">
        <v>5250</v>
      </c>
      <c r="C5255" s="11">
        <v>382.96995326150903</v>
      </c>
      <c r="D5255" s="42"/>
    </row>
    <row r="5256" spans="2:4" ht="16" thickBot="1" x14ac:dyDescent="0.25">
      <c r="B5256" s="4">
        <v>5251</v>
      </c>
      <c r="C5256" s="10">
        <v>472.78118303914709</v>
      </c>
      <c r="D5256" s="42"/>
    </row>
    <row r="5257" spans="2:4" ht="16" thickBot="1" x14ac:dyDescent="0.25">
      <c r="B5257" s="5">
        <v>5252</v>
      </c>
      <c r="C5257" s="11">
        <v>561.34416837844026</v>
      </c>
      <c r="D5257" s="42"/>
    </row>
    <row r="5258" spans="2:4" ht="16" thickBot="1" x14ac:dyDescent="0.25">
      <c r="B5258" s="4">
        <v>5253</v>
      </c>
      <c r="C5258" s="10">
        <v>97.379297410941561</v>
      </c>
      <c r="D5258" s="42"/>
    </row>
    <row r="5259" spans="2:4" ht="16" thickBot="1" x14ac:dyDescent="0.25">
      <c r="B5259" s="5">
        <v>5254</v>
      </c>
      <c r="C5259" s="11">
        <v>199.97507240079619</v>
      </c>
      <c r="D5259" s="42"/>
    </row>
    <row r="5260" spans="2:4" ht="16" thickBot="1" x14ac:dyDescent="0.25">
      <c r="B5260" s="4">
        <v>5255</v>
      </c>
      <c r="C5260" s="10">
        <v>395.32663819326848</v>
      </c>
      <c r="D5260" s="42"/>
    </row>
    <row r="5261" spans="2:4" ht="16" thickBot="1" x14ac:dyDescent="0.25">
      <c r="B5261" s="5">
        <v>5256</v>
      </c>
      <c r="C5261" s="11">
        <v>84.835205506579257</v>
      </c>
      <c r="D5261" s="42"/>
    </row>
    <row r="5262" spans="2:4" ht="16" thickBot="1" x14ac:dyDescent="0.25">
      <c r="B5262" s="4">
        <v>5257</v>
      </c>
      <c r="C5262" s="10">
        <v>140.69945441647062</v>
      </c>
      <c r="D5262" s="42"/>
    </row>
    <row r="5263" spans="2:4" ht="16" thickBot="1" x14ac:dyDescent="0.25">
      <c r="B5263" s="5">
        <v>5258</v>
      </c>
      <c r="C5263" s="11">
        <v>60.413641097322262</v>
      </c>
      <c r="D5263" s="42"/>
    </row>
    <row r="5264" spans="2:4" ht="16" thickBot="1" x14ac:dyDescent="0.25">
      <c r="B5264" s="4">
        <v>5259</v>
      </c>
      <c r="C5264" s="10">
        <v>428.00389241751606</v>
      </c>
      <c r="D5264" s="42"/>
    </row>
    <row r="5265" spans="2:4" ht="16" thickBot="1" x14ac:dyDescent="0.25">
      <c r="B5265" s="5">
        <v>5260</v>
      </c>
      <c r="C5265" s="11">
        <v>783.75853079969056</v>
      </c>
      <c r="D5265" s="42"/>
    </row>
    <row r="5266" spans="2:4" ht="16" thickBot="1" x14ac:dyDescent="0.25">
      <c r="B5266" s="4">
        <v>5261</v>
      </c>
      <c r="C5266" s="10">
        <v>230.26771711812066</v>
      </c>
      <c r="D5266" s="42"/>
    </row>
    <row r="5267" spans="2:4" ht="16" thickBot="1" x14ac:dyDescent="0.25">
      <c r="B5267" s="5">
        <v>5262</v>
      </c>
      <c r="C5267" s="11">
        <v>151.84732368472436</v>
      </c>
      <c r="D5267" s="42"/>
    </row>
    <row r="5268" spans="2:4" ht="16" thickBot="1" x14ac:dyDescent="0.25">
      <c r="B5268" s="4">
        <v>5263</v>
      </c>
      <c r="C5268" s="10">
        <v>118.45485722065285</v>
      </c>
      <c r="D5268" s="42"/>
    </row>
    <row r="5269" spans="2:4" ht="16" thickBot="1" x14ac:dyDescent="0.25">
      <c r="B5269" s="5">
        <v>5264</v>
      </c>
      <c r="C5269" s="11">
        <v>584.30670096898984</v>
      </c>
      <c r="D5269" s="42"/>
    </row>
    <row r="5270" spans="2:4" ht="16" thickBot="1" x14ac:dyDescent="0.25">
      <c r="B5270" s="4">
        <v>5265</v>
      </c>
      <c r="C5270" s="10">
        <v>156.96507071711352</v>
      </c>
      <c r="D5270" s="42"/>
    </row>
    <row r="5271" spans="2:4" ht="16" thickBot="1" x14ac:dyDescent="0.25">
      <c r="B5271" s="5">
        <v>5266</v>
      </c>
      <c r="C5271" s="11">
        <v>529.2853714508783</v>
      </c>
      <c r="D5271" s="42"/>
    </row>
    <row r="5272" spans="2:4" ht="16" thickBot="1" x14ac:dyDescent="0.25">
      <c r="B5272" s="4">
        <v>5267</v>
      </c>
      <c r="C5272" s="10">
        <v>581.79904974046929</v>
      </c>
      <c r="D5272" s="42"/>
    </row>
    <row r="5273" spans="2:4" ht="16" thickBot="1" x14ac:dyDescent="0.25">
      <c r="B5273" s="5">
        <v>5268</v>
      </c>
      <c r="C5273" s="11">
        <v>550.11836705587086</v>
      </c>
      <c r="D5273" s="42"/>
    </row>
    <row r="5274" spans="2:4" ht="16" thickBot="1" x14ac:dyDescent="0.25">
      <c r="B5274" s="4">
        <v>5269</v>
      </c>
      <c r="C5274" s="10">
        <v>111.28423134482283</v>
      </c>
      <c r="D5274" s="42"/>
    </row>
    <row r="5275" spans="2:4" ht="16" thickBot="1" x14ac:dyDescent="0.25">
      <c r="B5275" s="5">
        <v>5270</v>
      </c>
      <c r="C5275" s="11">
        <v>121.76217960989888</v>
      </c>
      <c r="D5275" s="42"/>
    </row>
    <row r="5276" spans="2:4" ht="16" thickBot="1" x14ac:dyDescent="0.25">
      <c r="B5276" s="4">
        <v>5271</v>
      </c>
      <c r="C5276" s="10">
        <v>107.70192522987325</v>
      </c>
      <c r="D5276" s="42"/>
    </row>
    <row r="5277" spans="2:4" ht="16" thickBot="1" x14ac:dyDescent="0.25">
      <c r="B5277" s="5">
        <v>5272</v>
      </c>
      <c r="C5277" s="11">
        <v>369.23911901957717</v>
      </c>
      <c r="D5277" s="42"/>
    </row>
    <row r="5278" spans="2:4" ht="16" thickBot="1" x14ac:dyDescent="0.25">
      <c r="B5278" s="4">
        <v>5273</v>
      </c>
      <c r="C5278" s="10">
        <v>93.655548351800434</v>
      </c>
      <c r="D5278" s="42"/>
    </row>
    <row r="5279" spans="2:4" ht="16" thickBot="1" x14ac:dyDescent="0.25">
      <c r="B5279" s="5">
        <v>5274</v>
      </c>
      <c r="C5279" s="11">
        <v>50.195600356036294</v>
      </c>
      <c r="D5279" s="42"/>
    </row>
    <row r="5280" spans="2:4" ht="16" thickBot="1" x14ac:dyDescent="0.25">
      <c r="B5280" s="4">
        <v>5275</v>
      </c>
      <c r="C5280" s="10">
        <v>253.1035795619305</v>
      </c>
      <c r="D5280" s="42"/>
    </row>
    <row r="5281" spans="2:4" ht="16" thickBot="1" x14ac:dyDescent="0.25">
      <c r="B5281" s="5">
        <v>5276</v>
      </c>
      <c r="C5281" s="11">
        <v>100.70322337025328</v>
      </c>
      <c r="D5281" s="42"/>
    </row>
    <row r="5282" spans="2:4" ht="16" thickBot="1" x14ac:dyDescent="0.25">
      <c r="B5282" s="4">
        <v>5277</v>
      </c>
      <c r="C5282" s="10">
        <v>186.48514216189858</v>
      </c>
      <c r="D5282" s="42"/>
    </row>
    <row r="5283" spans="2:4" ht="16" thickBot="1" x14ac:dyDescent="0.25">
      <c r="B5283" s="5">
        <v>5278</v>
      </c>
      <c r="C5283" s="11">
        <v>479.45462715419626</v>
      </c>
      <c r="D5283" s="42"/>
    </row>
    <row r="5284" spans="2:4" ht="16" thickBot="1" x14ac:dyDescent="0.25">
      <c r="B5284" s="4">
        <v>5279</v>
      </c>
      <c r="C5284" s="10">
        <v>480.80481399016782</v>
      </c>
      <c r="D5284" s="42"/>
    </row>
    <row r="5285" spans="2:4" ht="16" thickBot="1" x14ac:dyDescent="0.25">
      <c r="B5285" s="5">
        <v>5280</v>
      </c>
      <c r="C5285" s="11">
        <v>204.59426451694966</v>
      </c>
      <c r="D5285" s="42"/>
    </row>
    <row r="5286" spans="2:4" ht="16" thickBot="1" x14ac:dyDescent="0.25">
      <c r="B5286" s="4">
        <v>5281</v>
      </c>
      <c r="C5286" s="10">
        <v>173.4341640917585</v>
      </c>
      <c r="D5286" s="42"/>
    </row>
    <row r="5287" spans="2:4" ht="16" thickBot="1" x14ac:dyDescent="0.25">
      <c r="B5287" s="5">
        <v>5282</v>
      </c>
      <c r="C5287" s="11">
        <v>331.74034205347198</v>
      </c>
      <c r="D5287" s="42"/>
    </row>
    <row r="5288" spans="2:4" ht="16" thickBot="1" x14ac:dyDescent="0.25">
      <c r="B5288" s="4">
        <v>5283</v>
      </c>
      <c r="C5288" s="10">
        <v>510.81788565582349</v>
      </c>
      <c r="D5288" s="42"/>
    </row>
    <row r="5289" spans="2:4" ht="16" thickBot="1" x14ac:dyDescent="0.25">
      <c r="B5289" s="5">
        <v>5284</v>
      </c>
      <c r="C5289" s="11">
        <v>216.67342922059962</v>
      </c>
      <c r="D5289" s="42"/>
    </row>
    <row r="5290" spans="2:4" ht="16" thickBot="1" x14ac:dyDescent="0.25">
      <c r="B5290" s="4">
        <v>5285</v>
      </c>
      <c r="C5290" s="10">
        <v>352.18545234188366</v>
      </c>
      <c r="D5290" s="42"/>
    </row>
    <row r="5291" spans="2:4" ht="16" thickBot="1" x14ac:dyDescent="0.25">
      <c r="B5291" s="5">
        <v>5286</v>
      </c>
      <c r="C5291" s="11">
        <v>176.85531599533812</v>
      </c>
      <c r="D5291" s="42"/>
    </row>
    <row r="5292" spans="2:4" ht="16" thickBot="1" x14ac:dyDescent="0.25">
      <c r="B5292" s="4">
        <v>5287</v>
      </c>
      <c r="C5292" s="10">
        <v>566.71810885487992</v>
      </c>
      <c r="D5292" s="42"/>
    </row>
    <row r="5293" spans="2:4" ht="16" thickBot="1" x14ac:dyDescent="0.25">
      <c r="B5293" s="5">
        <v>5288</v>
      </c>
      <c r="C5293" s="11">
        <v>260.82982080245648</v>
      </c>
      <c r="D5293" s="42"/>
    </row>
    <row r="5294" spans="2:4" ht="16" thickBot="1" x14ac:dyDescent="0.25">
      <c r="B5294" s="4">
        <v>5289</v>
      </c>
      <c r="C5294" s="10">
        <v>571.23700715139023</v>
      </c>
      <c r="D5294" s="42"/>
    </row>
    <row r="5295" spans="2:4" ht="16" thickBot="1" x14ac:dyDescent="0.25">
      <c r="B5295" s="5">
        <v>5290</v>
      </c>
      <c r="C5295" s="11">
        <v>218.23719306074122</v>
      </c>
      <c r="D5295" s="42"/>
    </row>
    <row r="5296" spans="2:4" ht="16" thickBot="1" x14ac:dyDescent="0.25">
      <c r="B5296" s="4">
        <v>5291</v>
      </c>
      <c r="C5296" s="10">
        <v>457.40667226450637</v>
      </c>
      <c r="D5296" s="42"/>
    </row>
    <row r="5297" spans="2:4" ht="16" thickBot="1" x14ac:dyDescent="0.25">
      <c r="B5297" s="5">
        <v>5292</v>
      </c>
      <c r="C5297" s="11">
        <v>428.22142067947237</v>
      </c>
      <c r="D5297" s="42"/>
    </row>
    <row r="5298" spans="2:4" ht="16" thickBot="1" x14ac:dyDescent="0.25">
      <c r="B5298" s="4">
        <v>5293</v>
      </c>
      <c r="C5298" s="10">
        <v>88.385364636190772</v>
      </c>
      <c r="D5298" s="42"/>
    </row>
    <row r="5299" spans="2:4" ht="16" thickBot="1" x14ac:dyDescent="0.25">
      <c r="B5299" s="5">
        <v>5294</v>
      </c>
      <c r="C5299" s="11">
        <v>609.61545744167722</v>
      </c>
      <c r="D5299" s="42"/>
    </row>
    <row r="5300" spans="2:4" ht="16" thickBot="1" x14ac:dyDescent="0.25">
      <c r="B5300" s="4">
        <v>5295</v>
      </c>
      <c r="C5300" s="10">
        <v>250.58648007656998</v>
      </c>
      <c r="D5300" s="42"/>
    </row>
    <row r="5301" spans="2:4" ht="16" thickBot="1" x14ac:dyDescent="0.25">
      <c r="B5301" s="5">
        <v>5296</v>
      </c>
      <c r="C5301" s="11">
        <v>440.27511590563415</v>
      </c>
      <c r="D5301" s="42"/>
    </row>
    <row r="5302" spans="2:4" ht="16" thickBot="1" x14ac:dyDescent="0.25">
      <c r="B5302" s="4">
        <v>5297</v>
      </c>
      <c r="C5302" s="10">
        <v>143.26410728152786</v>
      </c>
      <c r="D5302" s="42"/>
    </row>
    <row r="5303" spans="2:4" ht="16" thickBot="1" x14ac:dyDescent="0.25">
      <c r="B5303" s="5">
        <v>5298</v>
      </c>
      <c r="C5303" s="11">
        <v>258.02157374188647</v>
      </c>
      <c r="D5303" s="42"/>
    </row>
    <row r="5304" spans="2:4" ht="16" thickBot="1" x14ac:dyDescent="0.25">
      <c r="B5304" s="4">
        <v>5299</v>
      </c>
      <c r="C5304" s="10">
        <v>120.45694326167116</v>
      </c>
      <c r="D5304" s="42"/>
    </row>
    <row r="5305" spans="2:4" ht="16" thickBot="1" x14ac:dyDescent="0.25">
      <c r="B5305" s="5">
        <v>5300</v>
      </c>
      <c r="C5305" s="11">
        <v>49.071453833401399</v>
      </c>
      <c r="D5305" s="42"/>
    </row>
    <row r="5306" spans="2:4" ht="16" thickBot="1" x14ac:dyDescent="0.25">
      <c r="B5306" s="4">
        <v>5301</v>
      </c>
      <c r="C5306" s="10">
        <v>173.55628881585363</v>
      </c>
      <c r="D5306" s="42"/>
    </row>
    <row r="5307" spans="2:4" ht="16" thickBot="1" x14ac:dyDescent="0.25">
      <c r="B5307" s="5">
        <v>5302</v>
      </c>
      <c r="C5307" s="11">
        <v>240.83923592624379</v>
      </c>
      <c r="D5307" s="42"/>
    </row>
    <row r="5308" spans="2:4" ht="16" thickBot="1" x14ac:dyDescent="0.25">
      <c r="B5308" s="4">
        <v>5303</v>
      </c>
      <c r="C5308" s="10">
        <v>111.10771835062648</v>
      </c>
      <c r="D5308" s="42"/>
    </row>
    <row r="5309" spans="2:4" ht="16" thickBot="1" x14ac:dyDescent="0.25">
      <c r="B5309" s="5">
        <v>5304</v>
      </c>
      <c r="C5309" s="11">
        <v>175.45153807329817</v>
      </c>
      <c r="D5309" s="42"/>
    </row>
    <row r="5310" spans="2:4" ht="16" thickBot="1" x14ac:dyDescent="0.25">
      <c r="B5310" s="4">
        <v>5305</v>
      </c>
      <c r="C5310" s="10">
        <v>199.28217846499325</v>
      </c>
      <c r="D5310" s="42"/>
    </row>
    <row r="5311" spans="2:4" ht="16" thickBot="1" x14ac:dyDescent="0.25">
      <c r="B5311" s="5">
        <v>5306</v>
      </c>
      <c r="C5311" s="11">
        <v>94.657745281333462</v>
      </c>
      <c r="D5311" s="42"/>
    </row>
    <row r="5312" spans="2:4" ht="16" thickBot="1" x14ac:dyDescent="0.25">
      <c r="B5312" s="4">
        <v>5307</v>
      </c>
      <c r="C5312" s="10">
        <v>106.57769398425923</v>
      </c>
      <c r="D5312" s="42"/>
    </row>
    <row r="5313" spans="2:4" ht="16" thickBot="1" x14ac:dyDescent="0.25">
      <c r="B5313" s="5">
        <v>5308</v>
      </c>
      <c r="C5313" s="11">
        <v>316.19153037788789</v>
      </c>
      <c r="D5313" s="42"/>
    </row>
    <row r="5314" spans="2:4" ht="16" thickBot="1" x14ac:dyDescent="0.25">
      <c r="B5314" s="4">
        <v>5309</v>
      </c>
      <c r="C5314" s="10">
        <v>192.15183309349374</v>
      </c>
      <c r="D5314" s="42"/>
    </row>
    <row r="5315" spans="2:4" ht="16" thickBot="1" x14ac:dyDescent="0.25">
      <c r="B5315" s="5">
        <v>5310</v>
      </c>
      <c r="C5315" s="11">
        <v>241.13626180989155</v>
      </c>
      <c r="D5315" s="42"/>
    </row>
    <row r="5316" spans="2:4" ht="16" thickBot="1" x14ac:dyDescent="0.25">
      <c r="B5316" s="4">
        <v>5311</v>
      </c>
      <c r="C5316" s="10">
        <v>205.87881128415816</v>
      </c>
      <c r="D5316" s="42"/>
    </row>
    <row r="5317" spans="2:4" ht="16" thickBot="1" x14ac:dyDescent="0.25">
      <c r="B5317" s="5">
        <v>5312</v>
      </c>
      <c r="C5317" s="11">
        <v>653.41793002332633</v>
      </c>
      <c r="D5317" s="42"/>
    </row>
    <row r="5318" spans="2:4" ht="16" thickBot="1" x14ac:dyDescent="0.25">
      <c r="B5318" s="4">
        <v>5313</v>
      </c>
      <c r="C5318" s="10">
        <v>412.23658454584614</v>
      </c>
      <c r="D5318" s="42"/>
    </row>
    <row r="5319" spans="2:4" ht="16" thickBot="1" x14ac:dyDescent="0.25">
      <c r="B5319" s="5">
        <v>5314</v>
      </c>
      <c r="C5319" s="11">
        <v>115.07519263613598</v>
      </c>
      <c r="D5319" s="42"/>
    </row>
    <row r="5320" spans="2:4" ht="16" thickBot="1" x14ac:dyDescent="0.25">
      <c r="B5320" s="4">
        <v>5315</v>
      </c>
      <c r="C5320" s="10">
        <v>440.60263423273847</v>
      </c>
      <c r="D5320" s="42"/>
    </row>
    <row r="5321" spans="2:4" ht="16" thickBot="1" x14ac:dyDescent="0.25">
      <c r="B5321" s="5">
        <v>5316</v>
      </c>
      <c r="C5321" s="11">
        <v>242.11718921009017</v>
      </c>
      <c r="D5321" s="42"/>
    </row>
    <row r="5322" spans="2:4" ht="16" thickBot="1" x14ac:dyDescent="0.25">
      <c r="B5322" s="4">
        <v>5317</v>
      </c>
      <c r="C5322" s="10">
        <v>95.3012680898632</v>
      </c>
      <c r="D5322" s="42"/>
    </row>
    <row r="5323" spans="2:4" ht="16" thickBot="1" x14ac:dyDescent="0.25">
      <c r="B5323" s="5">
        <v>5318</v>
      </c>
      <c r="C5323" s="11">
        <v>170.7804641134839</v>
      </c>
      <c r="D5323" s="42"/>
    </row>
    <row r="5324" spans="2:4" ht="16" thickBot="1" x14ac:dyDescent="0.25">
      <c r="B5324" s="4">
        <v>5319</v>
      </c>
      <c r="C5324" s="10">
        <v>274.27786479766814</v>
      </c>
      <c r="D5324" s="42"/>
    </row>
    <row r="5325" spans="2:4" ht="16" thickBot="1" x14ac:dyDescent="0.25">
      <c r="B5325" s="5">
        <v>5320</v>
      </c>
      <c r="C5325" s="11">
        <v>688.48182603561861</v>
      </c>
      <c r="D5325" s="42"/>
    </row>
    <row r="5326" spans="2:4" ht="16" thickBot="1" x14ac:dyDescent="0.25">
      <c r="B5326" s="4">
        <v>5321</v>
      </c>
      <c r="C5326" s="10">
        <v>235.11564279639833</v>
      </c>
      <c r="D5326" s="42"/>
    </row>
    <row r="5327" spans="2:4" ht="16" thickBot="1" x14ac:dyDescent="0.25">
      <c r="B5327" s="5">
        <v>5322</v>
      </c>
      <c r="C5327" s="11">
        <v>309.9088748012976</v>
      </c>
      <c r="D5327" s="42"/>
    </row>
    <row r="5328" spans="2:4" ht="16" thickBot="1" x14ac:dyDescent="0.25">
      <c r="B5328" s="4">
        <v>5323</v>
      </c>
      <c r="C5328" s="10">
        <v>220.58408616159033</v>
      </c>
      <c r="D5328" s="42"/>
    </row>
    <row r="5329" spans="2:4" ht="16" thickBot="1" x14ac:dyDescent="0.25">
      <c r="B5329" s="5">
        <v>5324</v>
      </c>
      <c r="C5329" s="11">
        <v>238.80899453503878</v>
      </c>
      <c r="D5329" s="42"/>
    </row>
    <row r="5330" spans="2:4" ht="16" thickBot="1" x14ac:dyDescent="0.25">
      <c r="B5330" s="4">
        <v>5325</v>
      </c>
      <c r="C5330" s="10">
        <v>205.92985186770534</v>
      </c>
      <c r="D5330" s="42"/>
    </row>
    <row r="5331" spans="2:4" ht="16" thickBot="1" x14ac:dyDescent="0.25">
      <c r="B5331" s="5">
        <v>5326</v>
      </c>
      <c r="C5331" s="11">
        <v>154.14265436326701</v>
      </c>
      <c r="D5331" s="42"/>
    </row>
    <row r="5332" spans="2:4" ht="16" thickBot="1" x14ac:dyDescent="0.25">
      <c r="B5332" s="4">
        <v>5327</v>
      </c>
      <c r="C5332" s="10">
        <v>285.81499396239246</v>
      </c>
      <c r="D5332" s="42"/>
    </row>
    <row r="5333" spans="2:4" ht="16" thickBot="1" x14ac:dyDescent="0.25">
      <c r="B5333" s="5">
        <v>5328</v>
      </c>
      <c r="C5333" s="11">
        <v>40.137889625882394</v>
      </c>
      <c r="D5333" s="42"/>
    </row>
    <row r="5334" spans="2:4" ht="16" thickBot="1" x14ac:dyDescent="0.25">
      <c r="B5334" s="4">
        <v>5329</v>
      </c>
      <c r="C5334" s="10">
        <v>567.25176083763188</v>
      </c>
      <c r="D5334" s="42"/>
    </row>
    <row r="5335" spans="2:4" ht="16" thickBot="1" x14ac:dyDescent="0.25">
      <c r="B5335" s="5">
        <v>5330</v>
      </c>
      <c r="C5335" s="11">
        <v>211.91067002629731</v>
      </c>
      <c r="D5335" s="42"/>
    </row>
    <row r="5336" spans="2:4" ht="16" thickBot="1" x14ac:dyDescent="0.25">
      <c r="B5336" s="4">
        <v>5331</v>
      </c>
      <c r="C5336" s="10">
        <v>126.66173506541166</v>
      </c>
      <c r="D5336" s="42"/>
    </row>
    <row r="5337" spans="2:4" ht="16" thickBot="1" x14ac:dyDescent="0.25">
      <c r="B5337" s="5">
        <v>5332</v>
      </c>
      <c r="C5337" s="11">
        <v>183.65632419298043</v>
      </c>
      <c r="D5337" s="42"/>
    </row>
    <row r="5338" spans="2:4" ht="16" thickBot="1" x14ac:dyDescent="0.25">
      <c r="B5338" s="4">
        <v>5333</v>
      </c>
      <c r="C5338" s="10">
        <v>318.10340452227052</v>
      </c>
      <c r="D5338" s="42"/>
    </row>
    <row r="5339" spans="2:4" ht="16" thickBot="1" x14ac:dyDescent="0.25">
      <c r="B5339" s="5">
        <v>5334</v>
      </c>
      <c r="C5339" s="11">
        <v>236.0284794222184</v>
      </c>
      <c r="D5339" s="42"/>
    </row>
    <row r="5340" spans="2:4" ht="16" thickBot="1" x14ac:dyDescent="0.25">
      <c r="B5340" s="4">
        <v>5335</v>
      </c>
      <c r="C5340" s="10">
        <v>115.12176038345538</v>
      </c>
      <c r="D5340" s="42"/>
    </row>
    <row r="5341" spans="2:4" ht="16" thickBot="1" x14ac:dyDescent="0.25">
      <c r="B5341" s="5">
        <v>5336</v>
      </c>
      <c r="C5341" s="11">
        <v>352.80766559085788</v>
      </c>
      <c r="D5341" s="42"/>
    </row>
    <row r="5342" spans="2:4" ht="16" thickBot="1" x14ac:dyDescent="0.25">
      <c r="B5342" s="4">
        <v>5337</v>
      </c>
      <c r="C5342" s="10">
        <v>629.71812911895756</v>
      </c>
      <c r="D5342" s="42"/>
    </row>
    <row r="5343" spans="2:4" ht="16" thickBot="1" x14ac:dyDescent="0.25">
      <c r="B5343" s="5">
        <v>5338</v>
      </c>
      <c r="C5343" s="11">
        <v>229.90443377701277</v>
      </c>
      <c r="D5343" s="42"/>
    </row>
    <row r="5344" spans="2:4" ht="16" thickBot="1" x14ac:dyDescent="0.25">
      <c r="B5344" s="4">
        <v>5339</v>
      </c>
      <c r="C5344" s="10">
        <v>164.52855014305223</v>
      </c>
      <c r="D5344" s="42"/>
    </row>
    <row r="5345" spans="2:4" ht="16" thickBot="1" x14ac:dyDescent="0.25">
      <c r="B5345" s="5">
        <v>5340</v>
      </c>
      <c r="C5345" s="11">
        <v>327.38700055493501</v>
      </c>
      <c r="D5345" s="42"/>
    </row>
    <row r="5346" spans="2:4" ht="16" thickBot="1" x14ac:dyDescent="0.25">
      <c r="B5346" s="4">
        <v>5341</v>
      </c>
      <c r="C5346" s="10">
        <v>187.62753601266246</v>
      </c>
      <c r="D5346" s="42"/>
    </row>
    <row r="5347" spans="2:4" ht="16" thickBot="1" x14ac:dyDescent="0.25">
      <c r="B5347" s="5">
        <v>5342</v>
      </c>
      <c r="C5347" s="11">
        <v>341.24500380460205</v>
      </c>
      <c r="D5347" s="42"/>
    </row>
    <row r="5348" spans="2:4" ht="16" thickBot="1" x14ac:dyDescent="0.25">
      <c r="B5348" s="4">
        <v>5343</v>
      </c>
      <c r="C5348" s="10">
        <v>190.30391918429785</v>
      </c>
      <c r="D5348" s="42"/>
    </row>
    <row r="5349" spans="2:4" ht="16" thickBot="1" x14ac:dyDescent="0.25">
      <c r="B5349" s="5">
        <v>5344</v>
      </c>
      <c r="C5349" s="11">
        <v>305.65932883156142</v>
      </c>
      <c r="D5349" s="42"/>
    </row>
    <row r="5350" spans="2:4" ht="16" thickBot="1" x14ac:dyDescent="0.25">
      <c r="B5350" s="4">
        <v>5345</v>
      </c>
      <c r="C5350" s="10">
        <v>134.3859973267528</v>
      </c>
      <c r="D5350" s="42"/>
    </row>
    <row r="5351" spans="2:4" ht="16" thickBot="1" x14ac:dyDescent="0.25">
      <c r="B5351" s="5">
        <v>5346</v>
      </c>
      <c r="C5351" s="11">
        <v>481.16413262646239</v>
      </c>
      <c r="D5351" s="42"/>
    </row>
    <row r="5352" spans="2:4" ht="16" thickBot="1" x14ac:dyDescent="0.25">
      <c r="B5352" s="4">
        <v>5347</v>
      </c>
      <c r="C5352" s="10">
        <v>120.50401446410649</v>
      </c>
      <c r="D5352" s="42"/>
    </row>
    <row r="5353" spans="2:4" ht="16" thickBot="1" x14ac:dyDescent="0.25">
      <c r="B5353" s="5">
        <v>5348</v>
      </c>
      <c r="C5353" s="11">
        <v>168.40072837615918</v>
      </c>
      <c r="D5353" s="42"/>
    </row>
    <row r="5354" spans="2:4" ht="16" thickBot="1" x14ac:dyDescent="0.25">
      <c r="B5354" s="4">
        <v>5349</v>
      </c>
      <c r="C5354" s="10">
        <v>53.810044282359463</v>
      </c>
      <c r="D5354" s="42"/>
    </row>
    <row r="5355" spans="2:4" ht="16" thickBot="1" x14ac:dyDescent="0.25">
      <c r="B5355" s="5">
        <v>5350</v>
      </c>
      <c r="C5355" s="11">
        <v>564.27651127565093</v>
      </c>
      <c r="D5355" s="42"/>
    </row>
    <row r="5356" spans="2:4" ht="16" thickBot="1" x14ac:dyDescent="0.25">
      <c r="B5356" s="4">
        <v>5351</v>
      </c>
      <c r="C5356" s="10">
        <v>230.78845191259123</v>
      </c>
      <c r="D5356" s="42"/>
    </row>
    <row r="5357" spans="2:4" ht="16" thickBot="1" x14ac:dyDescent="0.25">
      <c r="B5357" s="5">
        <v>5352</v>
      </c>
      <c r="C5357" s="11">
        <v>253.04041375863576</v>
      </c>
      <c r="D5357" s="42"/>
    </row>
    <row r="5358" spans="2:4" ht="16" thickBot="1" x14ac:dyDescent="0.25">
      <c r="B5358" s="4">
        <v>5353</v>
      </c>
      <c r="C5358" s="10">
        <v>381.13684302566776</v>
      </c>
      <c r="D5358" s="42"/>
    </row>
    <row r="5359" spans="2:4" ht="16" thickBot="1" x14ac:dyDescent="0.25">
      <c r="B5359" s="5">
        <v>5354</v>
      </c>
      <c r="C5359" s="11">
        <v>76.299028994355936</v>
      </c>
      <c r="D5359" s="42"/>
    </row>
    <row r="5360" spans="2:4" ht="16" thickBot="1" x14ac:dyDescent="0.25">
      <c r="B5360" s="4">
        <v>5355</v>
      </c>
      <c r="C5360" s="10">
        <v>182.99161523748677</v>
      </c>
      <c r="D5360" s="42"/>
    </row>
    <row r="5361" spans="2:4" ht="16" thickBot="1" x14ac:dyDescent="0.25">
      <c r="B5361" s="5">
        <v>5356</v>
      </c>
      <c r="C5361" s="11">
        <v>42.660296020362473</v>
      </c>
      <c r="D5361" s="42"/>
    </row>
    <row r="5362" spans="2:4" ht="16" thickBot="1" x14ac:dyDescent="0.25">
      <c r="B5362" s="4">
        <v>5357</v>
      </c>
      <c r="C5362" s="10">
        <v>208.52396991426409</v>
      </c>
      <c r="D5362" s="42"/>
    </row>
    <row r="5363" spans="2:4" ht="16" thickBot="1" x14ac:dyDescent="0.25">
      <c r="B5363" s="5">
        <v>5358</v>
      </c>
      <c r="C5363" s="11">
        <v>448.92298613847981</v>
      </c>
      <c r="D5363" s="42"/>
    </row>
    <row r="5364" spans="2:4" ht="16" thickBot="1" x14ac:dyDescent="0.25">
      <c r="B5364" s="4">
        <v>5359</v>
      </c>
      <c r="C5364" s="10">
        <v>283.17737672383231</v>
      </c>
      <c r="D5364" s="42"/>
    </row>
    <row r="5365" spans="2:4" ht="16" thickBot="1" x14ac:dyDescent="0.25">
      <c r="B5365" s="5">
        <v>5360</v>
      </c>
      <c r="C5365" s="11">
        <v>154.17929131161884</v>
      </c>
      <c r="D5365" s="42"/>
    </row>
    <row r="5366" spans="2:4" ht="16" thickBot="1" x14ac:dyDescent="0.25">
      <c r="B5366" s="4">
        <v>5361</v>
      </c>
      <c r="C5366" s="10">
        <v>443.58134818482228</v>
      </c>
      <c r="D5366" s="42"/>
    </row>
    <row r="5367" spans="2:4" ht="16" thickBot="1" x14ac:dyDescent="0.25">
      <c r="B5367" s="5">
        <v>5362</v>
      </c>
      <c r="C5367" s="11">
        <v>407.22724014649555</v>
      </c>
      <c r="D5367" s="42"/>
    </row>
    <row r="5368" spans="2:4" ht="16" thickBot="1" x14ac:dyDescent="0.25">
      <c r="B5368" s="4">
        <v>5363</v>
      </c>
      <c r="C5368" s="10">
        <v>416.26694684288844</v>
      </c>
      <c r="D5368" s="42"/>
    </row>
    <row r="5369" spans="2:4" ht="16" thickBot="1" x14ac:dyDescent="0.25">
      <c r="B5369" s="5">
        <v>5364</v>
      </c>
      <c r="C5369" s="11">
        <v>158.66398517382163</v>
      </c>
      <c r="D5369" s="42"/>
    </row>
    <row r="5370" spans="2:4" ht="16" thickBot="1" x14ac:dyDescent="0.25">
      <c r="B5370" s="4">
        <v>5365</v>
      </c>
      <c r="C5370" s="10">
        <v>193.94851363301342</v>
      </c>
      <c r="D5370" s="42"/>
    </row>
    <row r="5371" spans="2:4" ht="16" thickBot="1" x14ac:dyDescent="0.25">
      <c r="B5371" s="5">
        <v>5366</v>
      </c>
      <c r="C5371" s="11">
        <v>100.54425032380114</v>
      </c>
      <c r="D5371" s="42"/>
    </row>
    <row r="5372" spans="2:4" ht="16" thickBot="1" x14ac:dyDescent="0.25">
      <c r="B5372" s="4">
        <v>5367</v>
      </c>
      <c r="C5372" s="10">
        <v>59.780030271372333</v>
      </c>
      <c r="D5372" s="42"/>
    </row>
    <row r="5373" spans="2:4" ht="16" thickBot="1" x14ac:dyDescent="0.25">
      <c r="B5373" s="5">
        <v>5368</v>
      </c>
      <c r="C5373" s="11">
        <v>39.026754713677754</v>
      </c>
      <c r="D5373" s="42"/>
    </row>
    <row r="5374" spans="2:4" ht="16" thickBot="1" x14ac:dyDescent="0.25">
      <c r="B5374" s="4">
        <v>5369</v>
      </c>
      <c r="C5374" s="10">
        <v>319.91424606440535</v>
      </c>
      <c r="D5374" s="42"/>
    </row>
    <row r="5375" spans="2:4" ht="16" thickBot="1" x14ac:dyDescent="0.25">
      <c r="B5375" s="5">
        <v>5370</v>
      </c>
      <c r="C5375" s="11">
        <v>88.388485248143553</v>
      </c>
      <c r="D5375" s="42"/>
    </row>
    <row r="5376" spans="2:4" ht="16" thickBot="1" x14ac:dyDescent="0.25">
      <c r="B5376" s="4">
        <v>5371</v>
      </c>
      <c r="C5376" s="10">
        <v>269.2072279467161</v>
      </c>
      <c r="D5376" s="42"/>
    </row>
    <row r="5377" spans="2:4" ht="16" thickBot="1" x14ac:dyDescent="0.25">
      <c r="B5377" s="5">
        <v>5372</v>
      </c>
      <c r="C5377" s="11">
        <v>482.78664968430513</v>
      </c>
      <c r="D5377" s="42"/>
    </row>
    <row r="5378" spans="2:4" ht="16" thickBot="1" x14ac:dyDescent="0.25">
      <c r="B5378" s="4">
        <v>5373</v>
      </c>
      <c r="C5378" s="10">
        <v>207.60559634788265</v>
      </c>
      <c r="D5378" s="42"/>
    </row>
    <row r="5379" spans="2:4" ht="16" thickBot="1" x14ac:dyDescent="0.25">
      <c r="B5379" s="5">
        <v>5374</v>
      </c>
      <c r="C5379" s="11">
        <v>209.87622322571906</v>
      </c>
      <c r="D5379" s="42"/>
    </row>
    <row r="5380" spans="2:4" ht="16" thickBot="1" x14ac:dyDescent="0.25">
      <c r="B5380" s="4">
        <v>5375</v>
      </c>
      <c r="C5380" s="10">
        <v>174.91361456606001</v>
      </c>
      <c r="D5380" s="42"/>
    </row>
    <row r="5381" spans="2:4" ht="16" thickBot="1" x14ac:dyDescent="0.25">
      <c r="B5381" s="5">
        <v>5376</v>
      </c>
      <c r="C5381" s="11">
        <v>177.30592008316924</v>
      </c>
      <c r="D5381" s="42"/>
    </row>
    <row r="5382" spans="2:4" ht="16" thickBot="1" x14ac:dyDescent="0.25">
      <c r="B5382" s="4">
        <v>5377</v>
      </c>
      <c r="C5382" s="10">
        <v>27.318046451188479</v>
      </c>
      <c r="D5382" s="42"/>
    </row>
    <row r="5383" spans="2:4" ht="16" thickBot="1" x14ac:dyDescent="0.25">
      <c r="B5383" s="5">
        <v>5378</v>
      </c>
      <c r="C5383" s="11">
        <v>493.22046600372641</v>
      </c>
      <c r="D5383" s="42"/>
    </row>
    <row r="5384" spans="2:4" ht="16" thickBot="1" x14ac:dyDescent="0.25">
      <c r="B5384" s="4">
        <v>5379</v>
      </c>
      <c r="C5384" s="10">
        <v>190.92063376237019</v>
      </c>
      <c r="D5384" s="42"/>
    </row>
    <row r="5385" spans="2:4" ht="16" thickBot="1" x14ac:dyDescent="0.25">
      <c r="B5385" s="5">
        <v>5380</v>
      </c>
      <c r="C5385" s="11">
        <v>472.81151892725887</v>
      </c>
      <c r="D5385" s="42"/>
    </row>
    <row r="5386" spans="2:4" ht="16" thickBot="1" x14ac:dyDescent="0.25">
      <c r="B5386" s="4">
        <v>5381</v>
      </c>
      <c r="C5386" s="10">
        <v>272.70907531675482</v>
      </c>
      <c r="D5386" s="42"/>
    </row>
    <row r="5387" spans="2:4" ht="16" thickBot="1" x14ac:dyDescent="0.25">
      <c r="B5387" s="5">
        <v>5382</v>
      </c>
      <c r="C5387" s="11">
        <v>310.40895231082879</v>
      </c>
      <c r="D5387" s="42"/>
    </row>
    <row r="5388" spans="2:4" ht="16" thickBot="1" x14ac:dyDescent="0.25">
      <c r="B5388" s="4">
        <v>5383</v>
      </c>
      <c r="C5388" s="10">
        <v>163.21290146818512</v>
      </c>
      <c r="D5388" s="42"/>
    </row>
    <row r="5389" spans="2:4" ht="16" thickBot="1" x14ac:dyDescent="0.25">
      <c r="B5389" s="5">
        <v>5384</v>
      </c>
      <c r="C5389" s="11">
        <v>567.87164029000166</v>
      </c>
      <c r="D5389" s="42"/>
    </row>
    <row r="5390" spans="2:4" ht="16" thickBot="1" x14ac:dyDescent="0.25">
      <c r="B5390" s="4">
        <v>5385</v>
      </c>
      <c r="C5390" s="10">
        <v>483.04637319427729</v>
      </c>
      <c r="D5390" s="42"/>
    </row>
    <row r="5391" spans="2:4" ht="16" thickBot="1" x14ac:dyDescent="0.25">
      <c r="B5391" s="5">
        <v>5386</v>
      </c>
      <c r="C5391" s="11">
        <v>203.12095497291185</v>
      </c>
      <c r="D5391" s="42"/>
    </row>
    <row r="5392" spans="2:4" ht="16" thickBot="1" x14ac:dyDescent="0.25">
      <c r="B5392" s="4">
        <v>5387</v>
      </c>
      <c r="C5392" s="10">
        <v>254.77188313206446</v>
      </c>
      <c r="D5392" s="42"/>
    </row>
    <row r="5393" spans="2:4" ht="16" thickBot="1" x14ac:dyDescent="0.25">
      <c r="B5393" s="5">
        <v>5388</v>
      </c>
      <c r="C5393" s="11">
        <v>352.0225074362757</v>
      </c>
      <c r="D5393" s="42"/>
    </row>
    <row r="5394" spans="2:4" ht="16" thickBot="1" x14ac:dyDescent="0.25">
      <c r="B5394" s="4">
        <v>5389</v>
      </c>
      <c r="C5394" s="10">
        <v>196.55259569737572</v>
      </c>
      <c r="D5394" s="42"/>
    </row>
    <row r="5395" spans="2:4" ht="16" thickBot="1" x14ac:dyDescent="0.25">
      <c r="B5395" s="5">
        <v>5390</v>
      </c>
      <c r="C5395" s="11">
        <v>258.61373166622417</v>
      </c>
      <c r="D5395" s="42"/>
    </row>
    <row r="5396" spans="2:4" ht="16" thickBot="1" x14ac:dyDescent="0.25">
      <c r="B5396" s="4">
        <v>5391</v>
      </c>
      <c r="C5396" s="10">
        <v>195.78405534696554</v>
      </c>
      <c r="D5396" s="42"/>
    </row>
    <row r="5397" spans="2:4" ht="16" thickBot="1" x14ac:dyDescent="0.25">
      <c r="B5397" s="5">
        <v>5392</v>
      </c>
      <c r="C5397" s="11">
        <v>375.120793326301</v>
      </c>
      <c r="D5397" s="42"/>
    </row>
    <row r="5398" spans="2:4" ht="16" thickBot="1" x14ac:dyDescent="0.25">
      <c r="B5398" s="4">
        <v>5393</v>
      </c>
      <c r="C5398" s="10">
        <v>175.97431883084511</v>
      </c>
      <c r="D5398" s="42"/>
    </row>
    <row r="5399" spans="2:4" ht="16" thickBot="1" x14ac:dyDescent="0.25">
      <c r="B5399" s="5">
        <v>5394</v>
      </c>
      <c r="C5399" s="11">
        <v>83.434997839797674</v>
      </c>
      <c r="D5399" s="42"/>
    </row>
    <row r="5400" spans="2:4" ht="16" thickBot="1" x14ac:dyDescent="0.25">
      <c r="B5400" s="4">
        <v>5395</v>
      </c>
      <c r="C5400" s="10">
        <v>88.197790742144036</v>
      </c>
      <c r="D5400" s="42"/>
    </row>
    <row r="5401" spans="2:4" ht="16" thickBot="1" x14ac:dyDescent="0.25">
      <c r="B5401" s="5">
        <v>5396</v>
      </c>
      <c r="C5401" s="11">
        <v>235.21741612354356</v>
      </c>
      <c r="D5401" s="42"/>
    </row>
    <row r="5402" spans="2:4" ht="16" thickBot="1" x14ac:dyDescent="0.25">
      <c r="B5402" s="4">
        <v>5397</v>
      </c>
      <c r="C5402" s="10">
        <v>66.918273940787785</v>
      </c>
      <c r="D5402" s="42"/>
    </row>
    <row r="5403" spans="2:4" ht="16" thickBot="1" x14ac:dyDescent="0.25">
      <c r="B5403" s="5">
        <v>5398</v>
      </c>
      <c r="C5403" s="11">
        <v>88.896494645607362</v>
      </c>
      <c r="D5403" s="42"/>
    </row>
    <row r="5404" spans="2:4" ht="16" thickBot="1" x14ac:dyDescent="0.25">
      <c r="B5404" s="4">
        <v>5399</v>
      </c>
      <c r="C5404" s="10">
        <v>53.471385724169366</v>
      </c>
      <c r="D5404" s="42"/>
    </row>
    <row r="5405" spans="2:4" ht="16" thickBot="1" x14ac:dyDescent="0.25">
      <c r="B5405" s="5">
        <v>5400</v>
      </c>
      <c r="C5405" s="11">
        <v>94.924986258065303</v>
      </c>
      <c r="D5405" s="42"/>
    </row>
    <row r="5406" spans="2:4" ht="16" thickBot="1" x14ac:dyDescent="0.25">
      <c r="B5406" s="4">
        <v>5401</v>
      </c>
      <c r="C5406" s="10">
        <v>439.15056881596774</v>
      </c>
      <c r="D5406" s="42"/>
    </row>
    <row r="5407" spans="2:4" ht="16" thickBot="1" x14ac:dyDescent="0.25">
      <c r="B5407" s="5">
        <v>5402</v>
      </c>
      <c r="C5407" s="11">
        <v>122.18210830096356</v>
      </c>
      <c r="D5407" s="42"/>
    </row>
    <row r="5408" spans="2:4" ht="16" thickBot="1" x14ac:dyDescent="0.25">
      <c r="B5408" s="4">
        <v>5403</v>
      </c>
      <c r="C5408" s="10">
        <v>172.31024506858449</v>
      </c>
      <c r="D5408" s="42"/>
    </row>
    <row r="5409" spans="2:4" ht="16" thickBot="1" x14ac:dyDescent="0.25">
      <c r="B5409" s="5">
        <v>5404</v>
      </c>
      <c r="C5409" s="11">
        <v>135.15311939112959</v>
      </c>
      <c r="D5409" s="42"/>
    </row>
    <row r="5410" spans="2:4" ht="16" thickBot="1" x14ac:dyDescent="0.25">
      <c r="B5410" s="4">
        <v>5405</v>
      </c>
      <c r="C5410" s="10">
        <v>271.875643796247</v>
      </c>
      <c r="D5410" s="42"/>
    </row>
    <row r="5411" spans="2:4" ht="16" thickBot="1" x14ac:dyDescent="0.25">
      <c r="B5411" s="5">
        <v>5406</v>
      </c>
      <c r="C5411" s="11">
        <v>109.21112188458476</v>
      </c>
      <c r="D5411" s="42"/>
    </row>
    <row r="5412" spans="2:4" ht="16" thickBot="1" x14ac:dyDescent="0.25">
      <c r="B5412" s="4">
        <v>5407</v>
      </c>
      <c r="C5412" s="10">
        <v>96.878140156951915</v>
      </c>
      <c r="D5412" s="42"/>
    </row>
    <row r="5413" spans="2:4" ht="16" thickBot="1" x14ac:dyDescent="0.25">
      <c r="B5413" s="5">
        <v>5408</v>
      </c>
      <c r="C5413" s="11">
        <v>249.19979760917488</v>
      </c>
      <c r="D5413" s="42"/>
    </row>
    <row r="5414" spans="2:4" ht="16" thickBot="1" x14ac:dyDescent="0.25">
      <c r="B5414" s="4">
        <v>5409</v>
      </c>
      <c r="C5414" s="10">
        <v>418.40864133918689</v>
      </c>
      <c r="D5414" s="42"/>
    </row>
    <row r="5415" spans="2:4" ht="16" thickBot="1" x14ac:dyDescent="0.25">
      <c r="B5415" s="5">
        <v>5410</v>
      </c>
      <c r="C5415" s="11">
        <v>249.233000286177</v>
      </c>
      <c r="D5415" s="42"/>
    </row>
    <row r="5416" spans="2:4" ht="16" thickBot="1" x14ac:dyDescent="0.25">
      <c r="B5416" s="4">
        <v>5411</v>
      </c>
      <c r="C5416" s="10">
        <v>98.920906846399532</v>
      </c>
      <c r="D5416" s="42"/>
    </row>
    <row r="5417" spans="2:4" ht="16" thickBot="1" x14ac:dyDescent="0.25">
      <c r="B5417" s="5">
        <v>5412</v>
      </c>
      <c r="C5417" s="11">
        <v>95.715935836741465</v>
      </c>
      <c r="D5417" s="42"/>
    </row>
    <row r="5418" spans="2:4" ht="16" thickBot="1" x14ac:dyDescent="0.25">
      <c r="B5418" s="4">
        <v>5413</v>
      </c>
      <c r="C5418" s="10">
        <v>352.20371957021626</v>
      </c>
      <c r="D5418" s="42"/>
    </row>
    <row r="5419" spans="2:4" ht="16" thickBot="1" x14ac:dyDescent="0.25">
      <c r="B5419" s="5">
        <v>5414</v>
      </c>
      <c r="C5419" s="11">
        <v>151.33786951560867</v>
      </c>
      <c r="D5419" s="42"/>
    </row>
    <row r="5420" spans="2:4" ht="16" thickBot="1" x14ac:dyDescent="0.25">
      <c r="B5420" s="4">
        <v>5415</v>
      </c>
      <c r="C5420" s="10">
        <v>188.30406595065062</v>
      </c>
      <c r="D5420" s="42"/>
    </row>
    <row r="5421" spans="2:4" ht="16" thickBot="1" x14ac:dyDescent="0.25">
      <c r="B5421" s="5">
        <v>5416</v>
      </c>
      <c r="C5421" s="11">
        <v>75.327954000451484</v>
      </c>
      <c r="D5421" s="42"/>
    </row>
    <row r="5422" spans="2:4" ht="16" thickBot="1" x14ac:dyDescent="0.25">
      <c r="B5422" s="4">
        <v>5417</v>
      </c>
      <c r="C5422" s="10">
        <v>350.30545124537372</v>
      </c>
      <c r="D5422" s="42"/>
    </row>
    <row r="5423" spans="2:4" ht="16" thickBot="1" x14ac:dyDescent="0.25">
      <c r="B5423" s="5">
        <v>5418</v>
      </c>
      <c r="C5423" s="11">
        <v>65.469488961928334</v>
      </c>
      <c r="D5423" s="42"/>
    </row>
    <row r="5424" spans="2:4" ht="16" thickBot="1" x14ac:dyDescent="0.25">
      <c r="B5424" s="4">
        <v>5419</v>
      </c>
      <c r="C5424" s="10">
        <v>445.77911647850254</v>
      </c>
      <c r="D5424" s="42"/>
    </row>
    <row r="5425" spans="2:4" ht="16" thickBot="1" x14ac:dyDescent="0.25">
      <c r="B5425" s="5">
        <v>5420</v>
      </c>
      <c r="C5425" s="11">
        <v>345.4876948123989</v>
      </c>
      <c r="D5425" s="42"/>
    </row>
    <row r="5426" spans="2:4" ht="16" thickBot="1" x14ac:dyDescent="0.25">
      <c r="B5426" s="4">
        <v>5421</v>
      </c>
      <c r="C5426" s="10">
        <v>245.87242026521119</v>
      </c>
      <c r="D5426" s="42"/>
    </row>
    <row r="5427" spans="2:4" ht="16" thickBot="1" x14ac:dyDescent="0.25">
      <c r="B5427" s="5">
        <v>5422</v>
      </c>
      <c r="C5427" s="11">
        <v>223.09932276873968</v>
      </c>
      <c r="D5427" s="42"/>
    </row>
    <row r="5428" spans="2:4" ht="16" thickBot="1" x14ac:dyDescent="0.25">
      <c r="B5428" s="4">
        <v>5423</v>
      </c>
      <c r="C5428" s="10">
        <v>342.78322791545258</v>
      </c>
      <c r="D5428" s="42"/>
    </row>
    <row r="5429" spans="2:4" ht="16" thickBot="1" x14ac:dyDescent="0.25">
      <c r="B5429" s="5">
        <v>5424</v>
      </c>
      <c r="C5429" s="11">
        <v>213.39151234383587</v>
      </c>
      <c r="D5429" s="42"/>
    </row>
    <row r="5430" spans="2:4" ht="16" thickBot="1" x14ac:dyDescent="0.25">
      <c r="B5430" s="4">
        <v>5425</v>
      </c>
      <c r="C5430" s="10">
        <v>117.17279299033754</v>
      </c>
      <c r="D5430" s="42"/>
    </row>
    <row r="5431" spans="2:4" ht="16" thickBot="1" x14ac:dyDescent="0.25">
      <c r="B5431" s="5">
        <v>5426</v>
      </c>
      <c r="C5431" s="11">
        <v>184.21028686105896</v>
      </c>
      <c r="D5431" s="42"/>
    </row>
    <row r="5432" spans="2:4" ht="16" thickBot="1" x14ac:dyDescent="0.25">
      <c r="B5432" s="4">
        <v>5427</v>
      </c>
      <c r="C5432" s="10">
        <v>223.72088335871118</v>
      </c>
      <c r="D5432" s="42"/>
    </row>
    <row r="5433" spans="2:4" ht="16" thickBot="1" x14ac:dyDescent="0.25">
      <c r="B5433" s="5">
        <v>5428</v>
      </c>
      <c r="C5433" s="11">
        <v>98.005706147660746</v>
      </c>
      <c r="D5433" s="42"/>
    </row>
    <row r="5434" spans="2:4" ht="16" thickBot="1" x14ac:dyDescent="0.25">
      <c r="B5434" s="4">
        <v>5429</v>
      </c>
      <c r="C5434" s="10">
        <v>765.99676001552757</v>
      </c>
      <c r="D5434" s="42"/>
    </row>
    <row r="5435" spans="2:4" ht="16" thickBot="1" x14ac:dyDescent="0.25">
      <c r="B5435" s="5">
        <v>5430</v>
      </c>
      <c r="C5435" s="11">
        <v>162.7952606147835</v>
      </c>
      <c r="D5435" s="42"/>
    </row>
    <row r="5436" spans="2:4" ht="16" thickBot="1" x14ac:dyDescent="0.25">
      <c r="B5436" s="4">
        <v>5431</v>
      </c>
      <c r="C5436" s="10">
        <v>148.54527966590339</v>
      </c>
      <c r="D5436" s="42"/>
    </row>
    <row r="5437" spans="2:4" ht="16" thickBot="1" x14ac:dyDescent="0.25">
      <c r="B5437" s="5">
        <v>5432</v>
      </c>
      <c r="C5437" s="11">
        <v>81.272562832448614</v>
      </c>
      <c r="D5437" s="42"/>
    </row>
    <row r="5438" spans="2:4" ht="16" thickBot="1" x14ac:dyDescent="0.25">
      <c r="B5438" s="4">
        <v>5433</v>
      </c>
      <c r="C5438" s="10">
        <v>318.30588732354244</v>
      </c>
      <c r="D5438" s="42"/>
    </row>
    <row r="5439" spans="2:4" ht="16" thickBot="1" x14ac:dyDescent="0.25">
      <c r="B5439" s="5">
        <v>5434</v>
      </c>
      <c r="C5439" s="11">
        <v>80.839282084094734</v>
      </c>
      <c r="D5439" s="42"/>
    </row>
    <row r="5440" spans="2:4" ht="16" thickBot="1" x14ac:dyDescent="0.25">
      <c r="B5440" s="4">
        <v>5435</v>
      </c>
      <c r="C5440" s="10">
        <v>431.68351339058984</v>
      </c>
      <c r="D5440" s="42"/>
    </row>
    <row r="5441" spans="2:4" ht="16" thickBot="1" x14ac:dyDescent="0.25">
      <c r="B5441" s="5">
        <v>5436</v>
      </c>
      <c r="C5441" s="11">
        <v>257.89610116229295</v>
      </c>
      <c r="D5441" s="42"/>
    </row>
    <row r="5442" spans="2:4" ht="16" thickBot="1" x14ac:dyDescent="0.25">
      <c r="B5442" s="4">
        <v>5437</v>
      </c>
      <c r="C5442" s="10">
        <v>148.2416386960042</v>
      </c>
      <c r="D5442" s="42"/>
    </row>
    <row r="5443" spans="2:4" ht="16" thickBot="1" x14ac:dyDescent="0.25">
      <c r="B5443" s="5">
        <v>5438</v>
      </c>
      <c r="C5443" s="11">
        <v>206.84080551811618</v>
      </c>
      <c r="D5443" s="42"/>
    </row>
    <row r="5444" spans="2:4" ht="16" thickBot="1" x14ac:dyDescent="0.25">
      <c r="B5444" s="4">
        <v>5439</v>
      </c>
      <c r="C5444" s="10">
        <v>335.79009944427582</v>
      </c>
      <c r="D5444" s="42"/>
    </row>
    <row r="5445" spans="2:4" ht="16" thickBot="1" x14ac:dyDescent="0.25">
      <c r="B5445" s="5">
        <v>5440</v>
      </c>
      <c r="C5445" s="11">
        <v>189.11722495043583</v>
      </c>
      <c r="D5445" s="42"/>
    </row>
    <row r="5446" spans="2:4" ht="16" thickBot="1" x14ac:dyDescent="0.25">
      <c r="B5446" s="4">
        <v>5441</v>
      </c>
      <c r="C5446" s="10">
        <v>288.96704929561827</v>
      </c>
      <c r="D5446" s="42"/>
    </row>
    <row r="5447" spans="2:4" ht="16" thickBot="1" x14ac:dyDescent="0.25">
      <c r="B5447" s="5">
        <v>5442</v>
      </c>
      <c r="C5447" s="11">
        <v>210.37864077037764</v>
      </c>
      <c r="D5447" s="42"/>
    </row>
    <row r="5448" spans="2:4" ht="16" thickBot="1" x14ac:dyDescent="0.25">
      <c r="B5448" s="4">
        <v>5443</v>
      </c>
      <c r="C5448" s="10">
        <v>212.01471180728745</v>
      </c>
      <c r="D5448" s="42"/>
    </row>
    <row r="5449" spans="2:4" ht="16" thickBot="1" x14ac:dyDescent="0.25">
      <c r="B5449" s="5">
        <v>5444</v>
      </c>
      <c r="C5449" s="11">
        <v>115.6810369787958</v>
      </c>
      <c r="D5449" s="42"/>
    </row>
    <row r="5450" spans="2:4" ht="16" thickBot="1" x14ac:dyDescent="0.25">
      <c r="B5450" s="4">
        <v>5445</v>
      </c>
      <c r="C5450" s="10">
        <v>159.2380612986521</v>
      </c>
      <c r="D5450" s="42"/>
    </row>
    <row r="5451" spans="2:4" ht="16" thickBot="1" x14ac:dyDescent="0.25">
      <c r="B5451" s="5">
        <v>5446</v>
      </c>
      <c r="C5451" s="11">
        <v>216.09897804791694</v>
      </c>
      <c r="D5451" s="42"/>
    </row>
    <row r="5452" spans="2:4" ht="16" thickBot="1" x14ac:dyDescent="0.25">
      <c r="B5452" s="4">
        <v>5447</v>
      </c>
      <c r="C5452" s="10">
        <v>255.46826482574957</v>
      </c>
      <c r="D5452" s="42"/>
    </row>
    <row r="5453" spans="2:4" ht="16" thickBot="1" x14ac:dyDescent="0.25">
      <c r="B5453" s="5">
        <v>5448</v>
      </c>
      <c r="C5453" s="11">
        <v>575.81712040287744</v>
      </c>
      <c r="D5453" s="42"/>
    </row>
    <row r="5454" spans="2:4" ht="16" thickBot="1" x14ac:dyDescent="0.25">
      <c r="B5454" s="4">
        <v>5449</v>
      </c>
      <c r="C5454" s="10">
        <v>129.52009040178234</v>
      </c>
      <c r="D5454" s="42"/>
    </row>
    <row r="5455" spans="2:4" ht="16" thickBot="1" x14ac:dyDescent="0.25">
      <c r="B5455" s="5">
        <v>5450</v>
      </c>
      <c r="C5455" s="11">
        <v>534.19318269488144</v>
      </c>
      <c r="D5455" s="42"/>
    </row>
    <row r="5456" spans="2:4" ht="16" thickBot="1" x14ac:dyDescent="0.25">
      <c r="B5456" s="4">
        <v>5451</v>
      </c>
      <c r="C5456" s="10">
        <v>480.34048696815296</v>
      </c>
      <c r="D5456" s="42"/>
    </row>
    <row r="5457" spans="2:4" ht="16" thickBot="1" x14ac:dyDescent="0.25">
      <c r="B5457" s="5">
        <v>5452</v>
      </c>
      <c r="C5457" s="11">
        <v>329.50082385896189</v>
      </c>
      <c r="D5457" s="42"/>
    </row>
    <row r="5458" spans="2:4" ht="16" thickBot="1" x14ac:dyDescent="0.25">
      <c r="B5458" s="4">
        <v>5453</v>
      </c>
      <c r="C5458" s="10">
        <v>337.27266075151829</v>
      </c>
      <c r="D5458" s="42"/>
    </row>
    <row r="5459" spans="2:4" ht="16" thickBot="1" x14ac:dyDescent="0.25">
      <c r="B5459" s="5">
        <v>5454</v>
      </c>
      <c r="C5459" s="11">
        <v>111.73187571095607</v>
      </c>
      <c r="D5459" s="42"/>
    </row>
    <row r="5460" spans="2:4" ht="16" thickBot="1" x14ac:dyDescent="0.25">
      <c r="B5460" s="4">
        <v>5455</v>
      </c>
      <c r="C5460" s="10">
        <v>311.00600161361945</v>
      </c>
      <c r="D5460" s="42"/>
    </row>
    <row r="5461" spans="2:4" ht="16" thickBot="1" x14ac:dyDescent="0.25">
      <c r="B5461" s="5">
        <v>5456</v>
      </c>
      <c r="C5461" s="11">
        <v>129.28590640170341</v>
      </c>
      <c r="D5461" s="42"/>
    </row>
    <row r="5462" spans="2:4" ht="16" thickBot="1" x14ac:dyDescent="0.25">
      <c r="B5462" s="4">
        <v>5457</v>
      </c>
      <c r="C5462" s="10">
        <v>112.87979299283749</v>
      </c>
      <c r="D5462" s="42"/>
    </row>
    <row r="5463" spans="2:4" ht="16" thickBot="1" x14ac:dyDescent="0.25">
      <c r="B5463" s="5">
        <v>5458</v>
      </c>
      <c r="C5463" s="11">
        <v>60.951819216942255</v>
      </c>
      <c r="D5463" s="42"/>
    </row>
    <row r="5464" spans="2:4" ht="16" thickBot="1" x14ac:dyDescent="0.25">
      <c r="B5464" s="4">
        <v>5459</v>
      </c>
      <c r="C5464" s="10">
        <v>127.31436017244214</v>
      </c>
      <c r="D5464" s="42"/>
    </row>
    <row r="5465" spans="2:4" ht="16" thickBot="1" x14ac:dyDescent="0.25">
      <c r="B5465" s="5">
        <v>5460</v>
      </c>
      <c r="C5465" s="11">
        <v>490.04732719729759</v>
      </c>
      <c r="D5465" s="42"/>
    </row>
    <row r="5466" spans="2:4" ht="16" thickBot="1" x14ac:dyDescent="0.25">
      <c r="B5466" s="4">
        <v>5461</v>
      </c>
      <c r="C5466" s="10">
        <v>431.13044460464448</v>
      </c>
      <c r="D5466" s="42"/>
    </row>
    <row r="5467" spans="2:4" ht="16" thickBot="1" x14ac:dyDescent="0.25">
      <c r="B5467" s="5">
        <v>5462</v>
      </c>
      <c r="C5467" s="11">
        <v>493.81556162366735</v>
      </c>
      <c r="D5467" s="42"/>
    </row>
    <row r="5468" spans="2:4" ht="16" thickBot="1" x14ac:dyDescent="0.25">
      <c r="B5468" s="4">
        <v>5463</v>
      </c>
      <c r="C5468" s="10">
        <v>183.10640843785578</v>
      </c>
      <c r="D5468" s="42"/>
    </row>
    <row r="5469" spans="2:4" ht="16" thickBot="1" x14ac:dyDescent="0.25">
      <c r="B5469" s="5">
        <v>5464</v>
      </c>
      <c r="C5469" s="11">
        <v>237.10350475552286</v>
      </c>
      <c r="D5469" s="42"/>
    </row>
    <row r="5470" spans="2:4" ht="16" thickBot="1" x14ac:dyDescent="0.25">
      <c r="B5470" s="4">
        <v>5465</v>
      </c>
      <c r="C5470" s="10">
        <v>133.63197270222858</v>
      </c>
      <c r="D5470" s="42"/>
    </row>
    <row r="5471" spans="2:4" ht="16" thickBot="1" x14ac:dyDescent="0.25">
      <c r="B5471" s="5">
        <v>5466</v>
      </c>
      <c r="C5471" s="11">
        <v>292.83193969189045</v>
      </c>
      <c r="D5471" s="42"/>
    </row>
    <row r="5472" spans="2:4" ht="16" thickBot="1" x14ac:dyDescent="0.25">
      <c r="B5472" s="4">
        <v>5467</v>
      </c>
      <c r="C5472" s="10">
        <v>412.66292313152144</v>
      </c>
      <c r="D5472" s="42"/>
    </row>
    <row r="5473" spans="2:4" ht="16" thickBot="1" x14ac:dyDescent="0.25">
      <c r="B5473" s="5">
        <v>5468</v>
      </c>
      <c r="C5473" s="11">
        <v>329.38549927336663</v>
      </c>
      <c r="D5473" s="42"/>
    </row>
    <row r="5474" spans="2:4" ht="16" thickBot="1" x14ac:dyDescent="0.25">
      <c r="B5474" s="4">
        <v>5469</v>
      </c>
      <c r="C5474" s="10">
        <v>128.79644033027188</v>
      </c>
      <c r="D5474" s="42"/>
    </row>
    <row r="5475" spans="2:4" ht="16" thickBot="1" x14ac:dyDescent="0.25">
      <c r="B5475" s="5">
        <v>5470</v>
      </c>
      <c r="C5475" s="11">
        <v>25.670690869126442</v>
      </c>
      <c r="D5475" s="42"/>
    </row>
    <row r="5476" spans="2:4" ht="16" thickBot="1" x14ac:dyDescent="0.25">
      <c r="B5476" s="4">
        <v>5471</v>
      </c>
      <c r="C5476" s="10">
        <v>132.18146762599878</v>
      </c>
      <c r="D5476" s="42"/>
    </row>
    <row r="5477" spans="2:4" ht="16" thickBot="1" x14ac:dyDescent="0.25">
      <c r="B5477" s="5">
        <v>5472</v>
      </c>
      <c r="C5477" s="11">
        <v>113.75193571441746</v>
      </c>
      <c r="D5477" s="42"/>
    </row>
    <row r="5478" spans="2:4" ht="16" thickBot="1" x14ac:dyDescent="0.25">
      <c r="B5478" s="4">
        <v>5473</v>
      </c>
      <c r="C5478" s="10">
        <v>459.76390134138683</v>
      </c>
      <c r="D5478" s="42"/>
    </row>
    <row r="5479" spans="2:4" ht="16" thickBot="1" x14ac:dyDescent="0.25">
      <c r="B5479" s="5">
        <v>5474</v>
      </c>
      <c r="C5479" s="11">
        <v>429.31236799308493</v>
      </c>
      <c r="D5479" s="42"/>
    </row>
    <row r="5480" spans="2:4" ht="16" thickBot="1" x14ac:dyDescent="0.25">
      <c r="B5480" s="4">
        <v>5475</v>
      </c>
      <c r="C5480" s="10">
        <v>572.02762655114645</v>
      </c>
      <c r="D5480" s="42"/>
    </row>
    <row r="5481" spans="2:4" ht="16" thickBot="1" x14ac:dyDescent="0.25">
      <c r="B5481" s="5">
        <v>5476</v>
      </c>
      <c r="C5481" s="11">
        <v>119.82236698483192</v>
      </c>
      <c r="D5481" s="42"/>
    </row>
    <row r="5482" spans="2:4" ht="16" thickBot="1" x14ac:dyDescent="0.25">
      <c r="B5482" s="4">
        <v>5477</v>
      </c>
      <c r="C5482" s="10">
        <v>112.71551740528541</v>
      </c>
      <c r="D5482" s="42"/>
    </row>
    <row r="5483" spans="2:4" ht="16" thickBot="1" x14ac:dyDescent="0.25">
      <c r="B5483" s="5">
        <v>5478</v>
      </c>
      <c r="C5483" s="11">
        <v>184.08222182125573</v>
      </c>
      <c r="D5483" s="42"/>
    </row>
    <row r="5484" spans="2:4" ht="16" thickBot="1" x14ac:dyDescent="0.25">
      <c r="B5484" s="4">
        <v>5479</v>
      </c>
      <c r="C5484" s="10">
        <v>379.84895608476501</v>
      </c>
      <c r="D5484" s="42"/>
    </row>
    <row r="5485" spans="2:4" ht="16" thickBot="1" x14ac:dyDescent="0.25">
      <c r="B5485" s="5">
        <v>5480</v>
      </c>
      <c r="C5485" s="11">
        <v>473.95589506480894</v>
      </c>
      <c r="D5485" s="42"/>
    </row>
    <row r="5486" spans="2:4" ht="16" thickBot="1" x14ac:dyDescent="0.25">
      <c r="B5486" s="4">
        <v>5481</v>
      </c>
      <c r="C5486" s="10">
        <v>403.99075029908761</v>
      </c>
      <c r="D5486" s="42"/>
    </row>
    <row r="5487" spans="2:4" ht="16" thickBot="1" x14ac:dyDescent="0.25">
      <c r="B5487" s="5">
        <v>5482</v>
      </c>
      <c r="C5487" s="11">
        <v>33.697489541431423</v>
      </c>
      <c r="D5487" s="42"/>
    </row>
    <row r="5488" spans="2:4" ht="16" thickBot="1" x14ac:dyDescent="0.25">
      <c r="B5488" s="4">
        <v>5483</v>
      </c>
      <c r="C5488" s="10">
        <v>234.54836334588725</v>
      </c>
      <c r="D5488" s="42"/>
    </row>
    <row r="5489" spans="2:4" ht="16" thickBot="1" x14ac:dyDescent="0.25">
      <c r="B5489" s="5">
        <v>5484</v>
      </c>
      <c r="C5489" s="11">
        <v>129.25698246419486</v>
      </c>
      <c r="D5489" s="42"/>
    </row>
    <row r="5490" spans="2:4" ht="16" thickBot="1" x14ac:dyDescent="0.25">
      <c r="B5490" s="4">
        <v>5485</v>
      </c>
      <c r="C5490" s="10">
        <v>148.2362843865422</v>
      </c>
      <c r="D5490" s="42"/>
    </row>
    <row r="5491" spans="2:4" ht="16" thickBot="1" x14ac:dyDescent="0.25">
      <c r="B5491" s="5">
        <v>5486</v>
      </c>
      <c r="C5491" s="11">
        <v>155.48691593622337</v>
      </c>
      <c r="D5491" s="42"/>
    </row>
    <row r="5492" spans="2:4" ht="16" thickBot="1" x14ac:dyDescent="0.25">
      <c r="B5492" s="4">
        <v>5487</v>
      </c>
      <c r="C5492" s="10">
        <v>346.88812099495527</v>
      </c>
      <c r="D5492" s="42"/>
    </row>
    <row r="5493" spans="2:4" ht="16" thickBot="1" x14ac:dyDescent="0.25">
      <c r="B5493" s="5">
        <v>5488</v>
      </c>
      <c r="C5493" s="11">
        <v>85.987157678562809</v>
      </c>
      <c r="D5493" s="42"/>
    </row>
    <row r="5494" spans="2:4" ht="16" thickBot="1" x14ac:dyDescent="0.25">
      <c r="B5494" s="4">
        <v>5489</v>
      </c>
      <c r="C5494" s="10">
        <v>208.67528519717024</v>
      </c>
      <c r="D5494" s="42"/>
    </row>
    <row r="5495" spans="2:4" ht="16" thickBot="1" x14ac:dyDescent="0.25">
      <c r="B5495" s="5">
        <v>5490</v>
      </c>
      <c r="C5495" s="11">
        <v>313.62239115421391</v>
      </c>
      <c r="D5495" s="42"/>
    </row>
    <row r="5496" spans="2:4" ht="16" thickBot="1" x14ac:dyDescent="0.25">
      <c r="B5496" s="4">
        <v>5491</v>
      </c>
      <c r="C5496" s="10">
        <v>243.38969244098431</v>
      </c>
      <c r="D5496" s="42"/>
    </row>
    <row r="5497" spans="2:4" ht="16" thickBot="1" x14ac:dyDescent="0.25">
      <c r="B5497" s="5">
        <v>5492</v>
      </c>
      <c r="C5497" s="11">
        <v>633.3220116286584</v>
      </c>
      <c r="D5497" s="42"/>
    </row>
    <row r="5498" spans="2:4" ht="16" thickBot="1" x14ac:dyDescent="0.25">
      <c r="B5498" s="4">
        <v>5493</v>
      </c>
      <c r="C5498" s="10">
        <v>157.72099558788696</v>
      </c>
      <c r="D5498" s="42"/>
    </row>
    <row r="5499" spans="2:4" ht="16" thickBot="1" x14ac:dyDescent="0.25">
      <c r="B5499" s="5">
        <v>5494</v>
      </c>
      <c r="C5499" s="11">
        <v>189.99102102781501</v>
      </c>
      <c r="D5499" s="42"/>
    </row>
    <row r="5500" spans="2:4" ht="16" thickBot="1" x14ac:dyDescent="0.25">
      <c r="B5500" s="4">
        <v>5495</v>
      </c>
      <c r="C5500" s="10">
        <v>243.18408539483499</v>
      </c>
      <c r="D5500" s="42"/>
    </row>
    <row r="5501" spans="2:4" ht="16" thickBot="1" x14ac:dyDescent="0.25">
      <c r="B5501" s="5">
        <v>5496</v>
      </c>
      <c r="C5501" s="11">
        <v>186.3488039348079</v>
      </c>
      <c r="D5501" s="42"/>
    </row>
    <row r="5502" spans="2:4" ht="16" thickBot="1" x14ac:dyDescent="0.25">
      <c r="B5502" s="4">
        <v>5497</v>
      </c>
      <c r="C5502" s="10">
        <v>95.509717294180376</v>
      </c>
      <c r="D5502" s="42"/>
    </row>
    <row r="5503" spans="2:4" ht="16" thickBot="1" x14ac:dyDescent="0.25">
      <c r="B5503" s="5">
        <v>5498</v>
      </c>
      <c r="C5503" s="11">
        <v>323.80021439246877</v>
      </c>
      <c r="D5503" s="42"/>
    </row>
    <row r="5504" spans="2:4" ht="16" thickBot="1" x14ac:dyDescent="0.25">
      <c r="B5504" s="4">
        <v>5499</v>
      </c>
      <c r="C5504" s="10">
        <v>96.429322019595887</v>
      </c>
      <c r="D5504" s="42"/>
    </row>
    <row r="5505" spans="2:4" ht="16" thickBot="1" x14ac:dyDescent="0.25">
      <c r="B5505" s="5">
        <v>5500</v>
      </c>
      <c r="C5505" s="11">
        <v>193.91869572731824</v>
      </c>
      <c r="D5505" s="42"/>
    </row>
    <row r="5506" spans="2:4" ht="16" thickBot="1" x14ac:dyDescent="0.25">
      <c r="B5506" s="4">
        <v>5501</v>
      </c>
      <c r="C5506" s="10">
        <v>253.34140739684975</v>
      </c>
      <c r="D5506" s="42"/>
    </row>
    <row r="5507" spans="2:4" ht="16" thickBot="1" x14ac:dyDescent="0.25">
      <c r="B5507" s="5">
        <v>5502</v>
      </c>
      <c r="C5507" s="11">
        <v>171.49009093160947</v>
      </c>
      <c r="D5507" s="42"/>
    </row>
    <row r="5508" spans="2:4" ht="16" thickBot="1" x14ac:dyDescent="0.25">
      <c r="B5508" s="4">
        <v>5503</v>
      </c>
      <c r="C5508" s="10">
        <v>69.310386049294735</v>
      </c>
      <c r="D5508" s="42"/>
    </row>
    <row r="5509" spans="2:4" ht="16" thickBot="1" x14ac:dyDescent="0.25">
      <c r="B5509" s="5">
        <v>5504</v>
      </c>
      <c r="C5509" s="11">
        <v>234.48124549026713</v>
      </c>
      <c r="D5509" s="42"/>
    </row>
    <row r="5510" spans="2:4" ht="16" thickBot="1" x14ac:dyDescent="0.25">
      <c r="B5510" s="4">
        <v>5505</v>
      </c>
      <c r="C5510" s="10">
        <v>145.71757444936276</v>
      </c>
      <c r="D5510" s="42"/>
    </row>
    <row r="5511" spans="2:4" ht="16" thickBot="1" x14ac:dyDescent="0.25">
      <c r="B5511" s="5">
        <v>5506</v>
      </c>
      <c r="C5511" s="11">
        <v>297.1756277559391</v>
      </c>
      <c r="D5511" s="42"/>
    </row>
    <row r="5512" spans="2:4" ht="16" thickBot="1" x14ac:dyDescent="0.25">
      <c r="B5512" s="4">
        <v>5507</v>
      </c>
      <c r="C5512" s="10">
        <v>461.55933810749389</v>
      </c>
      <c r="D5512" s="42"/>
    </row>
    <row r="5513" spans="2:4" ht="16" thickBot="1" x14ac:dyDescent="0.25">
      <c r="B5513" s="5">
        <v>5508</v>
      </c>
      <c r="C5513" s="11">
        <v>617.99380162309308</v>
      </c>
      <c r="D5513" s="42"/>
    </row>
    <row r="5514" spans="2:4" ht="16" thickBot="1" x14ac:dyDescent="0.25">
      <c r="B5514" s="4">
        <v>5509</v>
      </c>
      <c r="C5514" s="10">
        <v>199.72088630079318</v>
      </c>
      <c r="D5514" s="42"/>
    </row>
    <row r="5515" spans="2:4" ht="16" thickBot="1" x14ac:dyDescent="0.25">
      <c r="B5515" s="5">
        <v>5510</v>
      </c>
      <c r="C5515" s="11">
        <v>465.33396733794717</v>
      </c>
      <c r="D5515" s="42"/>
    </row>
    <row r="5516" spans="2:4" ht="16" thickBot="1" x14ac:dyDescent="0.25">
      <c r="B5516" s="4">
        <v>5511</v>
      </c>
      <c r="C5516" s="10">
        <v>133.54116403205273</v>
      </c>
      <c r="D5516" s="42"/>
    </row>
    <row r="5517" spans="2:4" ht="16" thickBot="1" x14ac:dyDescent="0.25">
      <c r="B5517" s="5">
        <v>5512</v>
      </c>
      <c r="C5517" s="11">
        <v>192.49606170640268</v>
      </c>
      <c r="D5517" s="42"/>
    </row>
    <row r="5518" spans="2:4" ht="16" thickBot="1" x14ac:dyDescent="0.25">
      <c r="B5518" s="4">
        <v>5513</v>
      </c>
      <c r="C5518" s="10">
        <v>194.50842978286718</v>
      </c>
      <c r="D5518" s="42"/>
    </row>
    <row r="5519" spans="2:4" ht="16" thickBot="1" x14ac:dyDescent="0.25">
      <c r="B5519" s="5">
        <v>5514</v>
      </c>
      <c r="C5519" s="11">
        <v>118.80112981160252</v>
      </c>
      <c r="D5519" s="42"/>
    </row>
    <row r="5520" spans="2:4" ht="16" thickBot="1" x14ac:dyDescent="0.25">
      <c r="B5520" s="4">
        <v>5515</v>
      </c>
      <c r="C5520" s="10">
        <v>365.25602061008289</v>
      </c>
      <c r="D5520" s="42"/>
    </row>
    <row r="5521" spans="2:4" ht="16" thickBot="1" x14ac:dyDescent="0.25">
      <c r="B5521" s="5">
        <v>5516</v>
      </c>
      <c r="C5521" s="11">
        <v>228.69838920389361</v>
      </c>
      <c r="D5521" s="42"/>
    </row>
    <row r="5522" spans="2:4" ht="16" thickBot="1" x14ac:dyDescent="0.25">
      <c r="B5522" s="4">
        <v>5517</v>
      </c>
      <c r="C5522" s="10">
        <v>502.25436811531182</v>
      </c>
      <c r="D5522" s="42"/>
    </row>
    <row r="5523" spans="2:4" ht="16" thickBot="1" x14ac:dyDescent="0.25">
      <c r="B5523" s="5">
        <v>5518</v>
      </c>
      <c r="C5523" s="11">
        <v>564.87948653480578</v>
      </c>
      <c r="D5523" s="42"/>
    </row>
    <row r="5524" spans="2:4" ht="16" thickBot="1" x14ac:dyDescent="0.25">
      <c r="B5524" s="4">
        <v>5519</v>
      </c>
      <c r="C5524" s="10">
        <v>425.54588897024934</v>
      </c>
      <c r="D5524" s="42"/>
    </row>
    <row r="5525" spans="2:4" ht="16" thickBot="1" x14ac:dyDescent="0.25">
      <c r="B5525" s="5">
        <v>5520</v>
      </c>
      <c r="C5525" s="11">
        <v>286.64728455543627</v>
      </c>
      <c r="D5525" s="42"/>
    </row>
    <row r="5526" spans="2:4" ht="16" thickBot="1" x14ac:dyDescent="0.25">
      <c r="B5526" s="4">
        <v>5521</v>
      </c>
      <c r="C5526" s="10">
        <v>176.89769361570657</v>
      </c>
      <c r="D5526" s="42"/>
    </row>
    <row r="5527" spans="2:4" ht="16" thickBot="1" x14ac:dyDescent="0.25">
      <c r="B5527" s="5">
        <v>5522</v>
      </c>
      <c r="C5527" s="11">
        <v>82.193024624953196</v>
      </c>
      <c r="D5527" s="42"/>
    </row>
    <row r="5528" spans="2:4" ht="16" thickBot="1" x14ac:dyDescent="0.25">
      <c r="B5528" s="4">
        <v>5523</v>
      </c>
      <c r="C5528" s="10">
        <v>155.06988306659494</v>
      </c>
      <c r="D5528" s="42"/>
    </row>
    <row r="5529" spans="2:4" ht="16" thickBot="1" x14ac:dyDescent="0.25">
      <c r="B5529" s="5">
        <v>5524</v>
      </c>
      <c r="C5529" s="11">
        <v>231.61197636256557</v>
      </c>
      <c r="D5529" s="42"/>
    </row>
    <row r="5530" spans="2:4" ht="16" thickBot="1" x14ac:dyDescent="0.25">
      <c r="B5530" s="4">
        <v>5525</v>
      </c>
      <c r="C5530" s="10">
        <v>107.28752177060234</v>
      </c>
      <c r="D5530" s="42"/>
    </row>
    <row r="5531" spans="2:4" ht="16" thickBot="1" x14ac:dyDescent="0.25">
      <c r="B5531" s="5">
        <v>5526</v>
      </c>
      <c r="C5531" s="11">
        <v>326.49250571138873</v>
      </c>
      <c r="D5531" s="42"/>
    </row>
    <row r="5532" spans="2:4" ht="16" thickBot="1" x14ac:dyDescent="0.25">
      <c r="B5532" s="4">
        <v>5527</v>
      </c>
      <c r="C5532" s="10">
        <v>129.47169620761125</v>
      </c>
      <c r="D5532" s="42"/>
    </row>
    <row r="5533" spans="2:4" ht="16" thickBot="1" x14ac:dyDescent="0.25">
      <c r="B5533" s="5">
        <v>5528</v>
      </c>
      <c r="C5533" s="11">
        <v>106.44378010930227</v>
      </c>
      <c r="D5533" s="42"/>
    </row>
    <row r="5534" spans="2:4" ht="16" thickBot="1" x14ac:dyDescent="0.25">
      <c r="B5534" s="4">
        <v>5529</v>
      </c>
      <c r="C5534" s="10">
        <v>39.848452866711561</v>
      </c>
      <c r="D5534" s="42"/>
    </row>
    <row r="5535" spans="2:4" ht="16" thickBot="1" x14ac:dyDescent="0.25">
      <c r="B5535" s="5">
        <v>5530</v>
      </c>
      <c r="C5535" s="11">
        <v>76.173293049133477</v>
      </c>
      <c r="D5535" s="42"/>
    </row>
    <row r="5536" spans="2:4" ht="16" thickBot="1" x14ac:dyDescent="0.25">
      <c r="B5536" s="4">
        <v>5531</v>
      </c>
      <c r="C5536" s="10">
        <v>240.62415229163338</v>
      </c>
      <c r="D5536" s="42"/>
    </row>
    <row r="5537" spans="2:4" ht="16" thickBot="1" x14ac:dyDescent="0.25">
      <c r="B5537" s="5">
        <v>5532</v>
      </c>
      <c r="C5537" s="11">
        <v>345.28297863491986</v>
      </c>
      <c r="D5537" s="42"/>
    </row>
    <row r="5538" spans="2:4" ht="16" thickBot="1" x14ac:dyDescent="0.25">
      <c r="B5538" s="4">
        <v>5533</v>
      </c>
      <c r="C5538" s="10">
        <v>249.17199158133795</v>
      </c>
      <c r="D5538" s="42"/>
    </row>
    <row r="5539" spans="2:4" ht="16" thickBot="1" x14ac:dyDescent="0.25">
      <c r="B5539" s="5">
        <v>5534</v>
      </c>
      <c r="C5539" s="11">
        <v>289.3414142329126</v>
      </c>
      <c r="D5539" s="42"/>
    </row>
    <row r="5540" spans="2:4" ht="16" thickBot="1" x14ac:dyDescent="0.25">
      <c r="B5540" s="4">
        <v>5535</v>
      </c>
      <c r="C5540" s="10">
        <v>340.38512936189534</v>
      </c>
      <c r="D5540" s="42"/>
    </row>
    <row r="5541" spans="2:4" ht="16" thickBot="1" x14ac:dyDescent="0.25">
      <c r="B5541" s="5">
        <v>5536</v>
      </c>
      <c r="C5541" s="11">
        <v>224.82274549599768</v>
      </c>
      <c r="D5541" s="42"/>
    </row>
    <row r="5542" spans="2:4" ht="16" thickBot="1" x14ac:dyDescent="0.25">
      <c r="B5542" s="4">
        <v>5537</v>
      </c>
      <c r="C5542" s="10">
        <v>216.29011119623684</v>
      </c>
      <c r="D5542" s="42"/>
    </row>
    <row r="5543" spans="2:4" ht="16" thickBot="1" x14ac:dyDescent="0.25">
      <c r="B5543" s="5">
        <v>5538</v>
      </c>
      <c r="C5543" s="11">
        <v>55.852330360831644</v>
      </c>
      <c r="D5543" s="42"/>
    </row>
    <row r="5544" spans="2:4" ht="16" thickBot="1" x14ac:dyDescent="0.25">
      <c r="B5544" s="4">
        <v>5539</v>
      </c>
      <c r="C5544" s="10">
        <v>504.25939325162574</v>
      </c>
      <c r="D5544" s="42"/>
    </row>
    <row r="5545" spans="2:4" ht="16" thickBot="1" x14ac:dyDescent="0.25">
      <c r="B5545" s="5">
        <v>5540</v>
      </c>
      <c r="C5545" s="11">
        <v>521.63606345674157</v>
      </c>
      <c r="D5545" s="42"/>
    </row>
    <row r="5546" spans="2:4" ht="16" thickBot="1" x14ac:dyDescent="0.25">
      <c r="B5546" s="4">
        <v>5541</v>
      </c>
      <c r="C5546" s="10">
        <v>274.49991546819706</v>
      </c>
      <c r="D5546" s="42"/>
    </row>
    <row r="5547" spans="2:4" ht="16" thickBot="1" x14ac:dyDescent="0.25">
      <c r="B5547" s="5">
        <v>5542</v>
      </c>
      <c r="C5547" s="11">
        <v>302.3961420106254</v>
      </c>
      <c r="D5547" s="42"/>
    </row>
    <row r="5548" spans="2:4" ht="16" thickBot="1" x14ac:dyDescent="0.25">
      <c r="B5548" s="4">
        <v>5543</v>
      </c>
      <c r="C5548" s="10">
        <v>187.71049088698879</v>
      </c>
      <c r="D5548" s="42"/>
    </row>
    <row r="5549" spans="2:4" ht="16" thickBot="1" x14ac:dyDescent="0.25">
      <c r="B5549" s="5">
        <v>5544</v>
      </c>
      <c r="C5549" s="11">
        <v>243.71466940029777</v>
      </c>
      <c r="D5549" s="42"/>
    </row>
    <row r="5550" spans="2:4" ht="16" thickBot="1" x14ac:dyDescent="0.25">
      <c r="B5550" s="4">
        <v>5545</v>
      </c>
      <c r="C5550" s="10">
        <v>41.502142649353942</v>
      </c>
      <c r="D5550" s="42"/>
    </row>
    <row r="5551" spans="2:4" ht="16" thickBot="1" x14ac:dyDescent="0.25">
      <c r="B5551" s="5">
        <v>5546</v>
      </c>
      <c r="C5551" s="11">
        <v>158.08401473197708</v>
      </c>
      <c r="D5551" s="42"/>
    </row>
    <row r="5552" spans="2:4" ht="16" thickBot="1" x14ac:dyDescent="0.25">
      <c r="B5552" s="4">
        <v>5547</v>
      </c>
      <c r="C5552" s="10">
        <v>182.27228664733684</v>
      </c>
      <c r="D5552" s="42"/>
    </row>
    <row r="5553" spans="2:4" ht="16" thickBot="1" x14ac:dyDescent="0.25">
      <c r="B5553" s="5">
        <v>5548</v>
      </c>
      <c r="C5553" s="11">
        <v>99.176940727416707</v>
      </c>
      <c r="D5553" s="42"/>
    </row>
    <row r="5554" spans="2:4" ht="16" thickBot="1" x14ac:dyDescent="0.25">
      <c r="B5554" s="4">
        <v>5549</v>
      </c>
      <c r="C5554" s="10">
        <v>339.03960138123728</v>
      </c>
      <c r="D5554" s="42"/>
    </row>
    <row r="5555" spans="2:4" ht="16" thickBot="1" x14ac:dyDescent="0.25">
      <c r="B5555" s="5">
        <v>5550</v>
      </c>
      <c r="C5555" s="11">
        <v>267.23938095388388</v>
      </c>
      <c r="D5555" s="42"/>
    </row>
    <row r="5556" spans="2:4" ht="16" thickBot="1" x14ac:dyDescent="0.25">
      <c r="B5556" s="4">
        <v>5551</v>
      </c>
      <c r="C5556" s="10">
        <v>533.25945250411542</v>
      </c>
      <c r="D5556" s="42"/>
    </row>
    <row r="5557" spans="2:4" ht="16" thickBot="1" x14ac:dyDescent="0.25">
      <c r="B5557" s="5">
        <v>5552</v>
      </c>
      <c r="C5557" s="11">
        <v>431.93450464704603</v>
      </c>
      <c r="D5557" s="42"/>
    </row>
    <row r="5558" spans="2:4" ht="16" thickBot="1" x14ac:dyDescent="0.25">
      <c r="B5558" s="4">
        <v>5553</v>
      </c>
      <c r="C5558" s="10">
        <v>527.92695900834826</v>
      </c>
      <c r="D5558" s="42"/>
    </row>
    <row r="5559" spans="2:4" ht="16" thickBot="1" x14ac:dyDescent="0.25">
      <c r="B5559" s="5">
        <v>5554</v>
      </c>
      <c r="C5559" s="11">
        <v>377.03097603432246</v>
      </c>
      <c r="D5559" s="42"/>
    </row>
    <row r="5560" spans="2:4" ht="16" thickBot="1" x14ac:dyDescent="0.25">
      <c r="B5560" s="4">
        <v>5555</v>
      </c>
      <c r="C5560" s="10">
        <v>400.67469249661394</v>
      </c>
      <c r="D5560" s="42"/>
    </row>
    <row r="5561" spans="2:4" ht="16" thickBot="1" x14ac:dyDescent="0.25">
      <c r="B5561" s="5">
        <v>5556</v>
      </c>
      <c r="C5561" s="11">
        <v>57.324307433996474</v>
      </c>
      <c r="D5561" s="42"/>
    </row>
    <row r="5562" spans="2:4" ht="16" thickBot="1" x14ac:dyDescent="0.25">
      <c r="B5562" s="4">
        <v>5557</v>
      </c>
      <c r="C5562" s="10">
        <v>73.590327524721431</v>
      </c>
      <c r="D5562" s="42"/>
    </row>
    <row r="5563" spans="2:4" ht="16" thickBot="1" x14ac:dyDescent="0.25">
      <c r="B5563" s="5">
        <v>5558</v>
      </c>
      <c r="C5563" s="11">
        <v>206.23755046779536</v>
      </c>
      <c r="D5563" s="42"/>
    </row>
    <row r="5564" spans="2:4" ht="16" thickBot="1" x14ac:dyDescent="0.25">
      <c r="B5564" s="4">
        <v>5559</v>
      </c>
      <c r="C5564" s="10">
        <v>120.89112105846039</v>
      </c>
      <c r="D5564" s="42"/>
    </row>
    <row r="5565" spans="2:4" ht="16" thickBot="1" x14ac:dyDescent="0.25">
      <c r="B5565" s="5">
        <v>5560</v>
      </c>
      <c r="C5565" s="11">
        <v>25.594620033783627</v>
      </c>
      <c r="D5565" s="42"/>
    </row>
    <row r="5566" spans="2:4" ht="16" thickBot="1" x14ac:dyDescent="0.25">
      <c r="B5566" s="4">
        <v>5561</v>
      </c>
      <c r="C5566" s="10">
        <v>245.48755866050502</v>
      </c>
      <c r="D5566" s="42"/>
    </row>
    <row r="5567" spans="2:4" ht="16" thickBot="1" x14ac:dyDescent="0.25">
      <c r="B5567" s="5">
        <v>5562</v>
      </c>
      <c r="C5567" s="11">
        <v>149.67933464973314</v>
      </c>
      <c r="D5567" s="42"/>
    </row>
    <row r="5568" spans="2:4" ht="16" thickBot="1" x14ac:dyDescent="0.25">
      <c r="B5568" s="4">
        <v>5563</v>
      </c>
      <c r="C5568" s="10">
        <v>156.55118788950784</v>
      </c>
      <c r="D5568" s="42"/>
    </row>
    <row r="5569" spans="2:4" ht="16" thickBot="1" x14ac:dyDescent="0.25">
      <c r="B5569" s="5">
        <v>5564</v>
      </c>
      <c r="C5569" s="11">
        <v>485.13144630889906</v>
      </c>
      <c r="D5569" s="42"/>
    </row>
    <row r="5570" spans="2:4" ht="16" thickBot="1" x14ac:dyDescent="0.25">
      <c r="B5570" s="4">
        <v>5565</v>
      </c>
      <c r="C5570" s="10">
        <v>195.75577273871087</v>
      </c>
      <c r="D5570" s="42"/>
    </row>
    <row r="5571" spans="2:4" ht="16" thickBot="1" x14ac:dyDescent="0.25">
      <c r="B5571" s="5">
        <v>5566</v>
      </c>
      <c r="C5571" s="11">
        <v>172.59192404167695</v>
      </c>
      <c r="D5571" s="42"/>
    </row>
    <row r="5572" spans="2:4" ht="16" thickBot="1" x14ac:dyDescent="0.25">
      <c r="B5572" s="4">
        <v>5567</v>
      </c>
      <c r="C5572" s="10">
        <v>154.53262063936825</v>
      </c>
      <c r="D5572" s="42"/>
    </row>
    <row r="5573" spans="2:4" ht="16" thickBot="1" x14ac:dyDescent="0.25">
      <c r="B5573" s="5">
        <v>5568</v>
      </c>
      <c r="C5573" s="11">
        <v>154.22701743371516</v>
      </c>
      <c r="D5573" s="42"/>
    </row>
    <row r="5574" spans="2:4" ht="16" thickBot="1" x14ac:dyDescent="0.25">
      <c r="B5574" s="4">
        <v>5569</v>
      </c>
      <c r="C5574" s="10">
        <v>361.9623288934157</v>
      </c>
      <c r="D5574" s="42"/>
    </row>
    <row r="5575" spans="2:4" ht="16" thickBot="1" x14ac:dyDescent="0.25">
      <c r="B5575" s="5">
        <v>5570</v>
      </c>
      <c r="C5575" s="11">
        <v>72.494962251118451</v>
      </c>
      <c r="D5575" s="42"/>
    </row>
    <row r="5576" spans="2:4" ht="16" thickBot="1" x14ac:dyDescent="0.25">
      <c r="B5576" s="4">
        <v>5571</v>
      </c>
      <c r="C5576" s="10">
        <v>248.85565218638533</v>
      </c>
      <c r="D5576" s="42"/>
    </row>
    <row r="5577" spans="2:4" ht="16" thickBot="1" x14ac:dyDescent="0.25">
      <c r="B5577" s="5">
        <v>5572</v>
      </c>
      <c r="C5577" s="11">
        <v>203.25847515812953</v>
      </c>
      <c r="D5577" s="42"/>
    </row>
    <row r="5578" spans="2:4" ht="16" thickBot="1" x14ac:dyDescent="0.25">
      <c r="B5578" s="4">
        <v>5573</v>
      </c>
      <c r="C5578" s="10">
        <v>353.26105084773826</v>
      </c>
      <c r="D5578" s="42"/>
    </row>
    <row r="5579" spans="2:4" ht="16" thickBot="1" x14ac:dyDescent="0.25">
      <c r="B5579" s="5">
        <v>5574</v>
      </c>
      <c r="C5579" s="11">
        <v>71.724885683147875</v>
      </c>
      <c r="D5579" s="42"/>
    </row>
    <row r="5580" spans="2:4" ht="16" thickBot="1" x14ac:dyDescent="0.25">
      <c r="B5580" s="4">
        <v>5575</v>
      </c>
      <c r="C5580" s="10">
        <v>136.47197111819477</v>
      </c>
      <c r="D5580" s="42"/>
    </row>
    <row r="5581" spans="2:4" ht="16" thickBot="1" x14ac:dyDescent="0.25">
      <c r="B5581" s="5">
        <v>5576</v>
      </c>
      <c r="C5581" s="11">
        <v>441.9227104476866</v>
      </c>
      <c r="D5581" s="42"/>
    </row>
    <row r="5582" spans="2:4" ht="16" thickBot="1" x14ac:dyDescent="0.25">
      <c r="B5582" s="4">
        <v>5577</v>
      </c>
      <c r="C5582" s="10">
        <v>182.51070370265631</v>
      </c>
      <c r="D5582" s="42"/>
    </row>
    <row r="5583" spans="2:4" ht="16" thickBot="1" x14ac:dyDescent="0.25">
      <c r="B5583" s="5">
        <v>5578</v>
      </c>
      <c r="C5583" s="11">
        <v>83.903434225492262</v>
      </c>
      <c r="D5583" s="42"/>
    </row>
    <row r="5584" spans="2:4" ht="16" thickBot="1" x14ac:dyDescent="0.25">
      <c r="B5584" s="4">
        <v>5579</v>
      </c>
      <c r="C5584" s="10">
        <v>74.955475409590349</v>
      </c>
      <c r="D5584" s="42"/>
    </row>
    <row r="5585" spans="2:4" ht="16" thickBot="1" x14ac:dyDescent="0.25">
      <c r="B5585" s="5">
        <v>5580</v>
      </c>
      <c r="C5585" s="11">
        <v>162.20367886794028</v>
      </c>
      <c r="D5585" s="42"/>
    </row>
    <row r="5586" spans="2:4" ht="16" thickBot="1" x14ac:dyDescent="0.25">
      <c r="B5586" s="4">
        <v>5581</v>
      </c>
      <c r="C5586" s="10">
        <v>233.76961986823076</v>
      </c>
      <c r="D5586" s="42"/>
    </row>
    <row r="5587" spans="2:4" ht="16" thickBot="1" x14ac:dyDescent="0.25">
      <c r="B5587" s="5">
        <v>5582</v>
      </c>
      <c r="C5587" s="11">
        <v>196.75504856494672</v>
      </c>
      <c r="D5587" s="42"/>
    </row>
    <row r="5588" spans="2:4" ht="16" thickBot="1" x14ac:dyDescent="0.25">
      <c r="B5588" s="4">
        <v>5583</v>
      </c>
      <c r="C5588" s="10">
        <v>130.3813741068991</v>
      </c>
      <c r="D5588" s="42"/>
    </row>
    <row r="5589" spans="2:4" ht="16" thickBot="1" x14ac:dyDescent="0.25">
      <c r="B5589" s="5">
        <v>5584</v>
      </c>
      <c r="C5589" s="11">
        <v>251.95684852080743</v>
      </c>
      <c r="D5589" s="42"/>
    </row>
    <row r="5590" spans="2:4" ht="16" thickBot="1" x14ac:dyDescent="0.25">
      <c r="B5590" s="4">
        <v>5585</v>
      </c>
      <c r="C5590" s="10">
        <v>311.48921672137919</v>
      </c>
      <c r="D5590" s="42"/>
    </row>
    <row r="5591" spans="2:4" ht="16" thickBot="1" x14ac:dyDescent="0.25">
      <c r="B5591" s="5">
        <v>5586</v>
      </c>
      <c r="C5591" s="11">
        <v>310.17595128459584</v>
      </c>
      <c r="D5591" s="42"/>
    </row>
    <row r="5592" spans="2:4" ht="16" thickBot="1" x14ac:dyDescent="0.25">
      <c r="B5592" s="4">
        <v>5587</v>
      </c>
      <c r="C5592" s="10">
        <v>257.39499649178782</v>
      </c>
      <c r="D5592" s="42"/>
    </row>
    <row r="5593" spans="2:4" ht="16" thickBot="1" x14ac:dyDescent="0.25">
      <c r="B5593" s="5">
        <v>5588</v>
      </c>
      <c r="C5593" s="11">
        <v>326.77556746735604</v>
      </c>
      <c r="D5593" s="42"/>
    </row>
    <row r="5594" spans="2:4" ht="16" thickBot="1" x14ac:dyDescent="0.25">
      <c r="B5594" s="4">
        <v>5589</v>
      </c>
      <c r="C5594" s="10">
        <v>394.14257597122855</v>
      </c>
      <c r="D5594" s="42"/>
    </row>
    <row r="5595" spans="2:4" ht="16" thickBot="1" x14ac:dyDescent="0.25">
      <c r="B5595" s="5">
        <v>5590</v>
      </c>
      <c r="C5595" s="11">
        <v>175.13358112216798</v>
      </c>
      <c r="D5595" s="42"/>
    </row>
    <row r="5596" spans="2:4" ht="16" thickBot="1" x14ac:dyDescent="0.25">
      <c r="B5596" s="4">
        <v>5591</v>
      </c>
      <c r="C5596" s="10">
        <v>293.37572281680298</v>
      </c>
      <c r="D5596" s="42"/>
    </row>
    <row r="5597" spans="2:4" ht="16" thickBot="1" x14ac:dyDescent="0.25">
      <c r="B5597" s="5">
        <v>5592</v>
      </c>
      <c r="C5597" s="11">
        <v>204.03319368467879</v>
      </c>
      <c r="D5597" s="42"/>
    </row>
    <row r="5598" spans="2:4" ht="16" thickBot="1" x14ac:dyDescent="0.25">
      <c r="B5598" s="4">
        <v>5593</v>
      </c>
      <c r="C5598" s="10">
        <v>260.43396853424014</v>
      </c>
      <c r="D5598" s="42"/>
    </row>
    <row r="5599" spans="2:4" ht="16" thickBot="1" x14ac:dyDescent="0.25">
      <c r="B5599" s="5">
        <v>5594</v>
      </c>
      <c r="C5599" s="11">
        <v>90.269412782124959</v>
      </c>
      <c r="D5599" s="42"/>
    </row>
    <row r="5600" spans="2:4" ht="16" thickBot="1" x14ac:dyDescent="0.25">
      <c r="B5600" s="4">
        <v>5595</v>
      </c>
      <c r="C5600" s="10">
        <v>136.72767483371322</v>
      </c>
      <c r="D5600" s="42"/>
    </row>
    <row r="5601" spans="2:4" ht="16" thickBot="1" x14ac:dyDescent="0.25">
      <c r="B5601" s="5">
        <v>5596</v>
      </c>
      <c r="C5601" s="11">
        <v>234.85959327377321</v>
      </c>
      <c r="D5601" s="42"/>
    </row>
    <row r="5602" spans="2:4" ht="16" thickBot="1" x14ac:dyDescent="0.25">
      <c r="B5602" s="4">
        <v>5597</v>
      </c>
      <c r="C5602" s="10">
        <v>189.31827852614128</v>
      </c>
      <c r="D5602" s="42"/>
    </row>
    <row r="5603" spans="2:4" ht="16" thickBot="1" x14ac:dyDescent="0.25">
      <c r="B5603" s="5">
        <v>5598</v>
      </c>
      <c r="C5603" s="11">
        <v>154.19165372582535</v>
      </c>
      <c r="D5603" s="42"/>
    </row>
    <row r="5604" spans="2:4" ht="16" thickBot="1" x14ac:dyDescent="0.25">
      <c r="B5604" s="4">
        <v>5599</v>
      </c>
      <c r="C5604" s="10">
        <v>177.32945137153163</v>
      </c>
      <c r="D5604" s="42"/>
    </row>
    <row r="5605" spans="2:4" ht="16" thickBot="1" x14ac:dyDescent="0.25">
      <c r="B5605" s="5">
        <v>5600</v>
      </c>
      <c r="C5605" s="11">
        <v>200.90489713408024</v>
      </c>
      <c r="D5605" s="42"/>
    </row>
    <row r="5606" spans="2:4" ht="16" thickBot="1" x14ac:dyDescent="0.25">
      <c r="B5606" s="4">
        <v>5601</v>
      </c>
      <c r="C5606" s="10">
        <v>188.6438087018054</v>
      </c>
      <c r="D5606" s="42"/>
    </row>
    <row r="5607" spans="2:4" ht="16" thickBot="1" x14ac:dyDescent="0.25">
      <c r="B5607" s="5">
        <v>5602</v>
      </c>
      <c r="C5607" s="11">
        <v>128.52062504629089</v>
      </c>
      <c r="D5607" s="42"/>
    </row>
    <row r="5608" spans="2:4" ht="16" thickBot="1" x14ac:dyDescent="0.25">
      <c r="B5608" s="4">
        <v>5603</v>
      </c>
      <c r="C5608" s="10">
        <v>138.29062245401275</v>
      </c>
      <c r="D5608" s="42"/>
    </row>
    <row r="5609" spans="2:4" ht="16" thickBot="1" x14ac:dyDescent="0.25">
      <c r="B5609" s="5">
        <v>5604</v>
      </c>
      <c r="C5609" s="11">
        <v>479.47998028501638</v>
      </c>
      <c r="D5609" s="42"/>
    </row>
    <row r="5610" spans="2:4" ht="16" thickBot="1" x14ac:dyDescent="0.25">
      <c r="B5610" s="4">
        <v>5605</v>
      </c>
      <c r="C5610" s="10">
        <v>332.54646058033126</v>
      </c>
      <c r="D5610" s="42"/>
    </row>
    <row r="5611" spans="2:4" ht="16" thickBot="1" x14ac:dyDescent="0.25">
      <c r="B5611" s="5">
        <v>5606</v>
      </c>
      <c r="C5611" s="11">
        <v>215.69004402027051</v>
      </c>
      <c r="D5611" s="42"/>
    </row>
    <row r="5612" spans="2:4" ht="16" thickBot="1" x14ac:dyDescent="0.25">
      <c r="B5612" s="4">
        <v>5607</v>
      </c>
      <c r="C5612" s="10">
        <v>282.64215062178135</v>
      </c>
      <c r="D5612" s="42"/>
    </row>
    <row r="5613" spans="2:4" ht="16" thickBot="1" x14ac:dyDescent="0.25">
      <c r="B5613" s="5">
        <v>5608</v>
      </c>
      <c r="C5613" s="11">
        <v>156.56949761250056</v>
      </c>
      <c r="D5613" s="42"/>
    </row>
    <row r="5614" spans="2:4" ht="16" thickBot="1" x14ac:dyDescent="0.25">
      <c r="B5614" s="4">
        <v>5609</v>
      </c>
      <c r="C5614" s="10">
        <v>77.288838262016085</v>
      </c>
      <c r="D5614" s="42"/>
    </row>
    <row r="5615" spans="2:4" ht="16" thickBot="1" x14ac:dyDescent="0.25">
      <c r="B5615" s="5">
        <v>5610</v>
      </c>
      <c r="C5615" s="11">
        <v>482.34715702039813</v>
      </c>
      <c r="D5615" s="42"/>
    </row>
    <row r="5616" spans="2:4" ht="16" thickBot="1" x14ac:dyDescent="0.25">
      <c r="B5616" s="4">
        <v>5611</v>
      </c>
      <c r="C5616" s="10">
        <v>710.54303581870226</v>
      </c>
      <c r="D5616" s="42"/>
    </row>
    <row r="5617" spans="2:4" ht="16" thickBot="1" x14ac:dyDescent="0.25">
      <c r="B5617" s="5">
        <v>5612</v>
      </c>
      <c r="C5617" s="11">
        <v>313.0575573048344</v>
      </c>
      <c r="D5617" s="42"/>
    </row>
    <row r="5618" spans="2:4" ht="16" thickBot="1" x14ac:dyDescent="0.25">
      <c r="B5618" s="4">
        <v>5613</v>
      </c>
      <c r="C5618" s="10">
        <v>77.120432000833659</v>
      </c>
      <c r="D5618" s="42"/>
    </row>
    <row r="5619" spans="2:4" ht="16" thickBot="1" x14ac:dyDescent="0.25">
      <c r="B5619" s="5">
        <v>5614</v>
      </c>
      <c r="C5619" s="11">
        <v>394.713427052447</v>
      </c>
      <c r="D5619" s="42"/>
    </row>
    <row r="5620" spans="2:4" ht="16" thickBot="1" x14ac:dyDescent="0.25">
      <c r="B5620" s="4">
        <v>5615</v>
      </c>
      <c r="C5620" s="10">
        <v>166.32082142997271</v>
      </c>
      <c r="D5620" s="42"/>
    </row>
    <row r="5621" spans="2:4" ht="16" thickBot="1" x14ac:dyDescent="0.25">
      <c r="B5621" s="5">
        <v>5616</v>
      </c>
      <c r="C5621" s="11">
        <v>880.84732082725793</v>
      </c>
      <c r="D5621" s="42"/>
    </row>
    <row r="5622" spans="2:4" ht="16" thickBot="1" x14ac:dyDescent="0.25">
      <c r="B5622" s="4">
        <v>5617</v>
      </c>
      <c r="C5622" s="10">
        <v>203.17779770691976</v>
      </c>
      <c r="D5622" s="42"/>
    </row>
    <row r="5623" spans="2:4" ht="16" thickBot="1" x14ac:dyDescent="0.25">
      <c r="B5623" s="5">
        <v>5618</v>
      </c>
      <c r="C5623" s="11">
        <v>68.029053923821081</v>
      </c>
      <c r="D5623" s="42"/>
    </row>
    <row r="5624" spans="2:4" ht="16" thickBot="1" x14ac:dyDescent="0.25">
      <c r="B5624" s="4">
        <v>5619</v>
      </c>
      <c r="C5624" s="10">
        <v>247.1942183437227</v>
      </c>
      <c r="D5624" s="42"/>
    </row>
    <row r="5625" spans="2:4" ht="16" thickBot="1" x14ac:dyDescent="0.25">
      <c r="B5625" s="5">
        <v>5620</v>
      </c>
      <c r="C5625" s="11">
        <v>119.70025705121793</v>
      </c>
      <c r="D5625" s="42"/>
    </row>
    <row r="5626" spans="2:4" ht="16" thickBot="1" x14ac:dyDescent="0.25">
      <c r="B5626" s="4">
        <v>5621</v>
      </c>
      <c r="C5626" s="10">
        <v>620.99575202357994</v>
      </c>
      <c r="D5626" s="42"/>
    </row>
    <row r="5627" spans="2:4" ht="16" thickBot="1" x14ac:dyDescent="0.25">
      <c r="B5627" s="5">
        <v>5622</v>
      </c>
      <c r="C5627" s="11">
        <v>156.2493773782484</v>
      </c>
      <c r="D5627" s="42"/>
    </row>
    <row r="5628" spans="2:4" ht="16" thickBot="1" x14ac:dyDescent="0.25">
      <c r="B5628" s="4">
        <v>5623</v>
      </c>
      <c r="C5628" s="10">
        <v>287.12093852841622</v>
      </c>
      <c r="D5628" s="42"/>
    </row>
    <row r="5629" spans="2:4" ht="16" thickBot="1" x14ac:dyDescent="0.25">
      <c r="B5629" s="5">
        <v>5624</v>
      </c>
      <c r="C5629" s="11">
        <v>265.77565492954642</v>
      </c>
      <c r="D5629" s="42"/>
    </row>
    <row r="5630" spans="2:4" ht="16" thickBot="1" x14ac:dyDescent="0.25">
      <c r="B5630" s="4">
        <v>5625</v>
      </c>
      <c r="C5630" s="10">
        <v>184.79664487812354</v>
      </c>
      <c r="D5630" s="42"/>
    </row>
    <row r="5631" spans="2:4" ht="16" thickBot="1" x14ac:dyDescent="0.25">
      <c r="B5631" s="5">
        <v>5626</v>
      </c>
      <c r="C5631" s="11">
        <v>212.41964583989872</v>
      </c>
      <c r="D5631" s="42"/>
    </row>
    <row r="5632" spans="2:4" ht="16" thickBot="1" x14ac:dyDescent="0.25">
      <c r="B5632" s="4">
        <v>5627</v>
      </c>
      <c r="C5632" s="10">
        <v>358.63342493085048</v>
      </c>
      <c r="D5632" s="42"/>
    </row>
    <row r="5633" spans="2:4" ht="16" thickBot="1" x14ac:dyDescent="0.25">
      <c r="B5633" s="5">
        <v>5628</v>
      </c>
      <c r="C5633" s="11">
        <v>146.44881956697478</v>
      </c>
      <c r="D5633" s="42"/>
    </row>
    <row r="5634" spans="2:4" ht="16" thickBot="1" x14ac:dyDescent="0.25">
      <c r="B5634" s="4">
        <v>5629</v>
      </c>
      <c r="C5634" s="10">
        <v>318.38116069447858</v>
      </c>
      <c r="D5634" s="42"/>
    </row>
    <row r="5635" spans="2:4" ht="16" thickBot="1" x14ac:dyDescent="0.25">
      <c r="B5635" s="5">
        <v>5630</v>
      </c>
      <c r="C5635" s="11">
        <v>753.21967990358121</v>
      </c>
      <c r="D5635" s="42"/>
    </row>
    <row r="5636" spans="2:4" ht="16" thickBot="1" x14ac:dyDescent="0.25">
      <c r="B5636" s="4">
        <v>5631</v>
      </c>
      <c r="C5636" s="10">
        <v>302.9619893976917</v>
      </c>
      <c r="D5636" s="42"/>
    </row>
    <row r="5637" spans="2:4" ht="16" thickBot="1" x14ac:dyDescent="0.25">
      <c r="B5637" s="5">
        <v>5632</v>
      </c>
      <c r="C5637" s="11">
        <v>233.91950772161493</v>
      </c>
      <c r="D5637" s="42"/>
    </row>
    <row r="5638" spans="2:4" ht="16" thickBot="1" x14ac:dyDescent="0.25">
      <c r="B5638" s="4">
        <v>5633</v>
      </c>
      <c r="C5638" s="10">
        <v>153.15918407384413</v>
      </c>
      <c r="D5638" s="42"/>
    </row>
    <row r="5639" spans="2:4" ht="16" thickBot="1" x14ac:dyDescent="0.25">
      <c r="B5639" s="5">
        <v>5634</v>
      </c>
      <c r="C5639" s="11">
        <v>227.81238298263247</v>
      </c>
      <c r="D5639" s="42"/>
    </row>
    <row r="5640" spans="2:4" ht="16" thickBot="1" x14ac:dyDescent="0.25">
      <c r="B5640" s="4">
        <v>5635</v>
      </c>
      <c r="C5640" s="10">
        <v>214.70250249078612</v>
      </c>
      <c r="D5640" s="42"/>
    </row>
    <row r="5641" spans="2:4" ht="16" thickBot="1" x14ac:dyDescent="0.25">
      <c r="B5641" s="5">
        <v>5636</v>
      </c>
      <c r="C5641" s="11">
        <v>581.11282680053603</v>
      </c>
      <c r="D5641" s="42"/>
    </row>
    <row r="5642" spans="2:4" ht="16" thickBot="1" x14ac:dyDescent="0.25">
      <c r="B5642" s="4">
        <v>5637</v>
      </c>
      <c r="C5642" s="10">
        <v>250.7899088022869</v>
      </c>
      <c r="D5642" s="42"/>
    </row>
    <row r="5643" spans="2:4" ht="16" thickBot="1" x14ac:dyDescent="0.25">
      <c r="B5643" s="5">
        <v>5638</v>
      </c>
      <c r="C5643" s="11">
        <v>112.95189346298594</v>
      </c>
      <c r="D5643" s="42"/>
    </row>
    <row r="5644" spans="2:4" ht="16" thickBot="1" x14ac:dyDescent="0.25">
      <c r="B5644" s="4">
        <v>5639</v>
      </c>
      <c r="C5644" s="10">
        <v>360.07920858819881</v>
      </c>
      <c r="D5644" s="42"/>
    </row>
    <row r="5645" spans="2:4" ht="16" thickBot="1" x14ac:dyDescent="0.25">
      <c r="B5645" s="5">
        <v>5640</v>
      </c>
      <c r="C5645" s="11">
        <v>365.5981999295123</v>
      </c>
      <c r="D5645" s="42"/>
    </row>
    <row r="5646" spans="2:4" ht="16" thickBot="1" x14ac:dyDescent="0.25">
      <c r="B5646" s="4">
        <v>5641</v>
      </c>
      <c r="C5646" s="10">
        <v>66.915552504342486</v>
      </c>
      <c r="D5646" s="42"/>
    </row>
    <row r="5647" spans="2:4" ht="16" thickBot="1" x14ac:dyDescent="0.25">
      <c r="B5647" s="5">
        <v>5642</v>
      </c>
      <c r="C5647" s="11">
        <v>410.8573763624492</v>
      </c>
      <c r="D5647" s="42"/>
    </row>
    <row r="5648" spans="2:4" ht="16" thickBot="1" x14ac:dyDescent="0.25">
      <c r="B5648" s="4">
        <v>5643</v>
      </c>
      <c r="C5648" s="10">
        <v>181.0279245402501</v>
      </c>
      <c r="D5648" s="42"/>
    </row>
    <row r="5649" spans="2:4" ht="16" thickBot="1" x14ac:dyDescent="0.25">
      <c r="B5649" s="5">
        <v>5644</v>
      </c>
      <c r="C5649" s="11">
        <v>146.54525876081127</v>
      </c>
      <c r="D5649" s="42"/>
    </row>
    <row r="5650" spans="2:4" ht="16" thickBot="1" x14ac:dyDescent="0.25">
      <c r="B5650" s="4">
        <v>5645</v>
      </c>
      <c r="C5650" s="10">
        <v>226.48707335770743</v>
      </c>
      <c r="D5650" s="42"/>
    </row>
    <row r="5651" spans="2:4" ht="16" thickBot="1" x14ac:dyDescent="0.25">
      <c r="B5651" s="5">
        <v>5646</v>
      </c>
      <c r="C5651" s="11">
        <v>106.50173355442455</v>
      </c>
      <c r="D5651" s="42"/>
    </row>
    <row r="5652" spans="2:4" ht="16" thickBot="1" x14ac:dyDescent="0.25">
      <c r="B5652" s="4">
        <v>5647</v>
      </c>
      <c r="C5652" s="10">
        <v>361.84146887404853</v>
      </c>
      <c r="D5652" s="42"/>
    </row>
    <row r="5653" spans="2:4" ht="16" thickBot="1" x14ac:dyDescent="0.25">
      <c r="B5653" s="5">
        <v>5648</v>
      </c>
      <c r="C5653" s="11">
        <v>326.88978395993149</v>
      </c>
      <c r="D5653" s="42"/>
    </row>
    <row r="5654" spans="2:4" ht="16" thickBot="1" x14ac:dyDescent="0.25">
      <c r="B5654" s="4">
        <v>5649</v>
      </c>
      <c r="C5654" s="10">
        <v>127.16833041860536</v>
      </c>
      <c r="D5654" s="42"/>
    </row>
    <row r="5655" spans="2:4" ht="16" thickBot="1" x14ac:dyDescent="0.25">
      <c r="B5655" s="5">
        <v>5650</v>
      </c>
      <c r="C5655" s="11">
        <v>166.70980012165739</v>
      </c>
      <c r="D5655" s="42"/>
    </row>
    <row r="5656" spans="2:4" ht="16" thickBot="1" x14ac:dyDescent="0.25">
      <c r="B5656" s="4">
        <v>5651</v>
      </c>
      <c r="C5656" s="10">
        <v>133.28045295627496</v>
      </c>
      <c r="D5656" s="42"/>
    </row>
    <row r="5657" spans="2:4" ht="16" thickBot="1" x14ac:dyDescent="0.25">
      <c r="B5657" s="5">
        <v>5652</v>
      </c>
      <c r="C5657" s="11">
        <v>273.3402368666658</v>
      </c>
      <c r="D5657" s="42"/>
    </row>
    <row r="5658" spans="2:4" ht="16" thickBot="1" x14ac:dyDescent="0.25">
      <c r="B5658" s="4">
        <v>5653</v>
      </c>
      <c r="C5658" s="10">
        <v>245.30975932824654</v>
      </c>
      <c r="D5658" s="42"/>
    </row>
    <row r="5659" spans="2:4" ht="16" thickBot="1" x14ac:dyDescent="0.25">
      <c r="B5659" s="5">
        <v>5654</v>
      </c>
      <c r="C5659" s="11">
        <v>466.22440275280974</v>
      </c>
      <c r="D5659" s="42"/>
    </row>
    <row r="5660" spans="2:4" ht="16" thickBot="1" x14ac:dyDescent="0.25">
      <c r="B5660" s="4">
        <v>5655</v>
      </c>
      <c r="C5660" s="10">
        <v>541.76515904692155</v>
      </c>
      <c r="D5660" s="42"/>
    </row>
    <row r="5661" spans="2:4" ht="16" thickBot="1" x14ac:dyDescent="0.25">
      <c r="B5661" s="5">
        <v>5656</v>
      </c>
      <c r="C5661" s="11">
        <v>118.4900107584069</v>
      </c>
      <c r="D5661" s="42"/>
    </row>
    <row r="5662" spans="2:4" ht="16" thickBot="1" x14ac:dyDescent="0.25">
      <c r="B5662" s="4">
        <v>5657</v>
      </c>
      <c r="C5662" s="10">
        <v>243.51707593306733</v>
      </c>
      <c r="D5662" s="42"/>
    </row>
    <row r="5663" spans="2:4" ht="16" thickBot="1" x14ac:dyDescent="0.25">
      <c r="B5663" s="5">
        <v>5658</v>
      </c>
      <c r="C5663" s="11">
        <v>393.04336758086583</v>
      </c>
      <c r="D5663" s="42"/>
    </row>
    <row r="5664" spans="2:4" ht="16" thickBot="1" x14ac:dyDescent="0.25">
      <c r="B5664" s="4">
        <v>5659</v>
      </c>
      <c r="C5664" s="10">
        <v>154.8253023109954</v>
      </c>
      <c r="D5664" s="42"/>
    </row>
    <row r="5665" spans="2:4" ht="16" thickBot="1" x14ac:dyDescent="0.25">
      <c r="B5665" s="5">
        <v>5660</v>
      </c>
      <c r="C5665" s="11">
        <v>163.1252662504609</v>
      </c>
      <c r="D5665" s="42"/>
    </row>
    <row r="5666" spans="2:4" ht="16" thickBot="1" x14ac:dyDescent="0.25">
      <c r="B5666" s="4">
        <v>5661</v>
      </c>
      <c r="C5666" s="10">
        <v>182.7754485765067</v>
      </c>
      <c r="D5666" s="42"/>
    </row>
    <row r="5667" spans="2:4" ht="16" thickBot="1" x14ac:dyDescent="0.25">
      <c r="B5667" s="5">
        <v>5662</v>
      </c>
      <c r="C5667" s="11">
        <v>382.66465376143151</v>
      </c>
      <c r="D5667" s="42"/>
    </row>
    <row r="5668" spans="2:4" ht="16" thickBot="1" x14ac:dyDescent="0.25">
      <c r="B5668" s="4">
        <v>5663</v>
      </c>
      <c r="C5668" s="10">
        <v>319.88764719813173</v>
      </c>
      <c r="D5668" s="42"/>
    </row>
    <row r="5669" spans="2:4" ht="16" thickBot="1" x14ac:dyDescent="0.25">
      <c r="B5669" s="5">
        <v>5664</v>
      </c>
      <c r="C5669" s="11">
        <v>243.7656234396899</v>
      </c>
      <c r="D5669" s="42"/>
    </row>
    <row r="5670" spans="2:4" ht="16" thickBot="1" x14ac:dyDescent="0.25">
      <c r="B5670" s="4">
        <v>5665</v>
      </c>
      <c r="C5670" s="10">
        <v>223.43520093822303</v>
      </c>
      <c r="D5670" s="42"/>
    </row>
    <row r="5671" spans="2:4" ht="16" thickBot="1" x14ac:dyDescent="0.25">
      <c r="B5671" s="5">
        <v>5666</v>
      </c>
      <c r="C5671" s="11">
        <v>300.77703951276061</v>
      </c>
      <c r="D5671" s="42"/>
    </row>
    <row r="5672" spans="2:4" ht="16" thickBot="1" x14ac:dyDescent="0.25">
      <c r="B5672" s="4">
        <v>5667</v>
      </c>
      <c r="C5672" s="10">
        <v>84.754326146050118</v>
      </c>
      <c r="D5672" s="42"/>
    </row>
    <row r="5673" spans="2:4" ht="16" thickBot="1" x14ac:dyDescent="0.25">
      <c r="B5673" s="5">
        <v>5668</v>
      </c>
      <c r="C5673" s="11">
        <v>232.9714176284572</v>
      </c>
      <c r="D5673" s="42"/>
    </row>
    <row r="5674" spans="2:4" ht="16" thickBot="1" x14ac:dyDescent="0.25">
      <c r="B5674" s="4">
        <v>5669</v>
      </c>
      <c r="C5674" s="10">
        <v>243.29176459693912</v>
      </c>
      <c r="D5674" s="42"/>
    </row>
    <row r="5675" spans="2:4" ht="16" thickBot="1" x14ac:dyDescent="0.25">
      <c r="B5675" s="5">
        <v>5670</v>
      </c>
      <c r="C5675" s="11">
        <v>266.35509334310507</v>
      </c>
      <c r="D5675" s="42"/>
    </row>
    <row r="5676" spans="2:4" ht="16" thickBot="1" x14ac:dyDescent="0.25">
      <c r="B5676" s="4">
        <v>5671</v>
      </c>
      <c r="C5676" s="10">
        <v>230.2092308393886</v>
      </c>
      <c r="D5676" s="42"/>
    </row>
    <row r="5677" spans="2:4" ht="16" thickBot="1" x14ac:dyDescent="0.25">
      <c r="B5677" s="5">
        <v>5672</v>
      </c>
      <c r="C5677" s="11">
        <v>203.71930257985599</v>
      </c>
      <c r="D5677" s="42"/>
    </row>
    <row r="5678" spans="2:4" ht="16" thickBot="1" x14ac:dyDescent="0.25">
      <c r="B5678" s="4">
        <v>5673</v>
      </c>
      <c r="C5678" s="10">
        <v>217.3082159164718</v>
      </c>
      <c r="D5678" s="42"/>
    </row>
    <row r="5679" spans="2:4" ht="16" thickBot="1" x14ac:dyDescent="0.25">
      <c r="B5679" s="5">
        <v>5674</v>
      </c>
      <c r="C5679" s="11">
        <v>182.91989618502689</v>
      </c>
      <c r="D5679" s="42"/>
    </row>
    <row r="5680" spans="2:4" ht="16" thickBot="1" x14ac:dyDescent="0.25">
      <c r="B5680" s="4">
        <v>5675</v>
      </c>
      <c r="C5680" s="10">
        <v>283.79747920927286</v>
      </c>
      <c r="D5680" s="42"/>
    </row>
    <row r="5681" spans="2:4" ht="16" thickBot="1" x14ac:dyDescent="0.25">
      <c r="B5681" s="5">
        <v>5676</v>
      </c>
      <c r="C5681" s="11">
        <v>109.25924951874441</v>
      </c>
      <c r="D5681" s="42"/>
    </row>
    <row r="5682" spans="2:4" ht="16" thickBot="1" x14ac:dyDescent="0.25">
      <c r="B5682" s="4">
        <v>5677</v>
      </c>
      <c r="C5682" s="10">
        <v>432.89254351603546</v>
      </c>
      <c r="D5682" s="42"/>
    </row>
    <row r="5683" spans="2:4" ht="16" thickBot="1" x14ac:dyDescent="0.25">
      <c r="B5683" s="5">
        <v>5678</v>
      </c>
      <c r="C5683" s="11">
        <v>40.109122133192614</v>
      </c>
      <c r="D5683" s="42"/>
    </row>
    <row r="5684" spans="2:4" ht="16" thickBot="1" x14ac:dyDescent="0.25">
      <c r="B5684" s="4">
        <v>5679</v>
      </c>
      <c r="C5684" s="10">
        <v>164.88995176464351</v>
      </c>
      <c r="D5684" s="42"/>
    </row>
    <row r="5685" spans="2:4" ht="16" thickBot="1" x14ac:dyDescent="0.25">
      <c r="B5685" s="5">
        <v>5680</v>
      </c>
      <c r="C5685" s="11">
        <v>333.84013186401978</v>
      </c>
      <c r="D5685" s="42"/>
    </row>
    <row r="5686" spans="2:4" ht="16" thickBot="1" x14ac:dyDescent="0.25">
      <c r="B5686" s="4">
        <v>5681</v>
      </c>
      <c r="C5686" s="10">
        <v>186.1890801410425</v>
      </c>
      <c r="D5686" s="42"/>
    </row>
    <row r="5687" spans="2:4" ht="16" thickBot="1" x14ac:dyDescent="0.25">
      <c r="B5687" s="5">
        <v>5682</v>
      </c>
      <c r="C5687" s="11">
        <v>480.15234387923113</v>
      </c>
      <c r="D5687" s="42"/>
    </row>
    <row r="5688" spans="2:4" ht="16" thickBot="1" x14ac:dyDescent="0.25">
      <c r="B5688" s="4">
        <v>5683</v>
      </c>
      <c r="C5688" s="10">
        <v>105.44550154832258</v>
      </c>
      <c r="D5688" s="42"/>
    </row>
    <row r="5689" spans="2:4" ht="16" thickBot="1" x14ac:dyDescent="0.25">
      <c r="B5689" s="5">
        <v>5684</v>
      </c>
      <c r="C5689" s="11">
        <v>219.66147735246471</v>
      </c>
      <c r="D5689" s="42"/>
    </row>
    <row r="5690" spans="2:4" ht="16" thickBot="1" x14ac:dyDescent="0.25">
      <c r="B5690" s="4">
        <v>5685</v>
      </c>
      <c r="C5690" s="10">
        <v>148.33376551671137</v>
      </c>
      <c r="D5690" s="42"/>
    </row>
    <row r="5691" spans="2:4" ht="16" thickBot="1" x14ac:dyDescent="0.25">
      <c r="B5691" s="5">
        <v>5686</v>
      </c>
      <c r="C5691" s="11">
        <v>311.94677064962053</v>
      </c>
      <c r="D5691" s="42"/>
    </row>
    <row r="5692" spans="2:4" ht="16" thickBot="1" x14ac:dyDescent="0.25">
      <c r="B5692" s="4">
        <v>5687</v>
      </c>
      <c r="C5692" s="10">
        <v>10.180477585749472</v>
      </c>
      <c r="D5692" s="42"/>
    </row>
    <row r="5693" spans="2:4" ht="16" thickBot="1" x14ac:dyDescent="0.25">
      <c r="B5693" s="5">
        <v>5688</v>
      </c>
      <c r="C5693" s="11">
        <v>141.32676376621905</v>
      </c>
      <c r="D5693" s="42"/>
    </row>
    <row r="5694" spans="2:4" ht="16" thickBot="1" x14ac:dyDescent="0.25">
      <c r="B5694" s="4">
        <v>5689</v>
      </c>
      <c r="C5694" s="10">
        <v>32.282992203956994</v>
      </c>
      <c r="D5694" s="42"/>
    </row>
    <row r="5695" spans="2:4" ht="16" thickBot="1" x14ac:dyDescent="0.25">
      <c r="B5695" s="5">
        <v>5690</v>
      </c>
      <c r="C5695" s="11">
        <v>122.20998657098531</v>
      </c>
      <c r="D5695" s="42"/>
    </row>
    <row r="5696" spans="2:4" ht="16" thickBot="1" x14ac:dyDescent="0.25">
      <c r="B5696" s="4">
        <v>5691</v>
      </c>
      <c r="C5696" s="10">
        <v>623.88753640586299</v>
      </c>
      <c r="D5696" s="42"/>
    </row>
    <row r="5697" spans="2:4" ht="16" thickBot="1" x14ac:dyDescent="0.25">
      <c r="B5697" s="5">
        <v>5692</v>
      </c>
      <c r="C5697" s="11">
        <v>310.1874578865141</v>
      </c>
      <c r="D5697" s="42"/>
    </row>
    <row r="5698" spans="2:4" ht="16" thickBot="1" x14ac:dyDescent="0.25">
      <c r="B5698" s="4">
        <v>5693</v>
      </c>
      <c r="C5698" s="10">
        <v>225.99020346193831</v>
      </c>
      <c r="D5698" s="42"/>
    </row>
    <row r="5699" spans="2:4" ht="16" thickBot="1" x14ac:dyDescent="0.25">
      <c r="B5699" s="5">
        <v>5694</v>
      </c>
      <c r="C5699" s="11">
        <v>518.10947486720261</v>
      </c>
      <c r="D5699" s="42"/>
    </row>
    <row r="5700" spans="2:4" ht="16" thickBot="1" x14ac:dyDescent="0.25">
      <c r="B5700" s="4">
        <v>5695</v>
      </c>
      <c r="C5700" s="10">
        <v>551.63063074069885</v>
      </c>
      <c r="D5700" s="42"/>
    </row>
    <row r="5701" spans="2:4" ht="16" thickBot="1" x14ac:dyDescent="0.25">
      <c r="B5701" s="5">
        <v>5696</v>
      </c>
      <c r="C5701" s="11">
        <v>492.46135192470751</v>
      </c>
      <c r="D5701" s="42"/>
    </row>
    <row r="5702" spans="2:4" ht="16" thickBot="1" x14ac:dyDescent="0.25">
      <c r="B5702" s="4">
        <v>5697</v>
      </c>
      <c r="C5702" s="10">
        <v>121.1283313761904</v>
      </c>
      <c r="D5702" s="42"/>
    </row>
    <row r="5703" spans="2:4" ht="16" thickBot="1" x14ac:dyDescent="0.25">
      <c r="B5703" s="5">
        <v>5698</v>
      </c>
      <c r="C5703" s="11">
        <v>234.8044920870567</v>
      </c>
      <c r="D5703" s="42"/>
    </row>
    <row r="5704" spans="2:4" ht="16" thickBot="1" x14ac:dyDescent="0.25">
      <c r="B5704" s="4">
        <v>5699</v>
      </c>
      <c r="C5704" s="10">
        <v>50.413627608913629</v>
      </c>
      <c r="D5704" s="42"/>
    </row>
    <row r="5705" spans="2:4" ht="16" thickBot="1" x14ac:dyDescent="0.25">
      <c r="B5705" s="5">
        <v>5700</v>
      </c>
      <c r="C5705" s="11">
        <v>743.43388758332685</v>
      </c>
      <c r="D5705" s="42"/>
    </row>
    <row r="5706" spans="2:4" ht="16" thickBot="1" x14ac:dyDescent="0.25">
      <c r="B5706" s="4">
        <v>5701</v>
      </c>
      <c r="C5706" s="10">
        <v>390.54216718631545</v>
      </c>
      <c r="D5706" s="42"/>
    </row>
    <row r="5707" spans="2:4" ht="16" thickBot="1" x14ac:dyDescent="0.25">
      <c r="B5707" s="5">
        <v>5702</v>
      </c>
      <c r="C5707" s="11">
        <v>345.56252135067569</v>
      </c>
      <c r="D5707" s="42"/>
    </row>
    <row r="5708" spans="2:4" ht="16" thickBot="1" x14ac:dyDescent="0.25">
      <c r="B5708" s="4">
        <v>5703</v>
      </c>
      <c r="C5708" s="10">
        <v>239.62238140117259</v>
      </c>
      <c r="D5708" s="42"/>
    </row>
    <row r="5709" spans="2:4" ht="16" thickBot="1" x14ac:dyDescent="0.25">
      <c r="B5709" s="5">
        <v>5704</v>
      </c>
      <c r="C5709" s="11">
        <v>170.40794957984215</v>
      </c>
      <c r="D5709" s="42"/>
    </row>
    <row r="5710" spans="2:4" ht="16" thickBot="1" x14ac:dyDescent="0.25">
      <c r="B5710" s="4">
        <v>5705</v>
      </c>
      <c r="C5710" s="10">
        <v>165.86376047195742</v>
      </c>
      <c r="D5710" s="42"/>
    </row>
    <row r="5711" spans="2:4" ht="16" thickBot="1" x14ac:dyDescent="0.25">
      <c r="B5711" s="5">
        <v>5706</v>
      </c>
      <c r="C5711" s="11">
        <v>406.69038852821603</v>
      </c>
      <c r="D5711" s="42"/>
    </row>
    <row r="5712" spans="2:4" ht="16" thickBot="1" x14ac:dyDescent="0.25">
      <c r="B5712" s="4">
        <v>5707</v>
      </c>
      <c r="C5712" s="10">
        <v>263.26639559769802</v>
      </c>
      <c r="D5712" s="42"/>
    </row>
    <row r="5713" spans="2:4" ht="16" thickBot="1" x14ac:dyDescent="0.25">
      <c r="B5713" s="5">
        <v>5708</v>
      </c>
      <c r="C5713" s="11">
        <v>679.82113981424095</v>
      </c>
      <c r="D5713" s="42"/>
    </row>
    <row r="5714" spans="2:4" ht="16" thickBot="1" x14ac:dyDescent="0.25">
      <c r="B5714" s="4">
        <v>5709</v>
      </c>
      <c r="C5714" s="10">
        <v>423.05983171176371</v>
      </c>
      <c r="D5714" s="42"/>
    </row>
    <row r="5715" spans="2:4" ht="16" thickBot="1" x14ac:dyDescent="0.25">
      <c r="B5715" s="5">
        <v>5710</v>
      </c>
      <c r="C5715" s="11">
        <v>647.75967093169231</v>
      </c>
      <c r="D5715" s="42"/>
    </row>
    <row r="5716" spans="2:4" ht="16" thickBot="1" x14ac:dyDescent="0.25">
      <c r="B5716" s="4">
        <v>5711</v>
      </c>
      <c r="C5716" s="10">
        <v>60.223210584123109</v>
      </c>
      <c r="D5716" s="42"/>
    </row>
    <row r="5717" spans="2:4" ht="16" thickBot="1" x14ac:dyDescent="0.25">
      <c r="B5717" s="5">
        <v>5712</v>
      </c>
      <c r="C5717" s="11">
        <v>266.82056629039499</v>
      </c>
      <c r="D5717" s="42"/>
    </row>
    <row r="5718" spans="2:4" ht="16" thickBot="1" x14ac:dyDescent="0.25">
      <c r="B5718" s="4">
        <v>5713</v>
      </c>
      <c r="C5718" s="10">
        <v>259.53724065529298</v>
      </c>
      <c r="D5718" s="42"/>
    </row>
    <row r="5719" spans="2:4" ht="16" thickBot="1" x14ac:dyDescent="0.25">
      <c r="B5719" s="5">
        <v>5714</v>
      </c>
      <c r="C5719" s="11">
        <v>176.84325320034068</v>
      </c>
      <c r="D5719" s="42"/>
    </row>
    <row r="5720" spans="2:4" ht="16" thickBot="1" x14ac:dyDescent="0.25">
      <c r="B5720" s="4">
        <v>5715</v>
      </c>
      <c r="C5720" s="10">
        <v>352.95454855249807</v>
      </c>
      <c r="D5720" s="42"/>
    </row>
    <row r="5721" spans="2:4" ht="16" thickBot="1" x14ac:dyDescent="0.25">
      <c r="B5721" s="5">
        <v>5716</v>
      </c>
      <c r="C5721" s="11">
        <v>87.089578010996235</v>
      </c>
      <c r="D5721" s="42"/>
    </row>
    <row r="5722" spans="2:4" ht="16" thickBot="1" x14ac:dyDescent="0.25">
      <c r="B5722" s="4">
        <v>5717</v>
      </c>
      <c r="C5722" s="10">
        <v>269.56946839605098</v>
      </c>
      <c r="D5722" s="42"/>
    </row>
    <row r="5723" spans="2:4" ht="16" thickBot="1" x14ac:dyDescent="0.25">
      <c r="B5723" s="5">
        <v>5718</v>
      </c>
      <c r="C5723" s="11">
        <v>168.68773660636691</v>
      </c>
      <c r="D5723" s="42"/>
    </row>
    <row r="5724" spans="2:4" ht="16" thickBot="1" x14ac:dyDescent="0.25">
      <c r="B5724" s="4">
        <v>5719</v>
      </c>
      <c r="C5724" s="10">
        <v>614.48143590129371</v>
      </c>
      <c r="D5724" s="42"/>
    </row>
    <row r="5725" spans="2:4" ht="16" thickBot="1" x14ac:dyDescent="0.25">
      <c r="B5725" s="5">
        <v>5720</v>
      </c>
      <c r="C5725" s="11">
        <v>378.81442959021939</v>
      </c>
      <c r="D5725" s="42"/>
    </row>
    <row r="5726" spans="2:4" ht="16" thickBot="1" x14ac:dyDescent="0.25">
      <c r="B5726" s="4">
        <v>5721</v>
      </c>
      <c r="C5726" s="10">
        <v>84.172981958917404</v>
      </c>
      <c r="D5726" s="42"/>
    </row>
    <row r="5727" spans="2:4" ht="16" thickBot="1" x14ac:dyDescent="0.25">
      <c r="B5727" s="5">
        <v>5722</v>
      </c>
      <c r="C5727" s="11">
        <v>140.89764205751374</v>
      </c>
      <c r="D5727" s="42"/>
    </row>
    <row r="5728" spans="2:4" ht="16" thickBot="1" x14ac:dyDescent="0.25">
      <c r="B5728" s="4">
        <v>5723</v>
      </c>
      <c r="C5728" s="10">
        <v>709.76048158197784</v>
      </c>
      <c r="D5728" s="42"/>
    </row>
    <row r="5729" spans="2:4" ht="16" thickBot="1" x14ac:dyDescent="0.25">
      <c r="B5729" s="5">
        <v>5724</v>
      </c>
      <c r="C5729" s="11">
        <v>717.30829344882193</v>
      </c>
      <c r="D5729" s="42"/>
    </row>
    <row r="5730" spans="2:4" ht="16" thickBot="1" x14ac:dyDescent="0.25">
      <c r="B5730" s="4">
        <v>5725</v>
      </c>
      <c r="C5730" s="10">
        <v>94.138891322015468</v>
      </c>
      <c r="D5730" s="42"/>
    </row>
    <row r="5731" spans="2:4" ht="16" thickBot="1" x14ac:dyDescent="0.25">
      <c r="B5731" s="5">
        <v>5726</v>
      </c>
      <c r="C5731" s="11">
        <v>198.76500006585903</v>
      </c>
      <c r="D5731" s="42"/>
    </row>
    <row r="5732" spans="2:4" ht="16" thickBot="1" x14ac:dyDescent="0.25">
      <c r="B5732" s="4">
        <v>5727</v>
      </c>
      <c r="C5732" s="10">
        <v>299.90545012459074</v>
      </c>
      <c r="D5732" s="42"/>
    </row>
    <row r="5733" spans="2:4" ht="16" thickBot="1" x14ac:dyDescent="0.25">
      <c r="B5733" s="5">
        <v>5728</v>
      </c>
      <c r="C5733" s="11">
        <v>458.48001152167819</v>
      </c>
      <c r="D5733" s="42"/>
    </row>
    <row r="5734" spans="2:4" ht="16" thickBot="1" x14ac:dyDescent="0.25">
      <c r="B5734" s="4">
        <v>5729</v>
      </c>
      <c r="C5734" s="10">
        <v>206.82915912204462</v>
      </c>
      <c r="D5734" s="42"/>
    </row>
    <row r="5735" spans="2:4" ht="16" thickBot="1" x14ac:dyDescent="0.25">
      <c r="B5735" s="5">
        <v>5730</v>
      </c>
      <c r="C5735" s="11">
        <v>231.26289986210085</v>
      </c>
      <c r="D5735" s="42"/>
    </row>
    <row r="5736" spans="2:4" ht="16" thickBot="1" x14ac:dyDescent="0.25">
      <c r="B5736" s="4">
        <v>5731</v>
      </c>
      <c r="C5736" s="10">
        <v>186.74667928846179</v>
      </c>
      <c r="D5736" s="42"/>
    </row>
    <row r="5737" spans="2:4" ht="16" thickBot="1" x14ac:dyDescent="0.25">
      <c r="B5737" s="5">
        <v>5732</v>
      </c>
      <c r="C5737" s="11">
        <v>115.32737826362654</v>
      </c>
      <c r="D5737" s="42"/>
    </row>
    <row r="5738" spans="2:4" ht="16" thickBot="1" x14ac:dyDescent="0.25">
      <c r="B5738" s="4">
        <v>5733</v>
      </c>
      <c r="C5738" s="10">
        <v>337.58066940200337</v>
      </c>
      <c r="D5738" s="42"/>
    </row>
    <row r="5739" spans="2:4" ht="16" thickBot="1" x14ac:dyDescent="0.25">
      <c r="B5739" s="5">
        <v>5734</v>
      </c>
      <c r="C5739" s="11">
        <v>429.46911812766973</v>
      </c>
      <c r="D5739" s="42"/>
    </row>
    <row r="5740" spans="2:4" ht="16" thickBot="1" x14ac:dyDescent="0.25">
      <c r="B5740" s="4">
        <v>5735</v>
      </c>
      <c r="C5740" s="10">
        <v>155.01648227553551</v>
      </c>
      <c r="D5740" s="42"/>
    </row>
    <row r="5741" spans="2:4" ht="16" thickBot="1" x14ac:dyDescent="0.25">
      <c r="B5741" s="5">
        <v>5736</v>
      </c>
      <c r="C5741" s="11">
        <v>281.72558193034052</v>
      </c>
      <c r="D5741" s="42"/>
    </row>
    <row r="5742" spans="2:4" ht="16" thickBot="1" x14ac:dyDescent="0.25">
      <c r="B5742" s="4">
        <v>5737</v>
      </c>
      <c r="C5742" s="10">
        <v>307.34701610620812</v>
      </c>
      <c r="D5742" s="42"/>
    </row>
    <row r="5743" spans="2:4" ht="16" thickBot="1" x14ac:dyDescent="0.25">
      <c r="B5743" s="5">
        <v>5738</v>
      </c>
      <c r="C5743" s="11">
        <v>190.65542525353592</v>
      </c>
      <c r="D5743" s="42"/>
    </row>
    <row r="5744" spans="2:4" ht="16" thickBot="1" x14ac:dyDescent="0.25">
      <c r="B5744" s="4">
        <v>5739</v>
      </c>
      <c r="C5744" s="10">
        <v>314.44733854897203</v>
      </c>
      <c r="D5744" s="42"/>
    </row>
    <row r="5745" spans="2:4" ht="16" thickBot="1" x14ac:dyDescent="0.25">
      <c r="B5745" s="5">
        <v>5740</v>
      </c>
      <c r="C5745" s="11">
        <v>187.3187063449239</v>
      </c>
      <c r="D5745" s="42"/>
    </row>
    <row r="5746" spans="2:4" ht="16" thickBot="1" x14ac:dyDescent="0.25">
      <c r="B5746" s="4">
        <v>5741</v>
      </c>
      <c r="C5746" s="10">
        <v>298.64694336778359</v>
      </c>
      <c r="D5746" s="42"/>
    </row>
    <row r="5747" spans="2:4" ht="16" thickBot="1" x14ac:dyDescent="0.25">
      <c r="B5747" s="5">
        <v>5742</v>
      </c>
      <c r="C5747" s="11">
        <v>344.31085973217529</v>
      </c>
      <c r="D5747" s="42"/>
    </row>
    <row r="5748" spans="2:4" ht="16" thickBot="1" x14ac:dyDescent="0.25">
      <c r="B5748" s="4">
        <v>5743</v>
      </c>
      <c r="C5748" s="10">
        <v>227.17256581459307</v>
      </c>
      <c r="D5748" s="42"/>
    </row>
    <row r="5749" spans="2:4" ht="16" thickBot="1" x14ac:dyDescent="0.25">
      <c r="B5749" s="5">
        <v>5744</v>
      </c>
      <c r="C5749" s="11">
        <v>317.59905970283137</v>
      </c>
      <c r="D5749" s="42"/>
    </row>
    <row r="5750" spans="2:4" ht="16" thickBot="1" x14ac:dyDescent="0.25">
      <c r="B5750" s="4">
        <v>5745</v>
      </c>
      <c r="C5750" s="10">
        <v>244.4324759490421</v>
      </c>
      <c r="D5750" s="42"/>
    </row>
    <row r="5751" spans="2:4" ht="16" thickBot="1" x14ac:dyDescent="0.25">
      <c r="B5751" s="5">
        <v>5746</v>
      </c>
      <c r="C5751" s="11">
        <v>92.368890032662932</v>
      </c>
      <c r="D5751" s="42"/>
    </row>
    <row r="5752" spans="2:4" ht="16" thickBot="1" x14ac:dyDescent="0.25">
      <c r="B5752" s="4">
        <v>5747</v>
      </c>
      <c r="C5752" s="10">
        <v>373.10568935974607</v>
      </c>
      <c r="D5752" s="42"/>
    </row>
    <row r="5753" spans="2:4" ht="16" thickBot="1" x14ac:dyDescent="0.25">
      <c r="B5753" s="5">
        <v>5748</v>
      </c>
      <c r="C5753" s="11">
        <v>307.44732448562854</v>
      </c>
      <c r="D5753" s="42"/>
    </row>
    <row r="5754" spans="2:4" ht="16" thickBot="1" x14ac:dyDescent="0.25">
      <c r="B5754" s="4">
        <v>5749</v>
      </c>
      <c r="C5754" s="10">
        <v>752.56871688843751</v>
      </c>
      <c r="D5754" s="42"/>
    </row>
    <row r="5755" spans="2:4" ht="16" thickBot="1" x14ac:dyDescent="0.25">
      <c r="B5755" s="5">
        <v>5750</v>
      </c>
      <c r="C5755" s="11">
        <v>87.602664330303853</v>
      </c>
      <c r="D5755" s="42"/>
    </row>
    <row r="5756" spans="2:4" ht="16" thickBot="1" x14ac:dyDescent="0.25">
      <c r="B5756" s="4">
        <v>5751</v>
      </c>
      <c r="C5756" s="10">
        <v>485.97600949202831</v>
      </c>
      <c r="D5756" s="42"/>
    </row>
    <row r="5757" spans="2:4" ht="16" thickBot="1" x14ac:dyDescent="0.25">
      <c r="B5757" s="5">
        <v>5752</v>
      </c>
      <c r="C5757" s="11">
        <v>148.79406531863293</v>
      </c>
      <c r="D5757" s="42"/>
    </row>
    <row r="5758" spans="2:4" ht="16" thickBot="1" x14ac:dyDescent="0.25">
      <c r="B5758" s="4">
        <v>5753</v>
      </c>
      <c r="C5758" s="10">
        <v>148.42156655225654</v>
      </c>
      <c r="D5758" s="42"/>
    </row>
    <row r="5759" spans="2:4" ht="16" thickBot="1" x14ac:dyDescent="0.25">
      <c r="B5759" s="5">
        <v>5754</v>
      </c>
      <c r="C5759" s="11">
        <v>361.83856077654798</v>
      </c>
      <c r="D5759" s="42"/>
    </row>
    <row r="5760" spans="2:4" ht="16" thickBot="1" x14ac:dyDescent="0.25">
      <c r="B5760" s="4">
        <v>5755</v>
      </c>
      <c r="C5760" s="10">
        <v>560.10970486475765</v>
      </c>
      <c r="D5760" s="42"/>
    </row>
    <row r="5761" spans="2:4" ht="16" thickBot="1" x14ac:dyDescent="0.25">
      <c r="B5761" s="5">
        <v>5756</v>
      </c>
      <c r="C5761" s="11">
        <v>119.94298825955754</v>
      </c>
      <c r="D5761" s="42"/>
    </row>
    <row r="5762" spans="2:4" ht="16" thickBot="1" x14ac:dyDescent="0.25">
      <c r="B5762" s="4">
        <v>5757</v>
      </c>
      <c r="C5762" s="10">
        <v>347.71713123425138</v>
      </c>
      <c r="D5762" s="42"/>
    </row>
    <row r="5763" spans="2:4" ht="16" thickBot="1" x14ac:dyDescent="0.25">
      <c r="B5763" s="5">
        <v>5758</v>
      </c>
      <c r="C5763" s="11">
        <v>192.50279225902963</v>
      </c>
      <c r="D5763" s="42"/>
    </row>
    <row r="5764" spans="2:4" ht="16" thickBot="1" x14ac:dyDescent="0.25">
      <c r="B5764" s="4">
        <v>5759</v>
      </c>
      <c r="C5764" s="10">
        <v>177.94183943675162</v>
      </c>
      <c r="D5764" s="42"/>
    </row>
    <row r="5765" spans="2:4" ht="16" thickBot="1" x14ac:dyDescent="0.25">
      <c r="B5765" s="5">
        <v>5760</v>
      </c>
      <c r="C5765" s="11">
        <v>169.74868395259776</v>
      </c>
      <c r="D5765" s="42"/>
    </row>
    <row r="5766" spans="2:4" ht="16" thickBot="1" x14ac:dyDescent="0.25">
      <c r="B5766" s="4">
        <v>5761</v>
      </c>
      <c r="C5766" s="10">
        <v>29.102255732458335</v>
      </c>
      <c r="D5766" s="42"/>
    </row>
    <row r="5767" spans="2:4" ht="16" thickBot="1" x14ac:dyDescent="0.25">
      <c r="B5767" s="5">
        <v>5762</v>
      </c>
      <c r="C5767" s="11">
        <v>907.07473460560016</v>
      </c>
      <c r="D5767" s="42"/>
    </row>
    <row r="5768" spans="2:4" ht="16" thickBot="1" x14ac:dyDescent="0.25">
      <c r="B5768" s="4">
        <v>5763</v>
      </c>
      <c r="C5768" s="10">
        <v>171.03376302123613</v>
      </c>
      <c r="D5768" s="42"/>
    </row>
    <row r="5769" spans="2:4" ht="16" thickBot="1" x14ac:dyDescent="0.25">
      <c r="B5769" s="5">
        <v>5764</v>
      </c>
      <c r="C5769" s="11">
        <v>201.51619433029109</v>
      </c>
      <c r="D5769" s="42"/>
    </row>
    <row r="5770" spans="2:4" ht="16" thickBot="1" x14ac:dyDescent="0.25">
      <c r="B5770" s="4">
        <v>5765</v>
      </c>
      <c r="C5770" s="10">
        <v>74.920783004091646</v>
      </c>
      <c r="D5770" s="42"/>
    </row>
    <row r="5771" spans="2:4" ht="16" thickBot="1" x14ac:dyDescent="0.25">
      <c r="B5771" s="5">
        <v>5766</v>
      </c>
      <c r="C5771" s="11">
        <v>32.5722478613242</v>
      </c>
      <c r="D5771" s="42"/>
    </row>
    <row r="5772" spans="2:4" ht="16" thickBot="1" x14ac:dyDescent="0.25">
      <c r="B5772" s="4">
        <v>5767</v>
      </c>
      <c r="C5772" s="10">
        <v>268.83821518101371</v>
      </c>
      <c r="D5772" s="42"/>
    </row>
    <row r="5773" spans="2:4" ht="16" thickBot="1" x14ac:dyDescent="0.25">
      <c r="B5773" s="5">
        <v>5768</v>
      </c>
      <c r="C5773" s="11">
        <v>89.746582756366223</v>
      </c>
      <c r="D5773" s="42"/>
    </row>
    <row r="5774" spans="2:4" ht="16" thickBot="1" x14ac:dyDescent="0.25">
      <c r="B5774" s="4">
        <v>5769</v>
      </c>
      <c r="C5774" s="10">
        <v>69.767486353730305</v>
      </c>
      <c r="D5774" s="42"/>
    </row>
    <row r="5775" spans="2:4" ht="16" thickBot="1" x14ac:dyDescent="0.25">
      <c r="B5775" s="5">
        <v>5770</v>
      </c>
      <c r="C5775" s="11">
        <v>273.06492424180294</v>
      </c>
      <c r="D5775" s="42"/>
    </row>
    <row r="5776" spans="2:4" ht="16" thickBot="1" x14ac:dyDescent="0.25">
      <c r="B5776" s="4">
        <v>5771</v>
      </c>
      <c r="C5776" s="10">
        <v>313.05194683659448</v>
      </c>
      <c r="D5776" s="42"/>
    </row>
    <row r="5777" spans="2:4" ht="16" thickBot="1" x14ac:dyDescent="0.25">
      <c r="B5777" s="5">
        <v>5772</v>
      </c>
      <c r="C5777" s="11">
        <v>186.53484419442893</v>
      </c>
      <c r="D5777" s="42"/>
    </row>
    <row r="5778" spans="2:4" ht="16" thickBot="1" x14ac:dyDescent="0.25">
      <c r="B5778" s="4">
        <v>5773</v>
      </c>
      <c r="C5778" s="10">
        <v>171.21087957329351</v>
      </c>
      <c r="D5778" s="42"/>
    </row>
    <row r="5779" spans="2:4" ht="16" thickBot="1" x14ac:dyDescent="0.25">
      <c r="B5779" s="5">
        <v>5774</v>
      </c>
      <c r="C5779" s="11">
        <v>203.21698645258303</v>
      </c>
      <c r="D5779" s="42"/>
    </row>
    <row r="5780" spans="2:4" ht="16" thickBot="1" x14ac:dyDescent="0.25">
      <c r="B5780" s="4">
        <v>5775</v>
      </c>
      <c r="C5780" s="10">
        <v>457.35032321203391</v>
      </c>
      <c r="D5780" s="42"/>
    </row>
    <row r="5781" spans="2:4" ht="16" thickBot="1" x14ac:dyDescent="0.25">
      <c r="B5781" s="5">
        <v>5776</v>
      </c>
      <c r="C5781" s="11">
        <v>226.48177588846559</v>
      </c>
      <c r="D5781" s="42"/>
    </row>
    <row r="5782" spans="2:4" ht="16" thickBot="1" x14ac:dyDescent="0.25">
      <c r="B5782" s="4">
        <v>5777</v>
      </c>
      <c r="C5782" s="10">
        <v>510.80315238238774</v>
      </c>
      <c r="D5782" s="42"/>
    </row>
    <row r="5783" spans="2:4" ht="16" thickBot="1" x14ac:dyDescent="0.25">
      <c r="B5783" s="5">
        <v>5778</v>
      </c>
      <c r="C5783" s="11">
        <v>312.84335356925419</v>
      </c>
      <c r="D5783" s="42"/>
    </row>
    <row r="5784" spans="2:4" ht="16" thickBot="1" x14ac:dyDescent="0.25">
      <c r="B5784" s="4">
        <v>5779</v>
      </c>
      <c r="C5784" s="10">
        <v>373.27020967226673</v>
      </c>
      <c r="D5784" s="42"/>
    </row>
    <row r="5785" spans="2:4" ht="16" thickBot="1" x14ac:dyDescent="0.25">
      <c r="B5785" s="5">
        <v>5780</v>
      </c>
      <c r="C5785" s="11">
        <v>101.65695071569981</v>
      </c>
      <c r="D5785" s="42"/>
    </row>
    <row r="5786" spans="2:4" ht="16" thickBot="1" x14ac:dyDescent="0.25">
      <c r="B5786" s="4">
        <v>5781</v>
      </c>
      <c r="C5786" s="10">
        <v>38.364150150372623</v>
      </c>
      <c r="D5786" s="42"/>
    </row>
    <row r="5787" spans="2:4" ht="16" thickBot="1" x14ac:dyDescent="0.25">
      <c r="B5787" s="5">
        <v>5782</v>
      </c>
      <c r="C5787" s="11">
        <v>265.05517492043066</v>
      </c>
      <c r="D5787" s="42"/>
    </row>
    <row r="5788" spans="2:4" ht="16" thickBot="1" x14ac:dyDescent="0.25">
      <c r="B5788" s="4">
        <v>5783</v>
      </c>
      <c r="C5788" s="10">
        <v>350.89304579838733</v>
      </c>
      <c r="D5788" s="42"/>
    </row>
    <row r="5789" spans="2:4" ht="16" thickBot="1" x14ac:dyDescent="0.25">
      <c r="B5789" s="5">
        <v>5784</v>
      </c>
      <c r="C5789" s="11">
        <v>325.15678094846169</v>
      </c>
      <c r="D5789" s="42"/>
    </row>
    <row r="5790" spans="2:4" ht="16" thickBot="1" x14ac:dyDescent="0.25">
      <c r="B5790" s="4">
        <v>5785</v>
      </c>
      <c r="C5790" s="10">
        <v>422.7117068427101</v>
      </c>
      <c r="D5790" s="42"/>
    </row>
    <row r="5791" spans="2:4" ht="16" thickBot="1" x14ac:dyDescent="0.25">
      <c r="B5791" s="5">
        <v>5786</v>
      </c>
      <c r="C5791" s="11">
        <v>151.40267769342597</v>
      </c>
      <c r="D5791" s="42"/>
    </row>
    <row r="5792" spans="2:4" ht="16" thickBot="1" x14ac:dyDescent="0.25">
      <c r="B5792" s="4">
        <v>5787</v>
      </c>
      <c r="C5792" s="10">
        <v>440.10909894828745</v>
      </c>
      <c r="D5792" s="42"/>
    </row>
    <row r="5793" spans="2:4" ht="16" thickBot="1" x14ac:dyDescent="0.25">
      <c r="B5793" s="5">
        <v>5788</v>
      </c>
      <c r="C5793" s="11">
        <v>423.82237491365856</v>
      </c>
      <c r="D5793" s="42"/>
    </row>
    <row r="5794" spans="2:4" ht="16" thickBot="1" x14ac:dyDescent="0.25">
      <c r="B5794" s="4">
        <v>5789</v>
      </c>
      <c r="C5794" s="10">
        <v>573.08438074189871</v>
      </c>
      <c r="D5794" s="42"/>
    </row>
    <row r="5795" spans="2:4" ht="16" thickBot="1" x14ac:dyDescent="0.25">
      <c r="B5795" s="5">
        <v>5790</v>
      </c>
      <c r="C5795" s="11">
        <v>84.441895187345423</v>
      </c>
      <c r="D5795" s="42"/>
    </row>
    <row r="5796" spans="2:4" ht="16" thickBot="1" x14ac:dyDescent="0.25">
      <c r="B5796" s="4">
        <v>5791</v>
      </c>
      <c r="C5796" s="10">
        <v>703.26602215283492</v>
      </c>
      <c r="D5796" s="42"/>
    </row>
    <row r="5797" spans="2:4" ht="16" thickBot="1" x14ac:dyDescent="0.25">
      <c r="B5797" s="5">
        <v>5792</v>
      </c>
      <c r="C5797" s="11">
        <v>440.16186039699733</v>
      </c>
      <c r="D5797" s="42"/>
    </row>
    <row r="5798" spans="2:4" ht="16" thickBot="1" x14ac:dyDescent="0.25">
      <c r="B5798" s="4">
        <v>5793</v>
      </c>
      <c r="C5798" s="10">
        <v>177.11099136242862</v>
      </c>
      <c r="D5798" s="42"/>
    </row>
    <row r="5799" spans="2:4" ht="16" thickBot="1" x14ac:dyDescent="0.25">
      <c r="B5799" s="5">
        <v>5794</v>
      </c>
      <c r="C5799" s="11">
        <v>815.48575285581455</v>
      </c>
      <c r="D5799" s="42"/>
    </row>
    <row r="5800" spans="2:4" ht="16" thickBot="1" x14ac:dyDescent="0.25">
      <c r="B5800" s="4">
        <v>5795</v>
      </c>
      <c r="C5800" s="10">
        <v>269.1816014963353</v>
      </c>
      <c r="D5800" s="42"/>
    </row>
    <row r="5801" spans="2:4" ht="16" thickBot="1" x14ac:dyDescent="0.25">
      <c r="B5801" s="5">
        <v>5796</v>
      </c>
      <c r="C5801" s="11">
        <v>441.18336637861188</v>
      </c>
      <c r="D5801" s="42"/>
    </row>
    <row r="5802" spans="2:4" ht="16" thickBot="1" x14ac:dyDescent="0.25">
      <c r="B5802" s="4">
        <v>5797</v>
      </c>
      <c r="C5802" s="10">
        <v>155.14741074905152</v>
      </c>
      <c r="D5802" s="42"/>
    </row>
    <row r="5803" spans="2:4" ht="16" thickBot="1" x14ac:dyDescent="0.25">
      <c r="B5803" s="5">
        <v>5798</v>
      </c>
      <c r="C5803" s="11">
        <v>345.17183924006673</v>
      </c>
      <c r="D5803" s="42"/>
    </row>
    <row r="5804" spans="2:4" ht="16" thickBot="1" x14ac:dyDescent="0.25">
      <c r="B5804" s="4">
        <v>5799</v>
      </c>
      <c r="C5804" s="10">
        <v>218.34922489508074</v>
      </c>
      <c r="D5804" s="42"/>
    </row>
    <row r="5805" spans="2:4" ht="16" thickBot="1" x14ac:dyDescent="0.25">
      <c r="B5805" s="5">
        <v>5800</v>
      </c>
      <c r="C5805" s="11">
        <v>362.81683588015426</v>
      </c>
      <c r="D5805" s="42"/>
    </row>
    <row r="5806" spans="2:4" ht="16" thickBot="1" x14ac:dyDescent="0.25">
      <c r="B5806" s="4">
        <v>5801</v>
      </c>
      <c r="C5806" s="10">
        <v>301.57158715578288</v>
      </c>
      <c r="D5806" s="42"/>
    </row>
    <row r="5807" spans="2:4" ht="16" thickBot="1" x14ac:dyDescent="0.25">
      <c r="B5807" s="5">
        <v>5802</v>
      </c>
      <c r="C5807" s="11">
        <v>63.532478635854865</v>
      </c>
      <c r="D5807" s="42"/>
    </row>
    <row r="5808" spans="2:4" ht="16" thickBot="1" x14ac:dyDescent="0.25">
      <c r="B5808" s="4">
        <v>5803</v>
      </c>
      <c r="C5808" s="10">
        <v>119.07531549293132</v>
      </c>
      <c r="D5808" s="42"/>
    </row>
    <row r="5809" spans="2:4" ht="16" thickBot="1" x14ac:dyDescent="0.25">
      <c r="B5809" s="5">
        <v>5804</v>
      </c>
      <c r="C5809" s="11">
        <v>195.30897994576159</v>
      </c>
      <c r="D5809" s="42"/>
    </row>
    <row r="5810" spans="2:4" ht="16" thickBot="1" x14ac:dyDescent="0.25">
      <c r="B5810" s="4">
        <v>5805</v>
      </c>
      <c r="C5810" s="10">
        <v>343.81974567612821</v>
      </c>
      <c r="D5810" s="42"/>
    </row>
    <row r="5811" spans="2:4" ht="16" thickBot="1" x14ac:dyDescent="0.25">
      <c r="B5811" s="5">
        <v>5806</v>
      </c>
      <c r="C5811" s="11">
        <v>274.60624389616748</v>
      </c>
      <c r="D5811" s="42"/>
    </row>
    <row r="5812" spans="2:4" ht="16" thickBot="1" x14ac:dyDescent="0.25">
      <c r="B5812" s="4">
        <v>5807</v>
      </c>
      <c r="C5812" s="10">
        <v>304.79903805246835</v>
      </c>
      <c r="D5812" s="42"/>
    </row>
    <row r="5813" spans="2:4" ht="16" thickBot="1" x14ac:dyDescent="0.25">
      <c r="B5813" s="5">
        <v>5808</v>
      </c>
      <c r="C5813" s="11">
        <v>64.321088721876478</v>
      </c>
      <c r="D5813" s="42"/>
    </row>
    <row r="5814" spans="2:4" ht="16" thickBot="1" x14ac:dyDescent="0.25">
      <c r="B5814" s="4">
        <v>5809</v>
      </c>
      <c r="C5814" s="10">
        <v>202.60042368497901</v>
      </c>
      <c r="D5814" s="42"/>
    </row>
    <row r="5815" spans="2:4" ht="16" thickBot="1" x14ac:dyDescent="0.25">
      <c r="B5815" s="5">
        <v>5810</v>
      </c>
      <c r="C5815" s="11">
        <v>335.63892464126957</v>
      </c>
      <c r="D5815" s="42"/>
    </row>
    <row r="5816" spans="2:4" ht="16" thickBot="1" x14ac:dyDescent="0.25">
      <c r="B5816" s="4">
        <v>5811</v>
      </c>
      <c r="C5816" s="10">
        <v>159.11527453632243</v>
      </c>
      <c r="D5816" s="42"/>
    </row>
    <row r="5817" spans="2:4" ht="16" thickBot="1" x14ac:dyDescent="0.25">
      <c r="B5817" s="5">
        <v>5812</v>
      </c>
      <c r="C5817" s="11">
        <v>91.023738101357338</v>
      </c>
      <c r="D5817" s="42"/>
    </row>
    <row r="5818" spans="2:4" ht="16" thickBot="1" x14ac:dyDescent="0.25">
      <c r="B5818" s="4">
        <v>5813</v>
      </c>
      <c r="C5818" s="10">
        <v>183.73479606557407</v>
      </c>
      <c r="D5818" s="42"/>
    </row>
    <row r="5819" spans="2:4" ht="16" thickBot="1" x14ac:dyDescent="0.25">
      <c r="B5819" s="5">
        <v>5814</v>
      </c>
      <c r="C5819" s="11">
        <v>198.30995347036645</v>
      </c>
      <c r="D5819" s="42"/>
    </row>
    <row r="5820" spans="2:4" ht="16" thickBot="1" x14ac:dyDescent="0.25">
      <c r="B5820" s="4">
        <v>5815</v>
      </c>
      <c r="C5820" s="10">
        <v>156.29793063194791</v>
      </c>
      <c r="D5820" s="42"/>
    </row>
    <row r="5821" spans="2:4" ht="16" thickBot="1" x14ac:dyDescent="0.25">
      <c r="B5821" s="5">
        <v>5816</v>
      </c>
      <c r="C5821" s="11">
        <v>329.1881534895715</v>
      </c>
      <c r="D5821" s="42"/>
    </row>
    <row r="5822" spans="2:4" ht="16" thickBot="1" x14ac:dyDescent="0.25">
      <c r="B5822" s="4">
        <v>5817</v>
      </c>
      <c r="C5822" s="10">
        <v>201.98266145423079</v>
      </c>
      <c r="D5822" s="42"/>
    </row>
    <row r="5823" spans="2:4" ht="16" thickBot="1" x14ac:dyDescent="0.25">
      <c r="B5823" s="5">
        <v>5818</v>
      </c>
      <c r="C5823" s="11">
        <v>98.675108178140405</v>
      </c>
      <c r="D5823" s="42"/>
    </row>
    <row r="5824" spans="2:4" ht="16" thickBot="1" x14ac:dyDescent="0.25">
      <c r="B5824" s="4">
        <v>5819</v>
      </c>
      <c r="C5824" s="10">
        <v>255.41570812493606</v>
      </c>
      <c r="D5824" s="42"/>
    </row>
    <row r="5825" spans="2:4" ht="16" thickBot="1" x14ac:dyDescent="0.25">
      <c r="B5825" s="5">
        <v>5820</v>
      </c>
      <c r="C5825" s="11">
        <v>155.9588281963</v>
      </c>
      <c r="D5825" s="42"/>
    </row>
    <row r="5826" spans="2:4" ht="16" thickBot="1" x14ac:dyDescent="0.25">
      <c r="B5826" s="4">
        <v>5821</v>
      </c>
      <c r="C5826" s="10">
        <v>666.58376691146657</v>
      </c>
      <c r="D5826" s="42"/>
    </row>
    <row r="5827" spans="2:4" ht="16" thickBot="1" x14ac:dyDescent="0.25">
      <c r="B5827" s="5">
        <v>5822</v>
      </c>
      <c r="C5827" s="11">
        <v>273.55310403867009</v>
      </c>
      <c r="D5827" s="42"/>
    </row>
    <row r="5828" spans="2:4" ht="16" thickBot="1" x14ac:dyDescent="0.25">
      <c r="B5828" s="4">
        <v>5823</v>
      </c>
      <c r="C5828" s="10">
        <v>200.87591987040028</v>
      </c>
      <c r="D5828" s="42"/>
    </row>
    <row r="5829" spans="2:4" ht="16" thickBot="1" x14ac:dyDescent="0.25">
      <c r="B5829" s="5">
        <v>5824</v>
      </c>
      <c r="C5829" s="11">
        <v>296.82425697864073</v>
      </c>
      <c r="D5829" s="42"/>
    </row>
    <row r="5830" spans="2:4" ht="16" thickBot="1" x14ac:dyDescent="0.25">
      <c r="B5830" s="4">
        <v>5825</v>
      </c>
      <c r="C5830" s="10">
        <v>80.624257650303662</v>
      </c>
      <c r="D5830" s="42"/>
    </row>
    <row r="5831" spans="2:4" ht="16" thickBot="1" x14ac:dyDescent="0.25">
      <c r="B5831" s="5">
        <v>5826</v>
      </c>
      <c r="C5831" s="11">
        <v>156.96417722425875</v>
      </c>
      <c r="D5831" s="42"/>
    </row>
    <row r="5832" spans="2:4" ht="16" thickBot="1" x14ac:dyDescent="0.25">
      <c r="B5832" s="4">
        <v>5827</v>
      </c>
      <c r="C5832" s="10">
        <v>397.03655081912376</v>
      </c>
      <c r="D5832" s="42"/>
    </row>
    <row r="5833" spans="2:4" ht="16" thickBot="1" x14ac:dyDescent="0.25">
      <c r="B5833" s="5">
        <v>5828</v>
      </c>
      <c r="C5833" s="11">
        <v>37.744670858786442</v>
      </c>
      <c r="D5833" s="42"/>
    </row>
    <row r="5834" spans="2:4" ht="16" thickBot="1" x14ac:dyDescent="0.25">
      <c r="B5834" s="4">
        <v>5829</v>
      </c>
      <c r="C5834" s="10">
        <v>379.5547441852118</v>
      </c>
      <c r="D5834" s="42"/>
    </row>
    <row r="5835" spans="2:4" ht="16" thickBot="1" x14ac:dyDescent="0.25">
      <c r="B5835" s="5">
        <v>5830</v>
      </c>
      <c r="C5835" s="11">
        <v>169.97309763077118</v>
      </c>
      <c r="D5835" s="42"/>
    </row>
    <row r="5836" spans="2:4" ht="16" thickBot="1" x14ac:dyDescent="0.25">
      <c r="B5836" s="4">
        <v>5831</v>
      </c>
      <c r="C5836" s="10">
        <v>117.5534633951566</v>
      </c>
      <c r="D5836" s="42"/>
    </row>
    <row r="5837" spans="2:4" ht="16" thickBot="1" x14ac:dyDescent="0.25">
      <c r="B5837" s="5">
        <v>5832</v>
      </c>
      <c r="C5837" s="11">
        <v>158.40877944593842</v>
      </c>
      <c r="D5837" s="42"/>
    </row>
    <row r="5838" spans="2:4" ht="16" thickBot="1" x14ac:dyDescent="0.25">
      <c r="B5838" s="4">
        <v>5833</v>
      </c>
      <c r="C5838" s="10">
        <v>384.75952062320926</v>
      </c>
      <c r="D5838" s="42"/>
    </row>
    <row r="5839" spans="2:4" ht="16" thickBot="1" x14ac:dyDescent="0.25">
      <c r="B5839" s="5">
        <v>5834</v>
      </c>
      <c r="C5839" s="11">
        <v>111.55245531256551</v>
      </c>
      <c r="D5839" s="42"/>
    </row>
    <row r="5840" spans="2:4" ht="16" thickBot="1" x14ac:dyDescent="0.25">
      <c r="B5840" s="4">
        <v>5835</v>
      </c>
      <c r="C5840" s="10">
        <v>679.78246428065461</v>
      </c>
      <c r="D5840" s="42"/>
    </row>
    <row r="5841" spans="2:4" ht="16" thickBot="1" x14ac:dyDescent="0.25">
      <c r="B5841" s="5">
        <v>5836</v>
      </c>
      <c r="C5841" s="11">
        <v>154.74863472693713</v>
      </c>
      <c r="D5841" s="42"/>
    </row>
    <row r="5842" spans="2:4" ht="16" thickBot="1" x14ac:dyDescent="0.25">
      <c r="B5842" s="4">
        <v>5837</v>
      </c>
      <c r="C5842" s="10">
        <v>176.65885344948438</v>
      </c>
      <c r="D5842" s="42"/>
    </row>
    <row r="5843" spans="2:4" ht="16" thickBot="1" x14ac:dyDescent="0.25">
      <c r="B5843" s="5">
        <v>5838</v>
      </c>
      <c r="C5843" s="11">
        <v>237.31770459688758</v>
      </c>
      <c r="D5843" s="42"/>
    </row>
    <row r="5844" spans="2:4" ht="16" thickBot="1" x14ac:dyDescent="0.25">
      <c r="B5844" s="4">
        <v>5839</v>
      </c>
      <c r="C5844" s="10">
        <v>546.41218971971148</v>
      </c>
      <c r="D5844" s="42"/>
    </row>
    <row r="5845" spans="2:4" ht="16" thickBot="1" x14ac:dyDescent="0.25">
      <c r="B5845" s="5">
        <v>5840</v>
      </c>
      <c r="C5845" s="11">
        <v>56.617467567642393</v>
      </c>
      <c r="D5845" s="42"/>
    </row>
    <row r="5846" spans="2:4" ht="16" thickBot="1" x14ac:dyDescent="0.25">
      <c r="B5846" s="4">
        <v>5841</v>
      </c>
      <c r="C5846" s="10">
        <v>99.740896622811192</v>
      </c>
      <c r="D5846" s="42"/>
    </row>
    <row r="5847" spans="2:4" ht="16" thickBot="1" x14ac:dyDescent="0.25">
      <c r="B5847" s="5">
        <v>5842</v>
      </c>
      <c r="C5847" s="11">
        <v>478.73240997310398</v>
      </c>
      <c r="D5847" s="42"/>
    </row>
    <row r="5848" spans="2:4" ht="16" thickBot="1" x14ac:dyDescent="0.25">
      <c r="B5848" s="4">
        <v>5843</v>
      </c>
      <c r="C5848" s="10">
        <v>184.12182156207987</v>
      </c>
      <c r="D5848" s="42"/>
    </row>
    <row r="5849" spans="2:4" ht="16" thickBot="1" x14ac:dyDescent="0.25">
      <c r="B5849" s="5">
        <v>5844</v>
      </c>
      <c r="C5849" s="11">
        <v>299.47626267859965</v>
      </c>
      <c r="D5849" s="42"/>
    </row>
    <row r="5850" spans="2:4" ht="16" thickBot="1" x14ac:dyDescent="0.25">
      <c r="B5850" s="4">
        <v>5845</v>
      </c>
      <c r="C5850" s="10">
        <v>222.70520791331529</v>
      </c>
      <c r="D5850" s="42"/>
    </row>
    <row r="5851" spans="2:4" ht="16" thickBot="1" x14ac:dyDescent="0.25">
      <c r="B5851" s="5">
        <v>5846</v>
      </c>
      <c r="C5851" s="11">
        <v>179.28711913822326</v>
      </c>
      <c r="D5851" s="42"/>
    </row>
    <row r="5852" spans="2:4" ht="16" thickBot="1" x14ac:dyDescent="0.25">
      <c r="B5852" s="4">
        <v>5847</v>
      </c>
      <c r="C5852" s="10">
        <v>243.72194261489145</v>
      </c>
      <c r="D5852" s="42"/>
    </row>
    <row r="5853" spans="2:4" ht="16" thickBot="1" x14ac:dyDescent="0.25">
      <c r="B5853" s="5">
        <v>5848</v>
      </c>
      <c r="C5853" s="11">
        <v>111.42524403885314</v>
      </c>
      <c r="D5853" s="42"/>
    </row>
    <row r="5854" spans="2:4" ht="16" thickBot="1" x14ac:dyDescent="0.25">
      <c r="B5854" s="4">
        <v>5849</v>
      </c>
      <c r="C5854" s="10">
        <v>200.47284808124658</v>
      </c>
      <c r="D5854" s="42"/>
    </row>
    <row r="5855" spans="2:4" ht="16" thickBot="1" x14ac:dyDescent="0.25">
      <c r="B5855" s="5">
        <v>5850</v>
      </c>
      <c r="C5855" s="11">
        <v>308.5694239603954</v>
      </c>
      <c r="D5855" s="42"/>
    </row>
    <row r="5856" spans="2:4" ht="16" thickBot="1" x14ac:dyDescent="0.25">
      <c r="B5856" s="4">
        <v>5851</v>
      </c>
      <c r="C5856" s="10">
        <v>219.34653951021335</v>
      </c>
      <c r="D5856" s="42"/>
    </row>
    <row r="5857" spans="2:4" ht="16" thickBot="1" x14ac:dyDescent="0.25">
      <c r="B5857" s="5">
        <v>5852</v>
      </c>
      <c r="C5857" s="11">
        <v>157.97144024555681</v>
      </c>
      <c r="D5857" s="42"/>
    </row>
    <row r="5858" spans="2:4" ht="16" thickBot="1" x14ac:dyDescent="0.25">
      <c r="B5858" s="4">
        <v>5853</v>
      </c>
      <c r="C5858" s="10">
        <v>305.24044621490549</v>
      </c>
      <c r="D5858" s="42"/>
    </row>
    <row r="5859" spans="2:4" ht="16" thickBot="1" x14ac:dyDescent="0.25">
      <c r="B5859" s="5">
        <v>5854</v>
      </c>
      <c r="C5859" s="11">
        <v>255.9529789650297</v>
      </c>
      <c r="D5859" s="42"/>
    </row>
    <row r="5860" spans="2:4" ht="16" thickBot="1" x14ac:dyDescent="0.25">
      <c r="B5860" s="4">
        <v>5855</v>
      </c>
      <c r="C5860" s="10">
        <v>564.05171231124189</v>
      </c>
      <c r="D5860" s="42"/>
    </row>
    <row r="5861" spans="2:4" ht="16" thickBot="1" x14ac:dyDescent="0.25">
      <c r="B5861" s="5">
        <v>5856</v>
      </c>
      <c r="C5861" s="11">
        <v>111.09484765325291</v>
      </c>
      <c r="D5861" s="42"/>
    </row>
    <row r="5862" spans="2:4" ht="16" thickBot="1" x14ac:dyDescent="0.25">
      <c r="B5862" s="4">
        <v>5857</v>
      </c>
      <c r="C5862" s="10">
        <v>243.33236196453058</v>
      </c>
      <c r="D5862" s="42"/>
    </row>
    <row r="5863" spans="2:4" ht="16" thickBot="1" x14ac:dyDescent="0.25">
      <c r="B5863" s="5">
        <v>5858</v>
      </c>
      <c r="C5863" s="11">
        <v>419.65614645509964</v>
      </c>
      <c r="D5863" s="42"/>
    </row>
    <row r="5864" spans="2:4" ht="16" thickBot="1" x14ac:dyDescent="0.25">
      <c r="B5864" s="4">
        <v>5859</v>
      </c>
      <c r="C5864" s="10">
        <v>194.84907183535023</v>
      </c>
      <c r="D5864" s="42"/>
    </row>
    <row r="5865" spans="2:4" ht="16" thickBot="1" x14ac:dyDescent="0.25">
      <c r="B5865" s="5">
        <v>5860</v>
      </c>
      <c r="C5865" s="11">
        <v>319.41920186264935</v>
      </c>
      <c r="D5865" s="42"/>
    </row>
    <row r="5866" spans="2:4" ht="16" thickBot="1" x14ac:dyDescent="0.25">
      <c r="B5866" s="4">
        <v>5861</v>
      </c>
      <c r="C5866" s="10">
        <v>214.16913756577381</v>
      </c>
      <c r="D5866" s="42"/>
    </row>
    <row r="5867" spans="2:4" ht="16" thickBot="1" x14ac:dyDescent="0.25">
      <c r="B5867" s="5">
        <v>5862</v>
      </c>
      <c r="C5867" s="11">
        <v>187.91802121069816</v>
      </c>
      <c r="D5867" s="42"/>
    </row>
    <row r="5868" spans="2:4" ht="16" thickBot="1" x14ac:dyDescent="0.25">
      <c r="B5868" s="4">
        <v>5863</v>
      </c>
      <c r="C5868" s="10">
        <v>269.18361014074134</v>
      </c>
      <c r="D5868" s="42"/>
    </row>
    <row r="5869" spans="2:4" ht="16" thickBot="1" x14ac:dyDescent="0.25">
      <c r="B5869" s="5">
        <v>5864</v>
      </c>
      <c r="C5869" s="11">
        <v>113.07389902781961</v>
      </c>
      <c r="D5869" s="42"/>
    </row>
    <row r="5870" spans="2:4" ht="16" thickBot="1" x14ac:dyDescent="0.25">
      <c r="B5870" s="4">
        <v>5865</v>
      </c>
      <c r="C5870" s="10">
        <v>271.62904095907192</v>
      </c>
      <c r="D5870" s="42"/>
    </row>
    <row r="5871" spans="2:4" ht="16" thickBot="1" x14ac:dyDescent="0.25">
      <c r="B5871" s="5">
        <v>5866</v>
      </c>
      <c r="C5871" s="11">
        <v>244.89187318133725</v>
      </c>
      <c r="D5871" s="42"/>
    </row>
    <row r="5872" spans="2:4" ht="16" thickBot="1" x14ac:dyDescent="0.25">
      <c r="B5872" s="4">
        <v>5867</v>
      </c>
      <c r="C5872" s="10">
        <v>393.74246925026677</v>
      </c>
      <c r="D5872" s="42"/>
    </row>
    <row r="5873" spans="2:4" ht="16" thickBot="1" x14ac:dyDescent="0.25">
      <c r="B5873" s="5">
        <v>5868</v>
      </c>
      <c r="C5873" s="11">
        <v>384.37148956793158</v>
      </c>
      <c r="D5873" s="42"/>
    </row>
    <row r="5874" spans="2:4" ht="16" thickBot="1" x14ac:dyDescent="0.25">
      <c r="B5874" s="4">
        <v>5869</v>
      </c>
      <c r="C5874" s="10">
        <v>215.3819147662166</v>
      </c>
      <c r="D5874" s="42"/>
    </row>
    <row r="5875" spans="2:4" ht="16" thickBot="1" x14ac:dyDescent="0.25">
      <c r="B5875" s="5">
        <v>5870</v>
      </c>
      <c r="C5875" s="11">
        <v>231.44197547445069</v>
      </c>
      <c r="D5875" s="42"/>
    </row>
    <row r="5876" spans="2:4" ht="16" thickBot="1" x14ac:dyDescent="0.25">
      <c r="B5876" s="4">
        <v>5871</v>
      </c>
      <c r="C5876" s="10">
        <v>304.48143129775576</v>
      </c>
      <c r="D5876" s="42"/>
    </row>
    <row r="5877" spans="2:4" ht="16" thickBot="1" x14ac:dyDescent="0.25">
      <c r="B5877" s="5">
        <v>5872</v>
      </c>
      <c r="C5877" s="11">
        <v>318.34080945763833</v>
      </c>
      <c r="D5877" s="42"/>
    </row>
    <row r="5878" spans="2:4" ht="16" thickBot="1" x14ac:dyDescent="0.25">
      <c r="B5878" s="4">
        <v>5873</v>
      </c>
      <c r="C5878" s="10">
        <v>201.46792986982894</v>
      </c>
      <c r="D5878" s="42"/>
    </row>
    <row r="5879" spans="2:4" ht="16" thickBot="1" x14ac:dyDescent="0.25">
      <c r="B5879" s="5">
        <v>5874</v>
      </c>
      <c r="C5879" s="11">
        <v>498.34461334074854</v>
      </c>
      <c r="D5879" s="42"/>
    </row>
    <row r="5880" spans="2:4" ht="16" thickBot="1" x14ac:dyDescent="0.25">
      <c r="B5880" s="4">
        <v>5875</v>
      </c>
      <c r="C5880" s="10">
        <v>131.40666399413058</v>
      </c>
      <c r="D5880" s="42"/>
    </row>
    <row r="5881" spans="2:4" ht="16" thickBot="1" x14ac:dyDescent="0.25">
      <c r="B5881" s="5">
        <v>5876</v>
      </c>
      <c r="C5881" s="11">
        <v>222.2463646490047</v>
      </c>
      <c r="D5881" s="42"/>
    </row>
    <row r="5882" spans="2:4" ht="16" thickBot="1" x14ac:dyDescent="0.25">
      <c r="B5882" s="4">
        <v>5877</v>
      </c>
      <c r="C5882" s="10">
        <v>90.496658837374852</v>
      </c>
      <c r="D5882" s="42"/>
    </row>
    <row r="5883" spans="2:4" ht="16" thickBot="1" x14ac:dyDescent="0.25">
      <c r="B5883" s="5">
        <v>5878</v>
      </c>
      <c r="C5883" s="11">
        <v>232.31026743731627</v>
      </c>
      <c r="D5883" s="42"/>
    </row>
    <row r="5884" spans="2:4" ht="16" thickBot="1" x14ac:dyDescent="0.25">
      <c r="B5884" s="4">
        <v>5879</v>
      </c>
      <c r="C5884" s="10">
        <v>59.659179547401514</v>
      </c>
      <c r="D5884" s="42"/>
    </row>
    <row r="5885" spans="2:4" ht="16" thickBot="1" x14ac:dyDescent="0.25">
      <c r="B5885" s="5">
        <v>5880</v>
      </c>
      <c r="C5885" s="11">
        <v>261.97795144253342</v>
      </c>
      <c r="D5885" s="42"/>
    </row>
    <row r="5886" spans="2:4" ht="16" thickBot="1" x14ac:dyDescent="0.25">
      <c r="B5886" s="4">
        <v>5881</v>
      </c>
      <c r="C5886" s="10">
        <v>410.64026808408278</v>
      </c>
      <c r="D5886" s="42"/>
    </row>
    <row r="5887" spans="2:4" ht="16" thickBot="1" x14ac:dyDescent="0.25">
      <c r="B5887" s="5">
        <v>5882</v>
      </c>
      <c r="C5887" s="11">
        <v>401.54944789338401</v>
      </c>
      <c r="D5887" s="42"/>
    </row>
    <row r="5888" spans="2:4" ht="16" thickBot="1" x14ac:dyDescent="0.25">
      <c r="B5888" s="4">
        <v>5883</v>
      </c>
      <c r="C5888" s="10">
        <v>105.17504101546949</v>
      </c>
      <c r="D5888" s="42"/>
    </row>
    <row r="5889" spans="2:4" ht="16" thickBot="1" x14ac:dyDescent="0.25">
      <c r="B5889" s="5">
        <v>5884</v>
      </c>
      <c r="C5889" s="11">
        <v>149.28451985299043</v>
      </c>
      <c r="D5889" s="42"/>
    </row>
    <row r="5890" spans="2:4" ht="16" thickBot="1" x14ac:dyDescent="0.25">
      <c r="B5890" s="4">
        <v>5885</v>
      </c>
      <c r="C5890" s="10">
        <v>182.60281508940784</v>
      </c>
      <c r="D5890" s="42"/>
    </row>
    <row r="5891" spans="2:4" ht="16" thickBot="1" x14ac:dyDescent="0.25">
      <c r="B5891" s="5">
        <v>5886</v>
      </c>
      <c r="C5891" s="11">
        <v>228.06729242383415</v>
      </c>
      <c r="D5891" s="42"/>
    </row>
    <row r="5892" spans="2:4" ht="16" thickBot="1" x14ac:dyDescent="0.25">
      <c r="B5892" s="4">
        <v>5887</v>
      </c>
      <c r="C5892" s="10">
        <v>174.17187947458265</v>
      </c>
      <c r="D5892" s="42"/>
    </row>
    <row r="5893" spans="2:4" ht="16" thickBot="1" x14ac:dyDescent="0.25">
      <c r="B5893" s="5">
        <v>5888</v>
      </c>
      <c r="C5893" s="11">
        <v>150.81306619244359</v>
      </c>
      <c r="D5893" s="42"/>
    </row>
    <row r="5894" spans="2:4" ht="16" thickBot="1" x14ac:dyDescent="0.25">
      <c r="B5894" s="4">
        <v>5889</v>
      </c>
      <c r="C5894" s="10">
        <v>628.71390690177623</v>
      </c>
      <c r="D5894" s="42"/>
    </row>
    <row r="5895" spans="2:4" ht="16" thickBot="1" x14ac:dyDescent="0.25">
      <c r="B5895" s="5">
        <v>5890</v>
      </c>
      <c r="C5895" s="11">
        <v>239.74199140526821</v>
      </c>
      <c r="D5895" s="42"/>
    </row>
    <row r="5896" spans="2:4" ht="16" thickBot="1" x14ac:dyDescent="0.25">
      <c r="B5896" s="4">
        <v>5891</v>
      </c>
      <c r="C5896" s="10">
        <v>478.80697479506819</v>
      </c>
      <c r="D5896" s="42"/>
    </row>
    <row r="5897" spans="2:4" ht="16" thickBot="1" x14ac:dyDescent="0.25">
      <c r="B5897" s="5">
        <v>5892</v>
      </c>
      <c r="C5897" s="11">
        <v>172.71329548013716</v>
      </c>
      <c r="D5897" s="42"/>
    </row>
    <row r="5898" spans="2:4" ht="16" thickBot="1" x14ac:dyDescent="0.25">
      <c r="B5898" s="4">
        <v>5893</v>
      </c>
      <c r="C5898" s="10">
        <v>364.28579688661273</v>
      </c>
      <c r="D5898" s="42"/>
    </row>
    <row r="5899" spans="2:4" ht="16" thickBot="1" x14ac:dyDescent="0.25">
      <c r="B5899" s="5">
        <v>5894</v>
      </c>
      <c r="C5899" s="11">
        <v>132.23370624595535</v>
      </c>
      <c r="D5899" s="42"/>
    </row>
    <row r="5900" spans="2:4" ht="16" thickBot="1" x14ac:dyDescent="0.25">
      <c r="B5900" s="4">
        <v>5895</v>
      </c>
      <c r="C5900" s="10">
        <v>549.29112153154176</v>
      </c>
      <c r="D5900" s="42"/>
    </row>
    <row r="5901" spans="2:4" ht="16" thickBot="1" x14ac:dyDescent="0.25">
      <c r="B5901" s="5">
        <v>5896</v>
      </c>
      <c r="C5901" s="11">
        <v>389.19093182442197</v>
      </c>
      <c r="D5901" s="42"/>
    </row>
    <row r="5902" spans="2:4" ht="16" thickBot="1" x14ac:dyDescent="0.25">
      <c r="B5902" s="4">
        <v>5897</v>
      </c>
      <c r="C5902" s="10">
        <v>362.11174384233203</v>
      </c>
      <c r="D5902" s="42"/>
    </row>
    <row r="5903" spans="2:4" ht="16" thickBot="1" x14ac:dyDescent="0.25">
      <c r="B5903" s="5">
        <v>5898</v>
      </c>
      <c r="C5903" s="11">
        <v>446.01130174207663</v>
      </c>
      <c r="D5903" s="42"/>
    </row>
    <row r="5904" spans="2:4" ht="16" thickBot="1" x14ac:dyDescent="0.25">
      <c r="B5904" s="4">
        <v>5899</v>
      </c>
      <c r="C5904" s="10">
        <v>309.6295908303959</v>
      </c>
      <c r="D5904" s="42"/>
    </row>
    <row r="5905" spans="2:4" ht="16" thickBot="1" x14ac:dyDescent="0.25">
      <c r="B5905" s="5">
        <v>5900</v>
      </c>
      <c r="C5905" s="11">
        <v>284.85205037494541</v>
      </c>
      <c r="D5905" s="42"/>
    </row>
    <row r="5906" spans="2:4" ht="16" thickBot="1" x14ac:dyDescent="0.25">
      <c r="B5906" s="4">
        <v>5901</v>
      </c>
      <c r="C5906" s="10">
        <v>167.07361764321223</v>
      </c>
      <c r="D5906" s="42"/>
    </row>
    <row r="5907" spans="2:4" ht="16" thickBot="1" x14ac:dyDescent="0.25">
      <c r="B5907" s="5">
        <v>5902</v>
      </c>
      <c r="C5907" s="11">
        <v>47.339612819020921</v>
      </c>
      <c r="D5907" s="42"/>
    </row>
    <row r="5908" spans="2:4" ht="16" thickBot="1" x14ac:dyDescent="0.25">
      <c r="B5908" s="4">
        <v>5903</v>
      </c>
      <c r="C5908" s="10">
        <v>175.23688911202512</v>
      </c>
      <c r="D5908" s="42"/>
    </row>
    <row r="5909" spans="2:4" ht="16" thickBot="1" x14ac:dyDescent="0.25">
      <c r="B5909" s="5">
        <v>5904</v>
      </c>
      <c r="C5909" s="11">
        <v>188.66674021974328</v>
      </c>
      <c r="D5909" s="42"/>
    </row>
    <row r="5910" spans="2:4" ht="16" thickBot="1" x14ac:dyDescent="0.25">
      <c r="B5910" s="4">
        <v>5905</v>
      </c>
      <c r="C5910" s="10">
        <v>83.592737413560187</v>
      </c>
      <c r="D5910" s="42"/>
    </row>
    <row r="5911" spans="2:4" ht="16" thickBot="1" x14ac:dyDescent="0.25">
      <c r="B5911" s="5">
        <v>5906</v>
      </c>
      <c r="C5911" s="11">
        <v>78.649290581187216</v>
      </c>
      <c r="D5911" s="42"/>
    </row>
    <row r="5912" spans="2:4" ht="16" thickBot="1" x14ac:dyDescent="0.25">
      <c r="B5912" s="4">
        <v>5907</v>
      </c>
      <c r="C5912" s="10">
        <v>513.36364257406694</v>
      </c>
      <c r="D5912" s="42"/>
    </row>
    <row r="5913" spans="2:4" ht="16" thickBot="1" x14ac:dyDescent="0.25">
      <c r="B5913" s="5">
        <v>5908</v>
      </c>
      <c r="C5913" s="11">
        <v>349.14583681721842</v>
      </c>
      <c r="D5913" s="42"/>
    </row>
    <row r="5914" spans="2:4" ht="16" thickBot="1" x14ac:dyDescent="0.25">
      <c r="B5914" s="4">
        <v>5909</v>
      </c>
      <c r="C5914" s="10">
        <v>592.43350509684194</v>
      </c>
      <c r="D5914" s="42"/>
    </row>
    <row r="5915" spans="2:4" ht="16" thickBot="1" x14ac:dyDescent="0.25">
      <c r="B5915" s="5">
        <v>5910</v>
      </c>
      <c r="C5915" s="11">
        <v>113.71472619748948</v>
      </c>
      <c r="D5915" s="42"/>
    </row>
    <row r="5916" spans="2:4" ht="16" thickBot="1" x14ac:dyDescent="0.25">
      <c r="B5916" s="4">
        <v>5911</v>
      </c>
      <c r="C5916" s="10">
        <v>274.21264124433958</v>
      </c>
      <c r="D5916" s="42"/>
    </row>
    <row r="5917" spans="2:4" ht="16" thickBot="1" x14ac:dyDescent="0.25">
      <c r="B5917" s="5">
        <v>5912</v>
      </c>
      <c r="C5917" s="11">
        <v>238.79530232590548</v>
      </c>
      <c r="D5917" s="42"/>
    </row>
    <row r="5918" spans="2:4" ht="16" thickBot="1" x14ac:dyDescent="0.25">
      <c r="B5918" s="4">
        <v>5913</v>
      </c>
      <c r="C5918" s="10">
        <v>425.90430036283772</v>
      </c>
      <c r="D5918" s="42"/>
    </row>
    <row r="5919" spans="2:4" ht="16" thickBot="1" x14ac:dyDescent="0.25">
      <c r="B5919" s="5">
        <v>5914</v>
      </c>
      <c r="C5919" s="11">
        <v>300.9453094680743</v>
      </c>
      <c r="D5919" s="42"/>
    </row>
    <row r="5920" spans="2:4" ht="16" thickBot="1" x14ac:dyDescent="0.25">
      <c r="B5920" s="4">
        <v>5915</v>
      </c>
      <c r="C5920" s="10">
        <v>587.57026186983671</v>
      </c>
      <c r="D5920" s="42"/>
    </row>
    <row r="5921" spans="2:4" ht="16" thickBot="1" x14ac:dyDescent="0.25">
      <c r="B5921" s="5">
        <v>5916</v>
      </c>
      <c r="C5921" s="11">
        <v>334.51242230596273</v>
      </c>
      <c r="D5921" s="42"/>
    </row>
    <row r="5922" spans="2:4" ht="16" thickBot="1" x14ac:dyDescent="0.25">
      <c r="B5922" s="4">
        <v>5917</v>
      </c>
      <c r="C5922" s="10">
        <v>94.366129937768648</v>
      </c>
      <c r="D5922" s="42"/>
    </row>
    <row r="5923" spans="2:4" ht="16" thickBot="1" x14ac:dyDescent="0.25">
      <c r="B5923" s="5">
        <v>5918</v>
      </c>
      <c r="C5923" s="11">
        <v>463.25897532201361</v>
      </c>
      <c r="D5923" s="42"/>
    </row>
    <row r="5924" spans="2:4" ht="16" thickBot="1" x14ac:dyDescent="0.25">
      <c r="B5924" s="4">
        <v>5919</v>
      </c>
      <c r="C5924" s="10">
        <v>213.52473413385204</v>
      </c>
      <c r="D5924" s="42"/>
    </row>
    <row r="5925" spans="2:4" ht="16" thickBot="1" x14ac:dyDescent="0.25">
      <c r="B5925" s="5">
        <v>5920</v>
      </c>
      <c r="C5925" s="11">
        <v>321.22543876390421</v>
      </c>
      <c r="D5925" s="42"/>
    </row>
    <row r="5926" spans="2:4" ht="16" thickBot="1" x14ac:dyDescent="0.25">
      <c r="B5926" s="4">
        <v>5921</v>
      </c>
      <c r="C5926" s="10">
        <v>869.06244505660516</v>
      </c>
      <c r="D5926" s="42"/>
    </row>
    <row r="5927" spans="2:4" ht="16" thickBot="1" x14ac:dyDescent="0.25">
      <c r="B5927" s="5">
        <v>5922</v>
      </c>
      <c r="C5927" s="11">
        <v>220.3455159123944</v>
      </c>
      <c r="D5927" s="42"/>
    </row>
    <row r="5928" spans="2:4" ht="16" thickBot="1" x14ac:dyDescent="0.25">
      <c r="B5928" s="4">
        <v>5923</v>
      </c>
      <c r="C5928" s="10">
        <v>157.41021402984646</v>
      </c>
      <c r="D5928" s="42"/>
    </row>
    <row r="5929" spans="2:4" ht="16" thickBot="1" x14ac:dyDescent="0.25">
      <c r="B5929" s="5">
        <v>5924</v>
      </c>
      <c r="C5929" s="11">
        <v>360.72468567964052</v>
      </c>
      <c r="D5929" s="42"/>
    </row>
    <row r="5930" spans="2:4" ht="16" thickBot="1" x14ac:dyDescent="0.25">
      <c r="B5930" s="4">
        <v>5925</v>
      </c>
      <c r="C5930" s="10">
        <v>455.89729491661643</v>
      </c>
      <c r="D5930" s="42"/>
    </row>
    <row r="5931" spans="2:4" ht="16" thickBot="1" x14ac:dyDescent="0.25">
      <c r="B5931" s="5">
        <v>5926</v>
      </c>
      <c r="C5931" s="11">
        <v>223.54499411462211</v>
      </c>
      <c r="D5931" s="42"/>
    </row>
    <row r="5932" spans="2:4" ht="16" thickBot="1" x14ac:dyDescent="0.25">
      <c r="B5932" s="4">
        <v>5927</v>
      </c>
      <c r="C5932" s="10">
        <v>638.67601774555135</v>
      </c>
      <c r="D5932" s="42"/>
    </row>
    <row r="5933" spans="2:4" ht="16" thickBot="1" x14ac:dyDescent="0.25">
      <c r="B5933" s="5">
        <v>5928</v>
      </c>
      <c r="C5933" s="11">
        <v>653.65022246425804</v>
      </c>
      <c r="D5933" s="42"/>
    </row>
    <row r="5934" spans="2:4" ht="16" thickBot="1" x14ac:dyDescent="0.25">
      <c r="B5934" s="4">
        <v>5929</v>
      </c>
      <c r="C5934" s="10">
        <v>335.33774645533998</v>
      </c>
      <c r="D5934" s="42"/>
    </row>
    <row r="5935" spans="2:4" ht="16" thickBot="1" x14ac:dyDescent="0.25">
      <c r="B5935" s="5">
        <v>5930</v>
      </c>
      <c r="C5935" s="11">
        <v>214.9416755001017</v>
      </c>
      <c r="D5935" s="42"/>
    </row>
    <row r="5936" spans="2:4" ht="16" thickBot="1" x14ac:dyDescent="0.25">
      <c r="B5936" s="4">
        <v>5931</v>
      </c>
      <c r="C5936" s="10">
        <v>118.5807892351648</v>
      </c>
      <c r="D5936" s="42"/>
    </row>
    <row r="5937" spans="2:4" ht="16" thickBot="1" x14ac:dyDescent="0.25">
      <c r="B5937" s="5">
        <v>5932</v>
      </c>
      <c r="C5937" s="11">
        <v>64.008716005157581</v>
      </c>
      <c r="D5937" s="42"/>
    </row>
    <row r="5938" spans="2:4" ht="16" thickBot="1" x14ac:dyDescent="0.25">
      <c r="B5938" s="4">
        <v>5933</v>
      </c>
      <c r="C5938" s="10">
        <v>150.84428934076729</v>
      </c>
      <c r="D5938" s="42"/>
    </row>
    <row r="5939" spans="2:4" ht="16" thickBot="1" x14ac:dyDescent="0.25">
      <c r="B5939" s="5">
        <v>5934</v>
      </c>
      <c r="C5939" s="11">
        <v>192.87192807362379</v>
      </c>
      <c r="D5939" s="42"/>
    </row>
    <row r="5940" spans="2:4" ht="16" thickBot="1" x14ac:dyDescent="0.25">
      <c r="B5940" s="4">
        <v>5935</v>
      </c>
      <c r="C5940" s="10">
        <v>128.37691257269549</v>
      </c>
      <c r="D5940" s="42"/>
    </row>
    <row r="5941" spans="2:4" ht="16" thickBot="1" x14ac:dyDescent="0.25">
      <c r="B5941" s="5">
        <v>5936</v>
      </c>
      <c r="C5941" s="11">
        <v>269.77417196175594</v>
      </c>
      <c r="D5941" s="42"/>
    </row>
    <row r="5942" spans="2:4" ht="16" thickBot="1" x14ac:dyDescent="0.25">
      <c r="B5942" s="4">
        <v>5937</v>
      </c>
      <c r="C5942" s="10">
        <v>658.47206731515178</v>
      </c>
      <c r="D5942" s="42"/>
    </row>
    <row r="5943" spans="2:4" ht="16" thickBot="1" x14ac:dyDescent="0.25">
      <c r="B5943" s="5">
        <v>5938</v>
      </c>
      <c r="C5943" s="11">
        <v>93.102182129722195</v>
      </c>
      <c r="D5943" s="42"/>
    </row>
    <row r="5944" spans="2:4" ht="16" thickBot="1" x14ac:dyDescent="0.25">
      <c r="B5944" s="4">
        <v>5939</v>
      </c>
      <c r="C5944" s="10">
        <v>218.72350835293227</v>
      </c>
      <c r="D5944" s="42"/>
    </row>
    <row r="5945" spans="2:4" ht="16" thickBot="1" x14ac:dyDescent="0.25">
      <c r="B5945" s="5">
        <v>5940</v>
      </c>
      <c r="C5945" s="11">
        <v>87.088156638485856</v>
      </c>
      <c r="D5945" s="42"/>
    </row>
    <row r="5946" spans="2:4" ht="16" thickBot="1" x14ac:dyDescent="0.25">
      <c r="B5946" s="4">
        <v>5941</v>
      </c>
      <c r="C5946" s="10">
        <v>133.36572153332614</v>
      </c>
      <c r="D5946" s="42"/>
    </row>
    <row r="5947" spans="2:4" ht="16" thickBot="1" x14ac:dyDescent="0.25">
      <c r="B5947" s="5">
        <v>5942</v>
      </c>
      <c r="C5947" s="11">
        <v>64.904184535365331</v>
      </c>
      <c r="D5947" s="42"/>
    </row>
    <row r="5948" spans="2:4" ht="16" thickBot="1" x14ac:dyDescent="0.25">
      <c r="B5948" s="4">
        <v>5943</v>
      </c>
      <c r="C5948" s="10">
        <v>222.51999109662091</v>
      </c>
      <c r="D5948" s="42"/>
    </row>
    <row r="5949" spans="2:4" ht="16" thickBot="1" x14ac:dyDescent="0.25">
      <c r="B5949" s="5">
        <v>5944</v>
      </c>
      <c r="C5949" s="11">
        <v>358.65564215069276</v>
      </c>
      <c r="D5949" s="42"/>
    </row>
    <row r="5950" spans="2:4" ht="16" thickBot="1" x14ac:dyDescent="0.25">
      <c r="B5950" s="4">
        <v>5945</v>
      </c>
      <c r="C5950" s="10">
        <v>171.64825376089695</v>
      </c>
      <c r="D5950" s="42"/>
    </row>
    <row r="5951" spans="2:4" ht="16" thickBot="1" x14ac:dyDescent="0.25">
      <c r="B5951" s="5">
        <v>5946</v>
      </c>
      <c r="C5951" s="11">
        <v>438.32853104279707</v>
      </c>
      <c r="D5951" s="42"/>
    </row>
    <row r="5952" spans="2:4" ht="16" thickBot="1" x14ac:dyDescent="0.25">
      <c r="B5952" s="4">
        <v>5947</v>
      </c>
      <c r="C5952" s="10">
        <v>211.21168473779321</v>
      </c>
      <c r="D5952" s="42"/>
    </row>
    <row r="5953" spans="2:4" ht="16" thickBot="1" x14ac:dyDescent="0.25">
      <c r="B5953" s="5">
        <v>5948</v>
      </c>
      <c r="C5953" s="11">
        <v>396.79774032647674</v>
      </c>
      <c r="D5953" s="42"/>
    </row>
    <row r="5954" spans="2:4" ht="16" thickBot="1" x14ac:dyDescent="0.25">
      <c r="B5954" s="4">
        <v>5949</v>
      </c>
      <c r="C5954" s="10">
        <v>366.72482919747256</v>
      </c>
      <c r="D5954" s="42"/>
    </row>
    <row r="5955" spans="2:4" ht="16" thickBot="1" x14ac:dyDescent="0.25">
      <c r="B5955" s="5">
        <v>5950</v>
      </c>
      <c r="C5955" s="11">
        <v>296.12598388206334</v>
      </c>
      <c r="D5955" s="42"/>
    </row>
    <row r="5956" spans="2:4" ht="16" thickBot="1" x14ac:dyDescent="0.25">
      <c r="B5956" s="4">
        <v>5951</v>
      </c>
      <c r="C5956" s="10">
        <v>462.99826752198089</v>
      </c>
      <c r="D5956" s="42"/>
    </row>
    <row r="5957" spans="2:4" ht="16" thickBot="1" x14ac:dyDescent="0.25">
      <c r="B5957" s="5">
        <v>5952</v>
      </c>
      <c r="C5957" s="11">
        <v>51.451131364533495</v>
      </c>
      <c r="D5957" s="42"/>
    </row>
    <row r="5958" spans="2:4" ht="16" thickBot="1" x14ac:dyDescent="0.25">
      <c r="B5958" s="4">
        <v>5953</v>
      </c>
      <c r="C5958" s="10">
        <v>251.66004462075136</v>
      </c>
      <c r="D5958" s="42"/>
    </row>
    <row r="5959" spans="2:4" ht="16" thickBot="1" x14ac:dyDescent="0.25">
      <c r="B5959" s="5">
        <v>5954</v>
      </c>
      <c r="C5959" s="11">
        <v>285.22935656785955</v>
      </c>
      <c r="D5959" s="42"/>
    </row>
    <row r="5960" spans="2:4" ht="16" thickBot="1" x14ac:dyDescent="0.25">
      <c r="B5960" s="4">
        <v>5955</v>
      </c>
      <c r="C5960" s="10">
        <v>158.33844919772829</v>
      </c>
      <c r="D5960" s="42"/>
    </row>
    <row r="5961" spans="2:4" ht="16" thickBot="1" x14ac:dyDescent="0.25">
      <c r="B5961" s="5">
        <v>5956</v>
      </c>
      <c r="C5961" s="11">
        <v>236.25076300577325</v>
      </c>
      <c r="D5961" s="42"/>
    </row>
    <row r="5962" spans="2:4" ht="16" thickBot="1" x14ac:dyDescent="0.25">
      <c r="B5962" s="4">
        <v>5957</v>
      </c>
      <c r="C5962" s="10">
        <v>379.4646311867192</v>
      </c>
      <c r="D5962" s="42"/>
    </row>
    <row r="5963" spans="2:4" ht="16" thickBot="1" x14ac:dyDescent="0.25">
      <c r="B5963" s="5">
        <v>5958</v>
      </c>
      <c r="C5963" s="11">
        <v>239.65691365453273</v>
      </c>
      <c r="D5963" s="42"/>
    </row>
    <row r="5964" spans="2:4" ht="16" thickBot="1" x14ac:dyDescent="0.25">
      <c r="B5964" s="4">
        <v>5959</v>
      </c>
      <c r="C5964" s="10">
        <v>337.69316939342139</v>
      </c>
      <c r="D5964" s="42"/>
    </row>
    <row r="5965" spans="2:4" ht="16" thickBot="1" x14ac:dyDescent="0.25">
      <c r="B5965" s="5">
        <v>5960</v>
      </c>
      <c r="C5965" s="11">
        <v>353.18878616691899</v>
      </c>
      <c r="D5965" s="42"/>
    </row>
    <row r="5966" spans="2:4" ht="16" thickBot="1" x14ac:dyDescent="0.25">
      <c r="B5966" s="4">
        <v>5961</v>
      </c>
      <c r="C5966" s="10">
        <v>515.10064735609888</v>
      </c>
      <c r="D5966" s="42"/>
    </row>
    <row r="5967" spans="2:4" ht="16" thickBot="1" x14ac:dyDescent="0.25">
      <c r="B5967" s="5">
        <v>5962</v>
      </c>
      <c r="C5967" s="11">
        <v>134.86921556720517</v>
      </c>
      <c r="D5967" s="42"/>
    </row>
    <row r="5968" spans="2:4" ht="16" thickBot="1" x14ac:dyDescent="0.25">
      <c r="B5968" s="4">
        <v>5963</v>
      </c>
      <c r="C5968" s="10">
        <v>235.82034276607098</v>
      </c>
      <c r="D5968" s="42"/>
    </row>
    <row r="5969" spans="2:4" ht="16" thickBot="1" x14ac:dyDescent="0.25">
      <c r="B5969" s="5">
        <v>5964</v>
      </c>
      <c r="C5969" s="11">
        <v>294.45227757329616</v>
      </c>
      <c r="D5969" s="42"/>
    </row>
    <row r="5970" spans="2:4" ht="16" thickBot="1" x14ac:dyDescent="0.25">
      <c r="B5970" s="4">
        <v>5965</v>
      </c>
      <c r="C5970" s="10">
        <v>376.66868375573898</v>
      </c>
      <c r="D5970" s="42"/>
    </row>
    <row r="5971" spans="2:4" ht="16" thickBot="1" x14ac:dyDescent="0.25">
      <c r="B5971" s="5">
        <v>5966</v>
      </c>
      <c r="C5971" s="11">
        <v>718.83463955728234</v>
      </c>
      <c r="D5971" s="42"/>
    </row>
    <row r="5972" spans="2:4" ht="16" thickBot="1" x14ac:dyDescent="0.25">
      <c r="B5972" s="4">
        <v>5967</v>
      </c>
      <c r="C5972" s="10">
        <v>376.20069661468852</v>
      </c>
      <c r="D5972" s="42"/>
    </row>
    <row r="5973" spans="2:4" ht="16" thickBot="1" x14ac:dyDescent="0.25">
      <c r="B5973" s="5">
        <v>5968</v>
      </c>
      <c r="C5973" s="11">
        <v>221.21150790928311</v>
      </c>
      <c r="D5973" s="42"/>
    </row>
    <row r="5974" spans="2:4" ht="16" thickBot="1" x14ac:dyDescent="0.25">
      <c r="B5974" s="4">
        <v>5969</v>
      </c>
      <c r="C5974" s="10">
        <v>266.91234934311353</v>
      </c>
      <c r="D5974" s="42"/>
    </row>
    <row r="5975" spans="2:4" ht="16" thickBot="1" x14ac:dyDescent="0.25">
      <c r="B5975" s="5">
        <v>5970</v>
      </c>
      <c r="C5975" s="11">
        <v>180.99615646829741</v>
      </c>
      <c r="D5975" s="42"/>
    </row>
    <row r="5976" spans="2:4" ht="16" thickBot="1" x14ac:dyDescent="0.25">
      <c r="B5976" s="4">
        <v>5971</v>
      </c>
      <c r="C5976" s="10">
        <v>137.95727799434454</v>
      </c>
      <c r="D5976" s="42"/>
    </row>
    <row r="5977" spans="2:4" ht="16" thickBot="1" x14ac:dyDescent="0.25">
      <c r="B5977" s="5">
        <v>5972</v>
      </c>
      <c r="C5977" s="11">
        <v>376.20711080198248</v>
      </c>
      <c r="D5977" s="42"/>
    </row>
    <row r="5978" spans="2:4" ht="16" thickBot="1" x14ac:dyDescent="0.25">
      <c r="B5978" s="4">
        <v>5973</v>
      </c>
      <c r="C5978" s="10">
        <v>185.79312703308335</v>
      </c>
      <c r="D5978" s="42"/>
    </row>
    <row r="5979" spans="2:4" ht="16" thickBot="1" x14ac:dyDescent="0.25">
      <c r="B5979" s="5">
        <v>5974</v>
      </c>
      <c r="C5979" s="11">
        <v>401.74673061174695</v>
      </c>
      <c r="D5979" s="42"/>
    </row>
    <row r="5980" spans="2:4" ht="16" thickBot="1" x14ac:dyDescent="0.25">
      <c r="B5980" s="4">
        <v>5975</v>
      </c>
      <c r="C5980" s="10">
        <v>432.33094133324767</v>
      </c>
      <c r="D5980" s="42"/>
    </row>
    <row r="5981" spans="2:4" ht="16" thickBot="1" x14ac:dyDescent="0.25">
      <c r="B5981" s="5">
        <v>5976</v>
      </c>
      <c r="C5981" s="11">
        <v>318.72697750564004</v>
      </c>
      <c r="D5981" s="42"/>
    </row>
    <row r="5982" spans="2:4" ht="16" thickBot="1" x14ac:dyDescent="0.25">
      <c r="B5982" s="4">
        <v>5977</v>
      </c>
      <c r="C5982" s="10">
        <v>336.36749800129428</v>
      </c>
      <c r="D5982" s="42"/>
    </row>
    <row r="5983" spans="2:4" ht="16" thickBot="1" x14ac:dyDescent="0.25">
      <c r="B5983" s="5">
        <v>5978</v>
      </c>
      <c r="C5983" s="11">
        <v>346.89655802637606</v>
      </c>
      <c r="D5983" s="42"/>
    </row>
    <row r="5984" spans="2:4" ht="16" thickBot="1" x14ac:dyDescent="0.25">
      <c r="B5984" s="4">
        <v>5979</v>
      </c>
      <c r="C5984" s="10">
        <v>89.929022832037518</v>
      </c>
      <c r="D5984" s="42"/>
    </row>
    <row r="5985" spans="2:4" ht="16" thickBot="1" x14ac:dyDescent="0.25">
      <c r="B5985" s="5">
        <v>5980</v>
      </c>
      <c r="C5985" s="11">
        <v>257.25831006906509</v>
      </c>
      <c r="D5985" s="42"/>
    </row>
    <row r="5986" spans="2:4" ht="16" thickBot="1" x14ac:dyDescent="0.25">
      <c r="B5986" s="4">
        <v>5981</v>
      </c>
      <c r="C5986" s="10">
        <v>210.27366418394297</v>
      </c>
      <c r="D5986" s="42"/>
    </row>
    <row r="5987" spans="2:4" ht="16" thickBot="1" x14ac:dyDescent="0.25">
      <c r="B5987" s="5">
        <v>5982</v>
      </c>
      <c r="C5987" s="11">
        <v>268.55850141963828</v>
      </c>
      <c r="D5987" s="42"/>
    </row>
    <row r="5988" spans="2:4" ht="16" thickBot="1" x14ac:dyDescent="0.25">
      <c r="B5988" s="4">
        <v>5983</v>
      </c>
      <c r="C5988" s="10">
        <v>269.63254250274093</v>
      </c>
      <c r="D5988" s="42"/>
    </row>
    <row r="5989" spans="2:4" ht="16" thickBot="1" x14ac:dyDescent="0.25">
      <c r="B5989" s="5">
        <v>5984</v>
      </c>
      <c r="C5989" s="11">
        <v>73.983627580458702</v>
      </c>
      <c r="D5989" s="42"/>
    </row>
    <row r="5990" spans="2:4" ht="16" thickBot="1" x14ac:dyDescent="0.25">
      <c r="B5990" s="4">
        <v>5985</v>
      </c>
      <c r="C5990" s="10">
        <v>167.14926477046373</v>
      </c>
      <c r="D5990" s="42"/>
    </row>
    <row r="5991" spans="2:4" ht="16" thickBot="1" x14ac:dyDescent="0.25">
      <c r="B5991" s="5">
        <v>5986</v>
      </c>
      <c r="C5991" s="11">
        <v>264.16214023886982</v>
      </c>
      <c r="D5991" s="42"/>
    </row>
    <row r="5992" spans="2:4" ht="16" thickBot="1" x14ac:dyDescent="0.25">
      <c r="B5992" s="4">
        <v>5987</v>
      </c>
      <c r="C5992" s="10">
        <v>614.143237501351</v>
      </c>
      <c r="D5992" s="42"/>
    </row>
    <row r="5993" spans="2:4" ht="16" thickBot="1" x14ac:dyDescent="0.25">
      <c r="B5993" s="5">
        <v>5988</v>
      </c>
      <c r="C5993" s="11">
        <v>115.01634800945578</v>
      </c>
      <c r="D5993" s="42"/>
    </row>
    <row r="5994" spans="2:4" ht="16" thickBot="1" x14ac:dyDescent="0.25">
      <c r="B5994" s="4">
        <v>5989</v>
      </c>
      <c r="C5994" s="10">
        <v>233.22545125103235</v>
      </c>
      <c r="D5994" s="42"/>
    </row>
    <row r="5995" spans="2:4" ht="16" thickBot="1" x14ac:dyDescent="0.25">
      <c r="B5995" s="5">
        <v>5990</v>
      </c>
      <c r="C5995" s="11">
        <v>208.48656960443174</v>
      </c>
      <c r="D5995" s="42"/>
    </row>
    <row r="5996" spans="2:4" ht="16" thickBot="1" x14ac:dyDescent="0.25">
      <c r="B5996" s="4">
        <v>5991</v>
      </c>
      <c r="C5996" s="10">
        <v>396.93060532159484</v>
      </c>
      <c r="D5996" s="42"/>
    </row>
    <row r="5997" spans="2:4" ht="16" thickBot="1" x14ac:dyDescent="0.25">
      <c r="B5997" s="5">
        <v>5992</v>
      </c>
      <c r="C5997" s="11">
        <v>80.599474780868405</v>
      </c>
      <c r="D5997" s="42"/>
    </row>
    <row r="5998" spans="2:4" ht="16" thickBot="1" x14ac:dyDescent="0.25">
      <c r="B5998" s="4">
        <v>5993</v>
      </c>
      <c r="C5998" s="10">
        <v>572.43741637037897</v>
      </c>
      <c r="D5998" s="42"/>
    </row>
    <row r="5999" spans="2:4" ht="16" thickBot="1" x14ac:dyDescent="0.25">
      <c r="B5999" s="5">
        <v>5994</v>
      </c>
      <c r="C5999" s="11">
        <v>142.88711553583741</v>
      </c>
      <c r="D5999" s="42"/>
    </row>
    <row r="6000" spans="2:4" ht="16" thickBot="1" x14ac:dyDescent="0.25">
      <c r="B6000" s="4">
        <v>5995</v>
      </c>
      <c r="C6000" s="10">
        <v>390.44279796264635</v>
      </c>
      <c r="D6000" s="42"/>
    </row>
    <row r="6001" spans="2:4" ht="16" thickBot="1" x14ac:dyDescent="0.25">
      <c r="B6001" s="5">
        <v>5996</v>
      </c>
      <c r="C6001" s="11">
        <v>134.99411105911059</v>
      </c>
      <c r="D6001" s="42"/>
    </row>
    <row r="6002" spans="2:4" ht="16" thickBot="1" x14ac:dyDescent="0.25">
      <c r="B6002" s="4">
        <v>5997</v>
      </c>
      <c r="C6002" s="10">
        <v>300.33412222104511</v>
      </c>
      <c r="D6002" s="42"/>
    </row>
    <row r="6003" spans="2:4" ht="16" thickBot="1" x14ac:dyDescent="0.25">
      <c r="B6003" s="5">
        <v>5998</v>
      </c>
      <c r="C6003" s="11">
        <v>180.11663973638304</v>
      </c>
      <c r="D6003" s="42"/>
    </row>
    <row r="6004" spans="2:4" ht="16" thickBot="1" x14ac:dyDescent="0.25">
      <c r="B6004" s="4">
        <v>5999</v>
      </c>
      <c r="C6004" s="10">
        <v>96.834631400568611</v>
      </c>
      <c r="D6004" s="42"/>
    </row>
    <row r="6005" spans="2:4" ht="16" thickBot="1" x14ac:dyDescent="0.25">
      <c r="B6005" s="5">
        <v>6000</v>
      </c>
      <c r="C6005" s="11">
        <v>83.003422377845339</v>
      </c>
      <c r="D6005" s="42"/>
    </row>
    <row r="6006" spans="2:4" ht="16" thickBot="1" x14ac:dyDescent="0.25">
      <c r="B6006" s="4">
        <v>6001</v>
      </c>
      <c r="C6006" s="10">
        <v>185.97896551742176</v>
      </c>
      <c r="D6006" s="42"/>
    </row>
    <row r="6007" spans="2:4" ht="16" thickBot="1" x14ac:dyDescent="0.25">
      <c r="B6007" s="5">
        <v>6002</v>
      </c>
      <c r="C6007" s="11">
        <v>233.95755067151222</v>
      </c>
      <c r="D6007" s="42"/>
    </row>
    <row r="6008" spans="2:4" ht="16" thickBot="1" x14ac:dyDescent="0.25">
      <c r="B6008" s="4">
        <v>6003</v>
      </c>
      <c r="C6008" s="10">
        <v>82.833152686182743</v>
      </c>
      <c r="D6008" s="42"/>
    </row>
    <row r="6009" spans="2:4" ht="16" thickBot="1" x14ac:dyDescent="0.25">
      <c r="B6009" s="5">
        <v>6004</v>
      </c>
      <c r="C6009" s="11">
        <v>476.8942267819329</v>
      </c>
      <c r="D6009" s="42"/>
    </row>
    <row r="6010" spans="2:4" ht="16" thickBot="1" x14ac:dyDescent="0.25">
      <c r="B6010" s="4">
        <v>6005</v>
      </c>
      <c r="C6010" s="10">
        <v>277.06420178024541</v>
      </c>
      <c r="D6010" s="42"/>
    </row>
    <row r="6011" spans="2:4" ht="16" thickBot="1" x14ac:dyDescent="0.25">
      <c r="B6011" s="5">
        <v>6006</v>
      </c>
      <c r="C6011" s="11">
        <v>198.65245170145721</v>
      </c>
      <c r="D6011" s="42"/>
    </row>
    <row r="6012" spans="2:4" ht="16" thickBot="1" x14ac:dyDescent="0.25">
      <c r="B6012" s="4">
        <v>6007</v>
      </c>
      <c r="C6012" s="10">
        <v>359.78180903142749</v>
      </c>
      <c r="D6012" s="42"/>
    </row>
    <row r="6013" spans="2:4" ht="16" thickBot="1" x14ac:dyDescent="0.25">
      <c r="B6013" s="5">
        <v>6008</v>
      </c>
      <c r="C6013" s="11">
        <v>361.75464849375982</v>
      </c>
      <c r="D6013" s="42"/>
    </row>
    <row r="6014" spans="2:4" ht="16" thickBot="1" x14ac:dyDescent="0.25">
      <c r="B6014" s="4">
        <v>6009</v>
      </c>
      <c r="C6014" s="10">
        <v>382.76250338600539</v>
      </c>
      <c r="D6014" s="42"/>
    </row>
    <row r="6015" spans="2:4" ht="16" thickBot="1" x14ac:dyDescent="0.25">
      <c r="B6015" s="5">
        <v>6010</v>
      </c>
      <c r="C6015" s="11">
        <v>200.5805049588993</v>
      </c>
      <c r="D6015" s="42"/>
    </row>
    <row r="6016" spans="2:4" ht="16" thickBot="1" x14ac:dyDescent="0.25">
      <c r="B6016" s="4">
        <v>6011</v>
      </c>
      <c r="C6016" s="10">
        <v>404.39598994358124</v>
      </c>
      <c r="D6016" s="42"/>
    </row>
    <row r="6017" spans="2:4" ht="16" thickBot="1" x14ac:dyDescent="0.25">
      <c r="B6017" s="5">
        <v>6012</v>
      </c>
      <c r="C6017" s="11">
        <v>144.32449487727581</v>
      </c>
      <c r="D6017" s="42"/>
    </row>
    <row r="6018" spans="2:4" ht="16" thickBot="1" x14ac:dyDescent="0.25">
      <c r="B6018" s="4">
        <v>6013</v>
      </c>
      <c r="C6018" s="10">
        <v>258.03626105644986</v>
      </c>
      <c r="D6018" s="42"/>
    </row>
    <row r="6019" spans="2:4" ht="16" thickBot="1" x14ac:dyDescent="0.25">
      <c r="B6019" s="5">
        <v>6014</v>
      </c>
      <c r="C6019" s="11">
        <v>452.11621297937609</v>
      </c>
      <c r="D6019" s="42"/>
    </row>
    <row r="6020" spans="2:4" ht="16" thickBot="1" x14ac:dyDescent="0.25">
      <c r="B6020" s="4">
        <v>6015</v>
      </c>
      <c r="C6020" s="10">
        <v>63.171512040371518</v>
      </c>
      <c r="D6020" s="42"/>
    </row>
    <row r="6021" spans="2:4" ht="16" thickBot="1" x14ac:dyDescent="0.25">
      <c r="B6021" s="5">
        <v>6016</v>
      </c>
      <c r="C6021" s="11">
        <v>331.58997815034928</v>
      </c>
      <c r="D6021" s="42"/>
    </row>
    <row r="6022" spans="2:4" ht="16" thickBot="1" x14ac:dyDescent="0.25">
      <c r="B6022" s="4">
        <v>6017</v>
      </c>
      <c r="C6022" s="10">
        <v>162.72990922503692</v>
      </c>
      <c r="D6022" s="42"/>
    </row>
    <row r="6023" spans="2:4" ht="16" thickBot="1" x14ac:dyDescent="0.25">
      <c r="B6023" s="5">
        <v>6018</v>
      </c>
      <c r="C6023" s="11">
        <v>211.54829780084827</v>
      </c>
      <c r="D6023" s="42"/>
    </row>
    <row r="6024" spans="2:4" ht="16" thickBot="1" x14ac:dyDescent="0.25">
      <c r="B6024" s="4">
        <v>6019</v>
      </c>
      <c r="C6024" s="10">
        <v>311.2153630760958</v>
      </c>
      <c r="D6024" s="42"/>
    </row>
    <row r="6025" spans="2:4" ht="16" thickBot="1" x14ac:dyDescent="0.25">
      <c r="B6025" s="5">
        <v>6020</v>
      </c>
      <c r="C6025" s="11">
        <v>151.72922902445831</v>
      </c>
      <c r="D6025" s="42"/>
    </row>
    <row r="6026" spans="2:4" ht="16" thickBot="1" x14ac:dyDescent="0.25">
      <c r="B6026" s="4">
        <v>6021</v>
      </c>
      <c r="C6026" s="10">
        <v>408.51727907183158</v>
      </c>
      <c r="D6026" s="42"/>
    </row>
    <row r="6027" spans="2:4" ht="16" thickBot="1" x14ac:dyDescent="0.25">
      <c r="B6027" s="5">
        <v>6022</v>
      </c>
      <c r="C6027" s="11">
        <v>480.25327682312206</v>
      </c>
      <c r="D6027" s="42"/>
    </row>
    <row r="6028" spans="2:4" ht="16" thickBot="1" x14ac:dyDescent="0.25">
      <c r="B6028" s="4">
        <v>6023</v>
      </c>
      <c r="C6028" s="10">
        <v>147.74596871559245</v>
      </c>
      <c r="D6028" s="42"/>
    </row>
    <row r="6029" spans="2:4" ht="16" thickBot="1" x14ac:dyDescent="0.25">
      <c r="B6029" s="5">
        <v>6024</v>
      </c>
      <c r="C6029" s="11">
        <v>173.6757451739916</v>
      </c>
      <c r="D6029" s="42"/>
    </row>
    <row r="6030" spans="2:4" ht="16" thickBot="1" x14ac:dyDescent="0.25">
      <c r="B6030" s="4">
        <v>6025</v>
      </c>
      <c r="C6030" s="10">
        <v>242.32332504322704</v>
      </c>
      <c r="D6030" s="42"/>
    </row>
    <row r="6031" spans="2:4" ht="16" thickBot="1" x14ac:dyDescent="0.25">
      <c r="B6031" s="5">
        <v>6026</v>
      </c>
      <c r="C6031" s="11">
        <v>424.10411767312195</v>
      </c>
      <c r="D6031" s="42"/>
    </row>
    <row r="6032" spans="2:4" ht="16" thickBot="1" x14ac:dyDescent="0.25">
      <c r="B6032" s="4">
        <v>6027</v>
      </c>
      <c r="C6032" s="10">
        <v>243.06135646296804</v>
      </c>
      <c r="D6032" s="42"/>
    </row>
    <row r="6033" spans="2:4" ht="16" thickBot="1" x14ac:dyDescent="0.25">
      <c r="B6033" s="5">
        <v>6028</v>
      </c>
      <c r="C6033" s="11">
        <v>111.96286903546373</v>
      </c>
      <c r="D6033" s="42"/>
    </row>
    <row r="6034" spans="2:4" ht="16" thickBot="1" x14ac:dyDescent="0.25">
      <c r="B6034" s="4">
        <v>6029</v>
      </c>
      <c r="C6034" s="10">
        <v>325.55906342484991</v>
      </c>
      <c r="D6034" s="42"/>
    </row>
    <row r="6035" spans="2:4" ht="16" thickBot="1" x14ac:dyDescent="0.25">
      <c r="B6035" s="5">
        <v>6030</v>
      </c>
      <c r="C6035" s="11">
        <v>369.39081452404162</v>
      </c>
      <c r="D6035" s="42"/>
    </row>
    <row r="6036" spans="2:4" ht="16" thickBot="1" x14ac:dyDescent="0.25">
      <c r="B6036" s="4">
        <v>6031</v>
      </c>
      <c r="C6036" s="10">
        <v>266.82984318089916</v>
      </c>
      <c r="D6036" s="42"/>
    </row>
    <row r="6037" spans="2:4" ht="16" thickBot="1" x14ac:dyDescent="0.25">
      <c r="B6037" s="5">
        <v>6032</v>
      </c>
      <c r="C6037" s="11">
        <v>347.18796097466083</v>
      </c>
      <c r="D6037" s="42"/>
    </row>
    <row r="6038" spans="2:4" ht="16" thickBot="1" x14ac:dyDescent="0.25">
      <c r="B6038" s="4">
        <v>6033</v>
      </c>
      <c r="C6038" s="10">
        <v>89.086717145607224</v>
      </c>
      <c r="D6038" s="42"/>
    </row>
    <row r="6039" spans="2:4" ht="16" thickBot="1" x14ac:dyDescent="0.25">
      <c r="B6039" s="5">
        <v>6034</v>
      </c>
      <c r="C6039" s="11">
        <v>120.20050556832739</v>
      </c>
      <c r="D6039" s="42"/>
    </row>
    <row r="6040" spans="2:4" ht="16" thickBot="1" x14ac:dyDescent="0.25">
      <c r="B6040" s="4">
        <v>6035</v>
      </c>
      <c r="C6040" s="10">
        <v>683.12228182223009</v>
      </c>
      <c r="D6040" s="42"/>
    </row>
    <row r="6041" spans="2:4" ht="16" thickBot="1" x14ac:dyDescent="0.25">
      <c r="B6041" s="5">
        <v>6036</v>
      </c>
      <c r="C6041" s="11">
        <v>306.95861625259448</v>
      </c>
      <c r="D6041" s="42"/>
    </row>
    <row r="6042" spans="2:4" ht="16" thickBot="1" x14ac:dyDescent="0.25">
      <c r="B6042" s="4">
        <v>6037</v>
      </c>
      <c r="C6042" s="10">
        <v>239.98368738640366</v>
      </c>
      <c r="D6042" s="42"/>
    </row>
    <row r="6043" spans="2:4" ht="16" thickBot="1" x14ac:dyDescent="0.25">
      <c r="B6043" s="5">
        <v>6038</v>
      </c>
      <c r="C6043" s="11">
        <v>602.81961383738155</v>
      </c>
      <c r="D6043" s="42"/>
    </row>
    <row r="6044" spans="2:4" ht="16" thickBot="1" x14ac:dyDescent="0.25">
      <c r="B6044" s="4">
        <v>6039</v>
      </c>
      <c r="C6044" s="10">
        <v>134.2871621096977</v>
      </c>
      <c r="D6044" s="42"/>
    </row>
    <row r="6045" spans="2:4" ht="16" thickBot="1" x14ac:dyDescent="0.25">
      <c r="B6045" s="5">
        <v>6040</v>
      </c>
      <c r="C6045" s="11">
        <v>184.11207211642883</v>
      </c>
      <c r="D6045" s="42"/>
    </row>
    <row r="6046" spans="2:4" ht="16" thickBot="1" x14ac:dyDescent="0.25">
      <c r="B6046" s="4">
        <v>6041</v>
      </c>
      <c r="C6046" s="10">
        <v>424.14203089242102</v>
      </c>
      <c r="D6046" s="42"/>
    </row>
    <row r="6047" spans="2:4" ht="16" thickBot="1" x14ac:dyDescent="0.25">
      <c r="B6047" s="5">
        <v>6042</v>
      </c>
      <c r="C6047" s="11">
        <v>382.24990980242063</v>
      </c>
      <c r="D6047" s="42"/>
    </row>
    <row r="6048" spans="2:4" ht="16" thickBot="1" x14ac:dyDescent="0.25">
      <c r="B6048" s="4">
        <v>6043</v>
      </c>
      <c r="C6048" s="10">
        <v>449.95733916979464</v>
      </c>
      <c r="D6048" s="42"/>
    </row>
    <row r="6049" spans="2:4" ht="16" thickBot="1" x14ac:dyDescent="0.25">
      <c r="B6049" s="5">
        <v>6044</v>
      </c>
      <c r="C6049" s="11">
        <v>161.67067948655006</v>
      </c>
      <c r="D6049" s="42"/>
    </row>
    <row r="6050" spans="2:4" ht="16" thickBot="1" x14ac:dyDescent="0.25">
      <c r="B6050" s="4">
        <v>6045</v>
      </c>
      <c r="C6050" s="10">
        <v>302.2061602249247</v>
      </c>
      <c r="D6050" s="42"/>
    </row>
    <row r="6051" spans="2:4" ht="16" thickBot="1" x14ac:dyDescent="0.25">
      <c r="B6051" s="5">
        <v>6046</v>
      </c>
      <c r="C6051" s="11">
        <v>252.72566667792179</v>
      </c>
      <c r="D6051" s="42"/>
    </row>
    <row r="6052" spans="2:4" ht="16" thickBot="1" x14ac:dyDescent="0.25">
      <c r="B6052" s="4">
        <v>6047</v>
      </c>
      <c r="C6052" s="10">
        <v>686.42643926061476</v>
      </c>
      <c r="D6052" s="42"/>
    </row>
    <row r="6053" spans="2:4" ht="16" thickBot="1" x14ac:dyDescent="0.25">
      <c r="B6053" s="5">
        <v>6048</v>
      </c>
      <c r="C6053" s="11">
        <v>235.11606263959345</v>
      </c>
      <c r="D6053" s="42"/>
    </row>
    <row r="6054" spans="2:4" ht="16" thickBot="1" x14ac:dyDescent="0.25">
      <c r="B6054" s="4">
        <v>6049</v>
      </c>
      <c r="C6054" s="10">
        <v>285.20800966870337</v>
      </c>
      <c r="D6054" s="42"/>
    </row>
    <row r="6055" spans="2:4" ht="16" thickBot="1" x14ac:dyDescent="0.25">
      <c r="B6055" s="5">
        <v>6050</v>
      </c>
      <c r="C6055" s="11">
        <v>120.71570819795856</v>
      </c>
      <c r="D6055" s="42"/>
    </row>
    <row r="6056" spans="2:4" ht="16" thickBot="1" x14ac:dyDescent="0.25">
      <c r="B6056" s="4">
        <v>6051</v>
      </c>
      <c r="C6056" s="10">
        <v>287.11580852464959</v>
      </c>
      <c r="D6056" s="42"/>
    </row>
    <row r="6057" spans="2:4" ht="16" thickBot="1" x14ac:dyDescent="0.25">
      <c r="B6057" s="5">
        <v>6052</v>
      </c>
      <c r="C6057" s="11">
        <v>153.09718137439225</v>
      </c>
      <c r="D6057" s="42"/>
    </row>
    <row r="6058" spans="2:4" ht="16" thickBot="1" x14ac:dyDescent="0.25">
      <c r="B6058" s="4">
        <v>6053</v>
      </c>
      <c r="C6058" s="10">
        <v>442.76298292144639</v>
      </c>
      <c r="D6058" s="42"/>
    </row>
    <row r="6059" spans="2:4" ht="16" thickBot="1" x14ac:dyDescent="0.25">
      <c r="B6059" s="5">
        <v>6054</v>
      </c>
      <c r="C6059" s="11">
        <v>279.10134103064888</v>
      </c>
      <c r="D6059" s="42"/>
    </row>
    <row r="6060" spans="2:4" ht="16" thickBot="1" x14ac:dyDescent="0.25">
      <c r="B6060" s="4">
        <v>6055</v>
      </c>
      <c r="C6060" s="10">
        <v>81.419280522707879</v>
      </c>
      <c r="D6060" s="42"/>
    </row>
    <row r="6061" spans="2:4" ht="16" thickBot="1" x14ac:dyDescent="0.25">
      <c r="B6061" s="5">
        <v>6056</v>
      </c>
      <c r="C6061" s="11">
        <v>96.00448185829967</v>
      </c>
      <c r="D6061" s="42"/>
    </row>
    <row r="6062" spans="2:4" ht="16" thickBot="1" x14ac:dyDescent="0.25">
      <c r="B6062" s="4">
        <v>6057</v>
      </c>
      <c r="C6062" s="10">
        <v>145.85632120394678</v>
      </c>
      <c r="D6062" s="42"/>
    </row>
    <row r="6063" spans="2:4" ht="16" thickBot="1" x14ac:dyDescent="0.25">
      <c r="B6063" s="5">
        <v>6058</v>
      </c>
      <c r="C6063" s="11">
        <v>253.71415694376836</v>
      </c>
      <c r="D6063" s="42"/>
    </row>
    <row r="6064" spans="2:4" ht="16" thickBot="1" x14ac:dyDescent="0.25">
      <c r="B6064" s="4">
        <v>6059</v>
      </c>
      <c r="C6064" s="10">
        <v>685.35603527661033</v>
      </c>
      <c r="D6064" s="42"/>
    </row>
    <row r="6065" spans="2:4" ht="16" thickBot="1" x14ac:dyDescent="0.25">
      <c r="B6065" s="5">
        <v>6060</v>
      </c>
      <c r="C6065" s="11">
        <v>154.50769887518507</v>
      </c>
      <c r="D6065" s="42"/>
    </row>
    <row r="6066" spans="2:4" ht="16" thickBot="1" x14ac:dyDescent="0.25">
      <c r="B6066" s="4">
        <v>6061</v>
      </c>
      <c r="C6066" s="10">
        <v>499.43698847809708</v>
      </c>
      <c r="D6066" s="42"/>
    </row>
    <row r="6067" spans="2:4" ht="16" thickBot="1" x14ac:dyDescent="0.25">
      <c r="B6067" s="5">
        <v>6062</v>
      </c>
      <c r="C6067" s="11">
        <v>111.63104424770181</v>
      </c>
      <c r="D6067" s="42"/>
    </row>
    <row r="6068" spans="2:4" ht="16" thickBot="1" x14ac:dyDescent="0.25">
      <c r="B6068" s="4">
        <v>6063</v>
      </c>
      <c r="C6068" s="10">
        <v>202.54417375237858</v>
      </c>
      <c r="D6068" s="42"/>
    </row>
    <row r="6069" spans="2:4" ht="16" thickBot="1" x14ac:dyDescent="0.25">
      <c r="B6069" s="5">
        <v>6064</v>
      </c>
      <c r="C6069" s="11">
        <v>214.09676305456077</v>
      </c>
      <c r="D6069" s="42"/>
    </row>
    <row r="6070" spans="2:4" ht="16" thickBot="1" x14ac:dyDescent="0.25">
      <c r="B6070" s="4">
        <v>6065</v>
      </c>
      <c r="C6070" s="10">
        <v>561.84500969684188</v>
      </c>
      <c r="D6070" s="42"/>
    </row>
    <row r="6071" spans="2:4" ht="16" thickBot="1" x14ac:dyDescent="0.25">
      <c r="B6071" s="5">
        <v>6066</v>
      </c>
      <c r="C6071" s="11">
        <v>358.72144727527592</v>
      </c>
      <c r="D6071" s="42"/>
    </row>
    <row r="6072" spans="2:4" ht="16" thickBot="1" x14ac:dyDescent="0.25">
      <c r="B6072" s="4">
        <v>6067</v>
      </c>
      <c r="C6072" s="10">
        <v>280.29920067382062</v>
      </c>
      <c r="D6072" s="42"/>
    </row>
    <row r="6073" spans="2:4" ht="16" thickBot="1" x14ac:dyDescent="0.25">
      <c r="B6073" s="5">
        <v>6068</v>
      </c>
      <c r="C6073" s="11">
        <v>88.562749772087201</v>
      </c>
      <c r="D6073" s="42"/>
    </row>
    <row r="6074" spans="2:4" ht="16" thickBot="1" x14ac:dyDescent="0.25">
      <c r="B6074" s="4">
        <v>6069</v>
      </c>
      <c r="C6074" s="10">
        <v>92.337246088058677</v>
      </c>
      <c r="D6074" s="42"/>
    </row>
    <row r="6075" spans="2:4" ht="16" thickBot="1" x14ac:dyDescent="0.25">
      <c r="B6075" s="5">
        <v>6070</v>
      </c>
      <c r="C6075" s="11">
        <v>296.15003918949884</v>
      </c>
      <c r="D6075" s="42"/>
    </row>
    <row r="6076" spans="2:4" ht="16" thickBot="1" x14ac:dyDescent="0.25">
      <c r="B6076" s="4">
        <v>6071</v>
      </c>
      <c r="C6076" s="10">
        <v>44.819762716480682</v>
      </c>
      <c r="D6076" s="42"/>
    </row>
    <row r="6077" spans="2:4" ht="16" thickBot="1" x14ac:dyDescent="0.25">
      <c r="B6077" s="5">
        <v>6072</v>
      </c>
      <c r="C6077" s="11">
        <v>222.49388436975127</v>
      </c>
      <c r="D6077" s="42"/>
    </row>
    <row r="6078" spans="2:4" ht="16" thickBot="1" x14ac:dyDescent="0.25">
      <c r="B6078" s="4">
        <v>6073</v>
      </c>
      <c r="C6078" s="10">
        <v>208.76551658494736</v>
      </c>
      <c r="D6078" s="42"/>
    </row>
    <row r="6079" spans="2:4" ht="16" thickBot="1" x14ac:dyDescent="0.25">
      <c r="B6079" s="5">
        <v>6074</v>
      </c>
      <c r="C6079" s="11">
        <v>335.66413025410856</v>
      </c>
      <c r="D6079" s="42"/>
    </row>
    <row r="6080" spans="2:4" ht="16" thickBot="1" x14ac:dyDescent="0.25">
      <c r="B6080" s="4">
        <v>6075</v>
      </c>
      <c r="C6080" s="10">
        <v>107.2369783806511</v>
      </c>
      <c r="D6080" s="42"/>
    </row>
    <row r="6081" spans="2:4" ht="16" thickBot="1" x14ac:dyDescent="0.25">
      <c r="B6081" s="5">
        <v>6076</v>
      </c>
      <c r="C6081" s="11">
        <v>354.1287947564465</v>
      </c>
      <c r="D6081" s="42"/>
    </row>
    <row r="6082" spans="2:4" ht="16" thickBot="1" x14ac:dyDescent="0.25">
      <c r="B6082" s="4">
        <v>6077</v>
      </c>
      <c r="C6082" s="10">
        <v>156.62104845472891</v>
      </c>
      <c r="D6082" s="42"/>
    </row>
    <row r="6083" spans="2:4" ht="16" thickBot="1" x14ac:dyDescent="0.25">
      <c r="B6083" s="5">
        <v>6078</v>
      </c>
      <c r="C6083" s="11">
        <v>628.80014562539077</v>
      </c>
      <c r="D6083" s="42"/>
    </row>
    <row r="6084" spans="2:4" ht="16" thickBot="1" x14ac:dyDescent="0.25">
      <c r="B6084" s="4">
        <v>6079</v>
      </c>
      <c r="C6084" s="10">
        <v>591.51776281532455</v>
      </c>
      <c r="D6084" s="42"/>
    </row>
    <row r="6085" spans="2:4" ht="16" thickBot="1" x14ac:dyDescent="0.25">
      <c r="B6085" s="5">
        <v>6080</v>
      </c>
      <c r="C6085" s="11">
        <v>115.75707647735553</v>
      </c>
      <c r="D6085" s="42"/>
    </row>
    <row r="6086" spans="2:4" ht="16" thickBot="1" x14ac:dyDescent="0.25">
      <c r="B6086" s="4">
        <v>6081</v>
      </c>
      <c r="C6086" s="10">
        <v>352.13733194517431</v>
      </c>
      <c r="D6086" s="42"/>
    </row>
    <row r="6087" spans="2:4" ht="16" thickBot="1" x14ac:dyDescent="0.25">
      <c r="B6087" s="5">
        <v>6082</v>
      </c>
      <c r="C6087" s="11">
        <v>86.713643337469179</v>
      </c>
      <c r="D6087" s="42"/>
    </row>
    <row r="6088" spans="2:4" ht="16" thickBot="1" x14ac:dyDescent="0.25">
      <c r="B6088" s="4">
        <v>6083</v>
      </c>
      <c r="C6088" s="10">
        <v>461.86385560899743</v>
      </c>
      <c r="D6088" s="42"/>
    </row>
    <row r="6089" spans="2:4" ht="16" thickBot="1" x14ac:dyDescent="0.25">
      <c r="B6089" s="5">
        <v>6084</v>
      </c>
      <c r="C6089" s="11">
        <v>721.11567694358871</v>
      </c>
      <c r="D6089" s="42"/>
    </row>
    <row r="6090" spans="2:4" ht="16" thickBot="1" x14ac:dyDescent="0.25">
      <c r="B6090" s="4">
        <v>6085</v>
      </c>
      <c r="C6090" s="10">
        <v>667.46960818958223</v>
      </c>
      <c r="D6090" s="42"/>
    </row>
    <row r="6091" spans="2:4" ht="16" thickBot="1" x14ac:dyDescent="0.25">
      <c r="B6091" s="5">
        <v>6086</v>
      </c>
      <c r="C6091" s="11">
        <v>168.14026687262799</v>
      </c>
      <c r="D6091" s="42"/>
    </row>
    <row r="6092" spans="2:4" ht="16" thickBot="1" x14ac:dyDescent="0.25">
      <c r="B6092" s="4">
        <v>6087</v>
      </c>
      <c r="C6092" s="10">
        <v>396.84990283877409</v>
      </c>
      <c r="D6092" s="42"/>
    </row>
    <row r="6093" spans="2:4" ht="16" thickBot="1" x14ac:dyDescent="0.25">
      <c r="B6093" s="5">
        <v>6088</v>
      </c>
      <c r="C6093" s="11">
        <v>91.718455754476238</v>
      </c>
      <c r="D6093" s="42"/>
    </row>
    <row r="6094" spans="2:4" ht="16" thickBot="1" x14ac:dyDescent="0.25">
      <c r="B6094" s="4">
        <v>6089</v>
      </c>
      <c r="C6094" s="10">
        <v>124.44300074264926</v>
      </c>
      <c r="D6094" s="42"/>
    </row>
    <row r="6095" spans="2:4" ht="16" thickBot="1" x14ac:dyDescent="0.25">
      <c r="B6095" s="5">
        <v>6090</v>
      </c>
      <c r="C6095" s="11">
        <v>505.4152687101265</v>
      </c>
      <c r="D6095" s="42"/>
    </row>
    <row r="6096" spans="2:4" ht="16" thickBot="1" x14ac:dyDescent="0.25">
      <c r="B6096" s="4">
        <v>6091</v>
      </c>
      <c r="C6096" s="10">
        <v>240.4032151861839</v>
      </c>
      <c r="D6096" s="42"/>
    </row>
    <row r="6097" spans="2:4" ht="16" thickBot="1" x14ac:dyDescent="0.25">
      <c r="B6097" s="5">
        <v>6092</v>
      </c>
      <c r="C6097" s="11">
        <v>100.16937176696032</v>
      </c>
      <c r="D6097" s="42"/>
    </row>
    <row r="6098" spans="2:4" ht="16" thickBot="1" x14ac:dyDescent="0.25">
      <c r="B6098" s="4">
        <v>6093</v>
      </c>
      <c r="C6098" s="10">
        <v>510.43171327183052</v>
      </c>
      <c r="D6098" s="42"/>
    </row>
    <row r="6099" spans="2:4" ht="16" thickBot="1" x14ac:dyDescent="0.25">
      <c r="B6099" s="5">
        <v>6094</v>
      </c>
      <c r="C6099" s="11">
        <v>451.37094651950616</v>
      </c>
      <c r="D6099" s="42"/>
    </row>
    <row r="6100" spans="2:4" ht="16" thickBot="1" x14ac:dyDescent="0.25">
      <c r="B6100" s="4">
        <v>6095</v>
      </c>
      <c r="C6100" s="10">
        <v>327.83246736867227</v>
      </c>
      <c r="D6100" s="42"/>
    </row>
    <row r="6101" spans="2:4" ht="16" thickBot="1" x14ac:dyDescent="0.25">
      <c r="B6101" s="5">
        <v>6096</v>
      </c>
      <c r="C6101" s="11">
        <v>398.34659851800643</v>
      </c>
      <c r="D6101" s="42"/>
    </row>
    <row r="6102" spans="2:4" ht="16" thickBot="1" x14ac:dyDescent="0.25">
      <c r="B6102" s="4">
        <v>6097</v>
      </c>
      <c r="C6102" s="10">
        <v>458.50457433312857</v>
      </c>
      <c r="D6102" s="42"/>
    </row>
    <row r="6103" spans="2:4" ht="16" thickBot="1" x14ac:dyDescent="0.25">
      <c r="B6103" s="5">
        <v>6098</v>
      </c>
      <c r="C6103" s="11">
        <v>474.86879156921668</v>
      </c>
      <c r="D6103" s="42"/>
    </row>
    <row r="6104" spans="2:4" ht="16" thickBot="1" x14ac:dyDescent="0.25">
      <c r="B6104" s="4">
        <v>6099</v>
      </c>
      <c r="C6104" s="10">
        <v>209.57591224405365</v>
      </c>
      <c r="D6104" s="42"/>
    </row>
    <row r="6105" spans="2:4" ht="16" thickBot="1" x14ac:dyDescent="0.25">
      <c r="B6105" s="5">
        <v>6100</v>
      </c>
      <c r="C6105" s="11">
        <v>240.43190746331535</v>
      </c>
      <c r="D6105" s="42"/>
    </row>
    <row r="6106" spans="2:4" ht="16" thickBot="1" x14ac:dyDescent="0.25">
      <c r="B6106" s="4">
        <v>6101</v>
      </c>
      <c r="C6106" s="10">
        <v>202.22176651486814</v>
      </c>
      <c r="D6106" s="42"/>
    </row>
    <row r="6107" spans="2:4" ht="16" thickBot="1" x14ac:dyDescent="0.25">
      <c r="B6107" s="5">
        <v>6102</v>
      </c>
      <c r="C6107" s="11">
        <v>323.97286910915926</v>
      </c>
      <c r="D6107" s="42"/>
    </row>
    <row r="6108" spans="2:4" ht="16" thickBot="1" x14ac:dyDescent="0.25">
      <c r="B6108" s="4">
        <v>6103</v>
      </c>
      <c r="C6108" s="10">
        <v>496.80188308599111</v>
      </c>
      <c r="D6108" s="42"/>
    </row>
    <row r="6109" spans="2:4" ht="16" thickBot="1" x14ac:dyDescent="0.25">
      <c r="B6109" s="5">
        <v>6104</v>
      </c>
      <c r="C6109" s="11">
        <v>320.00810771780652</v>
      </c>
      <c r="D6109" s="42"/>
    </row>
    <row r="6110" spans="2:4" ht="16" thickBot="1" x14ac:dyDescent="0.25">
      <c r="B6110" s="4">
        <v>6105</v>
      </c>
      <c r="C6110" s="10">
        <v>384.20741080660281</v>
      </c>
      <c r="D6110" s="42"/>
    </row>
    <row r="6111" spans="2:4" ht="16" thickBot="1" x14ac:dyDescent="0.25">
      <c r="B6111" s="5">
        <v>6106</v>
      </c>
      <c r="C6111" s="11">
        <v>120.48608529308594</v>
      </c>
      <c r="D6111" s="42"/>
    </row>
    <row r="6112" spans="2:4" ht="16" thickBot="1" x14ac:dyDescent="0.25">
      <c r="B6112" s="4">
        <v>6107</v>
      </c>
      <c r="C6112" s="10">
        <v>505.49539060129371</v>
      </c>
      <c r="D6112" s="42"/>
    </row>
    <row r="6113" spans="2:4" ht="16" thickBot="1" x14ac:dyDescent="0.25">
      <c r="B6113" s="5">
        <v>6108</v>
      </c>
      <c r="C6113" s="11">
        <v>333.52815476247969</v>
      </c>
      <c r="D6113" s="42"/>
    </row>
    <row r="6114" spans="2:4" ht="16" thickBot="1" x14ac:dyDescent="0.25">
      <c r="B6114" s="4">
        <v>6109</v>
      </c>
      <c r="C6114" s="10">
        <v>176.27268809148825</v>
      </c>
      <c r="D6114" s="42"/>
    </row>
    <row r="6115" spans="2:4" ht="16" thickBot="1" x14ac:dyDescent="0.25">
      <c r="B6115" s="5">
        <v>6110</v>
      </c>
      <c r="C6115" s="11">
        <v>312.55086949803064</v>
      </c>
      <c r="D6115" s="42"/>
    </row>
    <row r="6116" spans="2:4" ht="16" thickBot="1" x14ac:dyDescent="0.25">
      <c r="B6116" s="4">
        <v>6111</v>
      </c>
      <c r="C6116" s="10">
        <v>249.64092468125963</v>
      </c>
      <c r="D6116" s="42"/>
    </row>
    <row r="6117" spans="2:4" ht="16" thickBot="1" x14ac:dyDescent="0.25">
      <c r="B6117" s="5">
        <v>6112</v>
      </c>
      <c r="C6117" s="11">
        <v>255.34523230703437</v>
      </c>
      <c r="D6117" s="42"/>
    </row>
    <row r="6118" spans="2:4" ht="16" thickBot="1" x14ac:dyDescent="0.25">
      <c r="B6118" s="4">
        <v>6113</v>
      </c>
      <c r="C6118" s="10">
        <v>161.33224349940639</v>
      </c>
      <c r="D6118" s="42"/>
    </row>
    <row r="6119" spans="2:4" ht="16" thickBot="1" x14ac:dyDescent="0.25">
      <c r="B6119" s="5">
        <v>6114</v>
      </c>
      <c r="C6119" s="11">
        <v>312.50347740404254</v>
      </c>
      <c r="D6119" s="42"/>
    </row>
    <row r="6120" spans="2:4" ht="16" thickBot="1" x14ac:dyDescent="0.25">
      <c r="B6120" s="4">
        <v>6115</v>
      </c>
      <c r="C6120" s="10">
        <v>175.39436084393597</v>
      </c>
      <c r="D6120" s="42"/>
    </row>
    <row r="6121" spans="2:4" ht="16" thickBot="1" x14ac:dyDescent="0.25">
      <c r="B6121" s="5">
        <v>6116</v>
      </c>
      <c r="C6121" s="11">
        <v>58.384883065620237</v>
      </c>
      <c r="D6121" s="42"/>
    </row>
    <row r="6122" spans="2:4" ht="16" thickBot="1" x14ac:dyDescent="0.25">
      <c r="B6122" s="4">
        <v>6117</v>
      </c>
      <c r="C6122" s="10">
        <v>294.25511491149217</v>
      </c>
      <c r="D6122" s="42"/>
    </row>
    <row r="6123" spans="2:4" ht="16" thickBot="1" x14ac:dyDescent="0.25">
      <c r="B6123" s="5">
        <v>6118</v>
      </c>
      <c r="C6123" s="11">
        <v>564.7055245837654</v>
      </c>
      <c r="D6123" s="42"/>
    </row>
    <row r="6124" spans="2:4" ht="16" thickBot="1" x14ac:dyDescent="0.25">
      <c r="B6124" s="4">
        <v>6119</v>
      </c>
      <c r="C6124" s="10">
        <v>380.93866165164962</v>
      </c>
      <c r="D6124" s="42"/>
    </row>
    <row r="6125" spans="2:4" ht="16" thickBot="1" x14ac:dyDescent="0.25">
      <c r="B6125" s="5">
        <v>6120</v>
      </c>
      <c r="C6125" s="11">
        <v>242.88736798129688</v>
      </c>
      <c r="D6125" s="42"/>
    </row>
    <row r="6126" spans="2:4" ht="16" thickBot="1" x14ac:dyDescent="0.25">
      <c r="B6126" s="4">
        <v>6121</v>
      </c>
      <c r="C6126" s="10">
        <v>124.60199021226794</v>
      </c>
      <c r="D6126" s="42"/>
    </row>
    <row r="6127" spans="2:4" ht="16" thickBot="1" x14ac:dyDescent="0.25">
      <c r="B6127" s="5">
        <v>6122</v>
      </c>
      <c r="C6127" s="11">
        <v>420.79787631205932</v>
      </c>
      <c r="D6127" s="42"/>
    </row>
    <row r="6128" spans="2:4" ht="16" thickBot="1" x14ac:dyDescent="0.25">
      <c r="B6128" s="4">
        <v>6123</v>
      </c>
      <c r="C6128" s="10">
        <v>150.08562231871926</v>
      </c>
      <c r="D6128" s="42"/>
    </row>
    <row r="6129" spans="2:4" ht="16" thickBot="1" x14ac:dyDescent="0.25">
      <c r="B6129" s="5">
        <v>6124</v>
      </c>
      <c r="C6129" s="11">
        <v>259.16001358080086</v>
      </c>
      <c r="D6129" s="42"/>
    </row>
    <row r="6130" spans="2:4" ht="16" thickBot="1" x14ac:dyDescent="0.25">
      <c r="B6130" s="4">
        <v>6125</v>
      </c>
      <c r="C6130" s="10">
        <v>176.37936225959035</v>
      </c>
      <c r="D6130" s="42"/>
    </row>
    <row r="6131" spans="2:4" ht="16" thickBot="1" x14ac:dyDescent="0.25">
      <c r="B6131" s="5">
        <v>6126</v>
      </c>
      <c r="C6131" s="11">
        <v>212.92224849827775</v>
      </c>
      <c r="D6131" s="42"/>
    </row>
    <row r="6132" spans="2:4" ht="16" thickBot="1" x14ac:dyDescent="0.25">
      <c r="B6132" s="4">
        <v>6127</v>
      </c>
      <c r="C6132" s="10">
        <v>266.52988113103322</v>
      </c>
      <c r="D6132" s="42"/>
    </row>
    <row r="6133" spans="2:4" ht="16" thickBot="1" x14ac:dyDescent="0.25">
      <c r="B6133" s="5">
        <v>6128</v>
      </c>
      <c r="C6133" s="11">
        <v>288.07561934825753</v>
      </c>
      <c r="D6133" s="42"/>
    </row>
    <row r="6134" spans="2:4" ht="16" thickBot="1" x14ac:dyDescent="0.25">
      <c r="B6134" s="4">
        <v>6129</v>
      </c>
      <c r="C6134" s="10">
        <v>450.07004294438832</v>
      </c>
      <c r="D6134" s="42"/>
    </row>
    <row r="6135" spans="2:4" ht="16" thickBot="1" x14ac:dyDescent="0.25">
      <c r="B6135" s="5">
        <v>6130</v>
      </c>
      <c r="C6135" s="11">
        <v>351.24971386222143</v>
      </c>
      <c r="D6135" s="42"/>
    </row>
    <row r="6136" spans="2:4" ht="16" thickBot="1" x14ac:dyDescent="0.25">
      <c r="B6136" s="4">
        <v>6131</v>
      </c>
      <c r="C6136" s="10">
        <v>167.50279141811498</v>
      </c>
      <c r="D6136" s="42"/>
    </row>
    <row r="6137" spans="2:4" ht="16" thickBot="1" x14ac:dyDescent="0.25">
      <c r="B6137" s="5">
        <v>6132</v>
      </c>
      <c r="C6137" s="11">
        <v>283.84897627355974</v>
      </c>
      <c r="D6137" s="42"/>
    </row>
    <row r="6138" spans="2:4" ht="16" thickBot="1" x14ac:dyDescent="0.25">
      <c r="B6138" s="4">
        <v>6133</v>
      </c>
      <c r="C6138" s="10">
        <v>272.02391972832919</v>
      </c>
      <c r="D6138" s="42"/>
    </row>
    <row r="6139" spans="2:4" ht="16" thickBot="1" x14ac:dyDescent="0.25">
      <c r="B6139" s="5">
        <v>6134</v>
      </c>
      <c r="C6139" s="11">
        <v>247.92746407448681</v>
      </c>
      <c r="D6139" s="42"/>
    </row>
    <row r="6140" spans="2:4" ht="16" thickBot="1" x14ac:dyDescent="0.25">
      <c r="B6140" s="4">
        <v>6135</v>
      </c>
      <c r="C6140" s="10">
        <v>412.00044060964257</v>
      </c>
      <c r="D6140" s="42"/>
    </row>
    <row r="6141" spans="2:4" ht="16" thickBot="1" x14ac:dyDescent="0.25">
      <c r="B6141" s="5">
        <v>6136</v>
      </c>
      <c r="C6141" s="11">
        <v>128.07174535095263</v>
      </c>
      <c r="D6141" s="42"/>
    </row>
    <row r="6142" spans="2:4" ht="16" thickBot="1" x14ac:dyDescent="0.25">
      <c r="B6142" s="4">
        <v>6137</v>
      </c>
      <c r="C6142" s="10">
        <v>139.70945195121848</v>
      </c>
      <c r="D6142" s="42"/>
    </row>
    <row r="6143" spans="2:4" ht="16" thickBot="1" x14ac:dyDescent="0.25">
      <c r="B6143" s="5">
        <v>6138</v>
      </c>
      <c r="C6143" s="11">
        <v>364.44122009410773</v>
      </c>
      <c r="D6143" s="42"/>
    </row>
    <row r="6144" spans="2:4" ht="16" thickBot="1" x14ac:dyDescent="0.25">
      <c r="B6144" s="4">
        <v>6139</v>
      </c>
      <c r="C6144" s="10">
        <v>314.30143907162011</v>
      </c>
      <c r="D6144" s="42"/>
    </row>
    <row r="6145" spans="2:4" ht="16" thickBot="1" x14ac:dyDescent="0.25">
      <c r="B6145" s="5">
        <v>6140</v>
      </c>
      <c r="C6145" s="11">
        <v>167.63018033279366</v>
      </c>
      <c r="D6145" s="42"/>
    </row>
    <row r="6146" spans="2:4" ht="16" thickBot="1" x14ac:dyDescent="0.25">
      <c r="B6146" s="4">
        <v>6141</v>
      </c>
      <c r="C6146" s="10">
        <v>99.119064973517098</v>
      </c>
      <c r="D6146" s="42"/>
    </row>
    <row r="6147" spans="2:4" ht="16" thickBot="1" x14ac:dyDescent="0.25">
      <c r="B6147" s="5">
        <v>6142</v>
      </c>
      <c r="C6147" s="11">
        <v>410.60179163314746</v>
      </c>
      <c r="D6147" s="42"/>
    </row>
    <row r="6148" spans="2:4" ht="16" thickBot="1" x14ac:dyDescent="0.25">
      <c r="B6148" s="4">
        <v>6143</v>
      </c>
      <c r="C6148" s="10">
        <v>165.64591554365634</v>
      </c>
      <c r="D6148" s="42"/>
    </row>
    <row r="6149" spans="2:4" ht="16" thickBot="1" x14ac:dyDescent="0.25">
      <c r="B6149" s="5">
        <v>6144</v>
      </c>
      <c r="C6149" s="11">
        <v>246.14311002878088</v>
      </c>
      <c r="D6149" s="42"/>
    </row>
    <row r="6150" spans="2:4" ht="16" thickBot="1" x14ac:dyDescent="0.25">
      <c r="B6150" s="4">
        <v>6145</v>
      </c>
      <c r="C6150" s="10">
        <v>346.95717777573958</v>
      </c>
      <c r="D6150" s="42"/>
    </row>
    <row r="6151" spans="2:4" ht="16" thickBot="1" x14ac:dyDescent="0.25">
      <c r="B6151" s="5">
        <v>6146</v>
      </c>
      <c r="C6151" s="11">
        <v>152.80431883619244</v>
      </c>
      <c r="D6151" s="42"/>
    </row>
    <row r="6152" spans="2:4" ht="16" thickBot="1" x14ac:dyDescent="0.25">
      <c r="B6152" s="4">
        <v>6147</v>
      </c>
      <c r="C6152" s="10">
        <v>120.54345784600964</v>
      </c>
      <c r="D6152" s="42"/>
    </row>
    <row r="6153" spans="2:4" ht="16" thickBot="1" x14ac:dyDescent="0.25">
      <c r="B6153" s="5">
        <v>6148</v>
      </c>
      <c r="C6153" s="11">
        <v>156.3227644048871</v>
      </c>
      <c r="D6153" s="42"/>
    </row>
    <row r="6154" spans="2:4" ht="16" thickBot="1" x14ac:dyDescent="0.25">
      <c r="B6154" s="4">
        <v>6149</v>
      </c>
      <c r="C6154" s="10">
        <v>221.46211820321355</v>
      </c>
      <c r="D6154" s="42"/>
    </row>
    <row r="6155" spans="2:4" ht="16" thickBot="1" x14ac:dyDescent="0.25">
      <c r="B6155" s="5">
        <v>6150</v>
      </c>
      <c r="C6155" s="11">
        <v>472.08924491123025</v>
      </c>
      <c r="D6155" s="42"/>
    </row>
    <row r="6156" spans="2:4" ht="16" thickBot="1" x14ac:dyDescent="0.25">
      <c r="B6156" s="4">
        <v>6151</v>
      </c>
      <c r="C6156" s="10">
        <v>236.26266861912566</v>
      </c>
      <c r="D6156" s="42"/>
    </row>
    <row r="6157" spans="2:4" ht="16" thickBot="1" x14ac:dyDescent="0.25">
      <c r="B6157" s="5">
        <v>6152</v>
      </c>
      <c r="C6157" s="11">
        <v>129.39064792373841</v>
      </c>
      <c r="D6157" s="42"/>
    </row>
    <row r="6158" spans="2:4" ht="16" thickBot="1" x14ac:dyDescent="0.25">
      <c r="B6158" s="4">
        <v>6153</v>
      </c>
      <c r="C6158" s="10">
        <v>153.66718745255255</v>
      </c>
      <c r="D6158" s="42"/>
    </row>
    <row r="6159" spans="2:4" ht="16" thickBot="1" x14ac:dyDescent="0.25">
      <c r="B6159" s="5">
        <v>6154</v>
      </c>
      <c r="C6159" s="11">
        <v>241.0181199118791</v>
      </c>
      <c r="D6159" s="42"/>
    </row>
    <row r="6160" spans="2:4" ht="16" thickBot="1" x14ac:dyDescent="0.25">
      <c r="B6160" s="4">
        <v>6155</v>
      </c>
      <c r="C6160" s="10">
        <v>147.18859658299874</v>
      </c>
      <c r="D6160" s="42"/>
    </row>
    <row r="6161" spans="2:4" ht="16" thickBot="1" x14ac:dyDescent="0.25">
      <c r="B6161" s="5">
        <v>6156</v>
      </c>
      <c r="C6161" s="11">
        <v>333.11154199337363</v>
      </c>
      <c r="D6161" s="42"/>
    </row>
    <row r="6162" spans="2:4" ht="16" thickBot="1" x14ac:dyDescent="0.25">
      <c r="B6162" s="4">
        <v>6157</v>
      </c>
      <c r="C6162" s="10">
        <v>479.11751423977205</v>
      </c>
      <c r="D6162" s="42"/>
    </row>
    <row r="6163" spans="2:4" ht="16" thickBot="1" x14ac:dyDescent="0.25">
      <c r="B6163" s="5">
        <v>6158</v>
      </c>
      <c r="C6163" s="11">
        <v>109.2101330787582</v>
      </c>
      <c r="D6163" s="42"/>
    </row>
    <row r="6164" spans="2:4" ht="16" thickBot="1" x14ac:dyDescent="0.25">
      <c r="B6164" s="4">
        <v>6159</v>
      </c>
      <c r="C6164" s="10">
        <v>258.22936379355667</v>
      </c>
      <c r="D6164" s="42"/>
    </row>
    <row r="6165" spans="2:4" ht="16" thickBot="1" x14ac:dyDescent="0.25">
      <c r="B6165" s="5">
        <v>6160</v>
      </c>
      <c r="C6165" s="11">
        <v>273.64526327078607</v>
      </c>
      <c r="D6165" s="42"/>
    </row>
    <row r="6166" spans="2:4" ht="16" thickBot="1" x14ac:dyDescent="0.25">
      <c r="B6166" s="4">
        <v>6161</v>
      </c>
      <c r="C6166" s="10">
        <v>386.80604682671088</v>
      </c>
      <c r="D6166" s="42"/>
    </row>
    <row r="6167" spans="2:4" ht="16" thickBot="1" x14ac:dyDescent="0.25">
      <c r="B6167" s="5">
        <v>6162</v>
      </c>
      <c r="C6167" s="11">
        <v>454.93404871938014</v>
      </c>
      <c r="D6167" s="42"/>
    </row>
    <row r="6168" spans="2:4" ht="16" thickBot="1" x14ac:dyDescent="0.25">
      <c r="B6168" s="4">
        <v>6163</v>
      </c>
      <c r="C6168" s="10">
        <v>260.57695571272444</v>
      </c>
      <c r="D6168" s="42"/>
    </row>
    <row r="6169" spans="2:4" ht="16" thickBot="1" x14ac:dyDescent="0.25">
      <c r="B6169" s="5">
        <v>6164</v>
      </c>
      <c r="C6169" s="11">
        <v>311.43548276787089</v>
      </c>
      <c r="D6169" s="42"/>
    </row>
    <row r="6170" spans="2:4" ht="16" thickBot="1" x14ac:dyDescent="0.25">
      <c r="B6170" s="4">
        <v>6165</v>
      </c>
      <c r="C6170" s="10">
        <v>86.480346492161758</v>
      </c>
      <c r="D6170" s="42"/>
    </row>
    <row r="6171" spans="2:4" ht="16" thickBot="1" x14ac:dyDescent="0.25">
      <c r="B6171" s="5">
        <v>6166</v>
      </c>
      <c r="C6171" s="11">
        <v>168.38955775889335</v>
      </c>
      <c r="D6171" s="42"/>
    </row>
    <row r="6172" spans="2:4" ht="16" thickBot="1" x14ac:dyDescent="0.25">
      <c r="B6172" s="4">
        <v>6167</v>
      </c>
      <c r="C6172" s="10">
        <v>217.73931615411092</v>
      </c>
      <c r="D6172" s="42"/>
    </row>
    <row r="6173" spans="2:4" ht="16" thickBot="1" x14ac:dyDescent="0.25">
      <c r="B6173" s="5">
        <v>6168</v>
      </c>
      <c r="C6173" s="11">
        <v>525.423938799138</v>
      </c>
      <c r="D6173" s="42"/>
    </row>
    <row r="6174" spans="2:4" ht="16" thickBot="1" x14ac:dyDescent="0.25">
      <c r="B6174" s="4">
        <v>6169</v>
      </c>
      <c r="C6174" s="10">
        <v>242.42796932569127</v>
      </c>
      <c r="D6174" s="42"/>
    </row>
    <row r="6175" spans="2:4" ht="16" thickBot="1" x14ac:dyDescent="0.25">
      <c r="B6175" s="5">
        <v>6170</v>
      </c>
      <c r="C6175" s="11">
        <v>151.37481377853317</v>
      </c>
      <c r="D6175" s="42"/>
    </row>
    <row r="6176" spans="2:4" ht="16" thickBot="1" x14ac:dyDescent="0.25">
      <c r="B6176" s="4">
        <v>6171</v>
      </c>
      <c r="C6176" s="10">
        <v>255.66393082826903</v>
      </c>
      <c r="D6176" s="42"/>
    </row>
    <row r="6177" spans="2:4" ht="16" thickBot="1" x14ac:dyDescent="0.25">
      <c r="B6177" s="5">
        <v>6172</v>
      </c>
      <c r="C6177" s="11">
        <v>435.95666191057569</v>
      </c>
      <c r="D6177" s="42"/>
    </row>
    <row r="6178" spans="2:4" ht="16" thickBot="1" x14ac:dyDescent="0.25">
      <c r="B6178" s="4">
        <v>6173</v>
      </c>
      <c r="C6178" s="10">
        <v>528.08110766239224</v>
      </c>
      <c r="D6178" s="42"/>
    </row>
    <row r="6179" spans="2:4" ht="16" thickBot="1" x14ac:dyDescent="0.25">
      <c r="B6179" s="5">
        <v>6174</v>
      </c>
      <c r="C6179" s="11">
        <v>101.72418304889901</v>
      </c>
      <c r="D6179" s="42"/>
    </row>
    <row r="6180" spans="2:4" ht="16" thickBot="1" x14ac:dyDescent="0.25">
      <c r="B6180" s="4">
        <v>6175</v>
      </c>
      <c r="C6180" s="10">
        <v>621.96040783059266</v>
      </c>
      <c r="D6180" s="42"/>
    </row>
    <row r="6181" spans="2:4" ht="16" thickBot="1" x14ac:dyDescent="0.25">
      <c r="B6181" s="5">
        <v>6176</v>
      </c>
      <c r="C6181" s="11">
        <v>206.55025276159168</v>
      </c>
      <c r="D6181" s="42"/>
    </row>
    <row r="6182" spans="2:4" ht="16" thickBot="1" x14ac:dyDescent="0.25">
      <c r="B6182" s="4">
        <v>6177</v>
      </c>
      <c r="C6182" s="10">
        <v>531.76711433793389</v>
      </c>
      <c r="D6182" s="42"/>
    </row>
    <row r="6183" spans="2:4" ht="16" thickBot="1" x14ac:dyDescent="0.25">
      <c r="B6183" s="5">
        <v>6178</v>
      </c>
      <c r="C6183" s="11">
        <v>157.51979422882857</v>
      </c>
      <c r="D6183" s="42"/>
    </row>
    <row r="6184" spans="2:4" ht="16" thickBot="1" x14ac:dyDescent="0.25">
      <c r="B6184" s="4">
        <v>6179</v>
      </c>
      <c r="C6184" s="10">
        <v>162.42010993700978</v>
      </c>
      <c r="D6184" s="42"/>
    </row>
    <row r="6185" spans="2:4" ht="16" thickBot="1" x14ac:dyDescent="0.25">
      <c r="B6185" s="5">
        <v>6180</v>
      </c>
      <c r="C6185" s="11">
        <v>163.19540443751626</v>
      </c>
      <c r="D6185" s="42"/>
    </row>
    <row r="6186" spans="2:4" ht="16" thickBot="1" x14ac:dyDescent="0.25">
      <c r="B6186" s="4">
        <v>6181</v>
      </c>
      <c r="C6186" s="10">
        <v>201.87200252825781</v>
      </c>
      <c r="D6186" s="42"/>
    </row>
    <row r="6187" spans="2:4" ht="16" thickBot="1" x14ac:dyDescent="0.25">
      <c r="B6187" s="5">
        <v>6182</v>
      </c>
      <c r="C6187" s="11">
        <v>425.3342754456047</v>
      </c>
      <c r="D6187" s="42"/>
    </row>
    <row r="6188" spans="2:4" ht="16" thickBot="1" x14ac:dyDescent="0.25">
      <c r="B6188" s="4">
        <v>6183</v>
      </c>
      <c r="C6188" s="10">
        <v>356.61626801694922</v>
      </c>
      <c r="D6188" s="42"/>
    </row>
    <row r="6189" spans="2:4" ht="16" thickBot="1" x14ac:dyDescent="0.25">
      <c r="B6189" s="5">
        <v>6184</v>
      </c>
      <c r="C6189" s="11">
        <v>207.57633063158906</v>
      </c>
      <c r="D6189" s="42"/>
    </row>
    <row r="6190" spans="2:4" ht="16" thickBot="1" x14ac:dyDescent="0.25">
      <c r="B6190" s="4">
        <v>6185</v>
      </c>
      <c r="C6190" s="10">
        <v>231.57654894595402</v>
      </c>
      <c r="D6190" s="42"/>
    </row>
    <row r="6191" spans="2:4" ht="16" thickBot="1" x14ac:dyDescent="0.25">
      <c r="B6191" s="5">
        <v>6186</v>
      </c>
      <c r="C6191" s="11">
        <v>280.3785346651382</v>
      </c>
      <c r="D6191" s="42"/>
    </row>
    <row r="6192" spans="2:4" ht="16" thickBot="1" x14ac:dyDescent="0.25">
      <c r="B6192" s="4">
        <v>6187</v>
      </c>
      <c r="C6192" s="10">
        <v>94.836917783285401</v>
      </c>
      <c r="D6192" s="42"/>
    </row>
    <row r="6193" spans="2:4" ht="16" thickBot="1" x14ac:dyDescent="0.25">
      <c r="B6193" s="5">
        <v>6188</v>
      </c>
      <c r="C6193" s="11">
        <v>256.72389151480758</v>
      </c>
      <c r="D6193" s="42"/>
    </row>
    <row r="6194" spans="2:4" ht="16" thickBot="1" x14ac:dyDescent="0.25">
      <c r="B6194" s="4">
        <v>6189</v>
      </c>
      <c r="C6194" s="10">
        <v>124.1443973887603</v>
      </c>
      <c r="D6194" s="42"/>
    </row>
    <row r="6195" spans="2:4" ht="16" thickBot="1" x14ac:dyDescent="0.25">
      <c r="B6195" s="5">
        <v>6190</v>
      </c>
      <c r="C6195" s="11">
        <v>170.16221569172998</v>
      </c>
      <c r="D6195" s="42"/>
    </row>
    <row r="6196" spans="2:4" ht="16" thickBot="1" x14ac:dyDescent="0.25">
      <c r="B6196" s="4">
        <v>6191</v>
      </c>
      <c r="C6196" s="10">
        <v>352.6290341003014</v>
      </c>
      <c r="D6196" s="42"/>
    </row>
    <row r="6197" spans="2:4" ht="16" thickBot="1" x14ac:dyDescent="0.25">
      <c r="B6197" s="5">
        <v>6192</v>
      </c>
      <c r="C6197" s="11">
        <v>186.34092146766486</v>
      </c>
      <c r="D6197" s="42"/>
    </row>
    <row r="6198" spans="2:4" ht="16" thickBot="1" x14ac:dyDescent="0.25">
      <c r="B6198" s="4">
        <v>6193</v>
      </c>
      <c r="C6198" s="10">
        <v>153.13002163501994</v>
      </c>
      <c r="D6198" s="42"/>
    </row>
    <row r="6199" spans="2:4" ht="16" thickBot="1" x14ac:dyDescent="0.25">
      <c r="B6199" s="5">
        <v>6194</v>
      </c>
      <c r="C6199" s="11">
        <v>325.70872071966255</v>
      </c>
      <c r="D6199" s="42"/>
    </row>
    <row r="6200" spans="2:4" ht="16" thickBot="1" x14ac:dyDescent="0.25">
      <c r="B6200" s="4">
        <v>6195</v>
      </c>
      <c r="C6200" s="10">
        <v>52.944911263961444</v>
      </c>
      <c r="D6200" s="42"/>
    </row>
    <row r="6201" spans="2:4" ht="16" thickBot="1" x14ac:dyDescent="0.25">
      <c r="B6201" s="5">
        <v>6196</v>
      </c>
      <c r="C6201" s="11">
        <v>408.36836529731573</v>
      </c>
      <c r="D6201" s="42"/>
    </row>
    <row r="6202" spans="2:4" ht="16" thickBot="1" x14ac:dyDescent="0.25">
      <c r="B6202" s="4">
        <v>6197</v>
      </c>
      <c r="C6202" s="10">
        <v>393.8160569949556</v>
      </c>
      <c r="D6202" s="42"/>
    </row>
    <row r="6203" spans="2:4" ht="16" thickBot="1" x14ac:dyDescent="0.25">
      <c r="B6203" s="5">
        <v>6198</v>
      </c>
      <c r="C6203" s="11">
        <v>295.90340916003487</v>
      </c>
      <c r="D6203" s="42"/>
    </row>
    <row r="6204" spans="2:4" ht="16" thickBot="1" x14ac:dyDescent="0.25">
      <c r="B6204" s="4">
        <v>6199</v>
      </c>
      <c r="C6204" s="10">
        <v>335.88087259863903</v>
      </c>
      <c r="D6204" s="42"/>
    </row>
    <row r="6205" spans="2:4" ht="16" thickBot="1" x14ac:dyDescent="0.25">
      <c r="B6205" s="5">
        <v>6200</v>
      </c>
      <c r="C6205" s="11">
        <v>235.95185412488698</v>
      </c>
      <c r="D6205" s="42"/>
    </row>
    <row r="6206" spans="2:4" ht="16" thickBot="1" x14ac:dyDescent="0.25">
      <c r="B6206" s="4">
        <v>6201</v>
      </c>
      <c r="C6206" s="10">
        <v>723.52079246033873</v>
      </c>
      <c r="D6206" s="42"/>
    </row>
    <row r="6207" spans="2:4" ht="16" thickBot="1" x14ac:dyDescent="0.25">
      <c r="B6207" s="5">
        <v>6202</v>
      </c>
      <c r="C6207" s="11">
        <v>178.46576353882213</v>
      </c>
      <c r="D6207" s="42"/>
    </row>
    <row r="6208" spans="2:4" ht="16" thickBot="1" x14ac:dyDescent="0.25">
      <c r="B6208" s="4">
        <v>6203</v>
      </c>
      <c r="C6208" s="10">
        <v>645.79889651956353</v>
      </c>
      <c r="D6208" s="42"/>
    </row>
    <row r="6209" spans="2:4" ht="16" thickBot="1" x14ac:dyDescent="0.25">
      <c r="B6209" s="5">
        <v>6204</v>
      </c>
      <c r="C6209" s="11">
        <v>388.35009659609022</v>
      </c>
      <c r="D6209" s="42"/>
    </row>
    <row r="6210" spans="2:4" ht="16" thickBot="1" x14ac:dyDescent="0.25">
      <c r="B6210" s="4">
        <v>6205</v>
      </c>
      <c r="C6210" s="10">
        <v>242.13883515329508</v>
      </c>
      <c r="D6210" s="42"/>
    </row>
    <row r="6211" spans="2:4" ht="16" thickBot="1" x14ac:dyDescent="0.25">
      <c r="B6211" s="5">
        <v>6206</v>
      </c>
      <c r="C6211" s="11">
        <v>233.84166401511769</v>
      </c>
      <c r="D6211" s="42"/>
    </row>
    <row r="6212" spans="2:4" ht="16" thickBot="1" x14ac:dyDescent="0.25">
      <c r="B6212" s="4">
        <v>6207</v>
      </c>
      <c r="C6212" s="10">
        <v>265.19314832410606</v>
      </c>
      <c r="D6212" s="42"/>
    </row>
    <row r="6213" spans="2:4" ht="16" thickBot="1" x14ac:dyDescent="0.25">
      <c r="B6213" s="5">
        <v>6208</v>
      </c>
      <c r="C6213" s="11">
        <v>117.31638156362855</v>
      </c>
      <c r="D6213" s="42"/>
    </row>
    <row r="6214" spans="2:4" ht="16" thickBot="1" x14ac:dyDescent="0.25">
      <c r="B6214" s="4">
        <v>6209</v>
      </c>
      <c r="C6214" s="10">
        <v>428.77736580876967</v>
      </c>
      <c r="D6214" s="42"/>
    </row>
    <row r="6215" spans="2:4" ht="16" thickBot="1" x14ac:dyDescent="0.25">
      <c r="B6215" s="5">
        <v>6210</v>
      </c>
      <c r="C6215" s="11">
        <v>405.53609687995709</v>
      </c>
      <c r="D6215" s="42"/>
    </row>
    <row r="6216" spans="2:4" ht="16" thickBot="1" x14ac:dyDescent="0.25">
      <c r="B6216" s="4">
        <v>6211</v>
      </c>
      <c r="C6216" s="10">
        <v>326.82619403804563</v>
      </c>
      <c r="D6216" s="42"/>
    </row>
    <row r="6217" spans="2:4" ht="16" thickBot="1" x14ac:dyDescent="0.25">
      <c r="B6217" s="5">
        <v>6212</v>
      </c>
      <c r="C6217" s="11">
        <v>135.27636398265648</v>
      </c>
      <c r="D6217" s="42"/>
    </row>
    <row r="6218" spans="2:4" ht="16" thickBot="1" x14ac:dyDescent="0.25">
      <c r="B6218" s="4">
        <v>6213</v>
      </c>
      <c r="C6218" s="10">
        <v>234.36311361693262</v>
      </c>
      <c r="D6218" s="42"/>
    </row>
    <row r="6219" spans="2:4" ht="16" thickBot="1" x14ac:dyDescent="0.25">
      <c r="B6219" s="5">
        <v>6214</v>
      </c>
      <c r="C6219" s="11">
        <v>248.76730591087761</v>
      </c>
      <c r="D6219" s="42"/>
    </row>
    <row r="6220" spans="2:4" ht="16" thickBot="1" x14ac:dyDescent="0.25">
      <c r="B6220" s="4">
        <v>6215</v>
      </c>
      <c r="C6220" s="10">
        <v>400.62612717853477</v>
      </c>
      <c r="D6220" s="42"/>
    </row>
    <row r="6221" spans="2:4" ht="16" thickBot="1" x14ac:dyDescent="0.25">
      <c r="B6221" s="5">
        <v>6216</v>
      </c>
      <c r="C6221" s="11">
        <v>286.37545923414336</v>
      </c>
      <c r="D6221" s="42"/>
    </row>
    <row r="6222" spans="2:4" ht="16" thickBot="1" x14ac:dyDescent="0.25">
      <c r="B6222" s="4">
        <v>6217</v>
      </c>
      <c r="C6222" s="10">
        <v>835.89626814574706</v>
      </c>
      <c r="D6222" s="42"/>
    </row>
    <row r="6223" spans="2:4" ht="16" thickBot="1" x14ac:dyDescent="0.25">
      <c r="B6223" s="5">
        <v>6218</v>
      </c>
      <c r="C6223" s="11">
        <v>248.65077173355672</v>
      </c>
      <c r="D6223" s="42"/>
    </row>
    <row r="6224" spans="2:4" ht="16" thickBot="1" x14ac:dyDescent="0.25">
      <c r="B6224" s="4">
        <v>6219</v>
      </c>
      <c r="C6224" s="10">
        <v>193.15399553277481</v>
      </c>
      <c r="D6224" s="42"/>
    </row>
    <row r="6225" spans="2:4" ht="16" thickBot="1" x14ac:dyDescent="0.25">
      <c r="B6225" s="5">
        <v>6220</v>
      </c>
      <c r="C6225" s="11">
        <v>262.21245948088693</v>
      </c>
      <c r="D6225" s="42"/>
    </row>
    <row r="6226" spans="2:4" ht="16" thickBot="1" x14ac:dyDescent="0.25">
      <c r="B6226" s="4">
        <v>6221</v>
      </c>
      <c r="C6226" s="10">
        <v>376.10826307827557</v>
      </c>
      <c r="D6226" s="42"/>
    </row>
    <row r="6227" spans="2:4" ht="16" thickBot="1" x14ac:dyDescent="0.25">
      <c r="B6227" s="5">
        <v>6222</v>
      </c>
      <c r="C6227" s="11">
        <v>155.10850511541216</v>
      </c>
      <c r="D6227" s="42"/>
    </row>
    <row r="6228" spans="2:4" ht="16" thickBot="1" x14ac:dyDescent="0.25">
      <c r="B6228" s="4">
        <v>6223</v>
      </c>
      <c r="C6228" s="10">
        <v>364.55580116943764</v>
      </c>
      <c r="D6228" s="42"/>
    </row>
    <row r="6229" spans="2:4" ht="16" thickBot="1" x14ac:dyDescent="0.25">
      <c r="B6229" s="5">
        <v>6224</v>
      </c>
      <c r="C6229" s="11">
        <v>198.38557926997717</v>
      </c>
      <c r="D6229" s="42"/>
    </row>
    <row r="6230" spans="2:4" ht="16" thickBot="1" x14ac:dyDescent="0.25">
      <c r="B6230" s="4">
        <v>6225</v>
      </c>
      <c r="C6230" s="10">
        <v>447.9811105935446</v>
      </c>
      <c r="D6230" s="42"/>
    </row>
    <row r="6231" spans="2:4" ht="16" thickBot="1" x14ac:dyDescent="0.25">
      <c r="B6231" s="5">
        <v>6226</v>
      </c>
      <c r="C6231" s="11">
        <v>115.95229034075945</v>
      </c>
      <c r="D6231" s="42"/>
    </row>
    <row r="6232" spans="2:4" ht="16" thickBot="1" x14ac:dyDescent="0.25">
      <c r="B6232" s="4">
        <v>6227</v>
      </c>
      <c r="C6232" s="10">
        <v>389.7917856527805</v>
      </c>
      <c r="D6232" s="42"/>
    </row>
    <row r="6233" spans="2:4" ht="16" thickBot="1" x14ac:dyDescent="0.25">
      <c r="B6233" s="5">
        <v>6228</v>
      </c>
      <c r="C6233" s="11">
        <v>216.28417369400563</v>
      </c>
      <c r="D6233" s="42"/>
    </row>
    <row r="6234" spans="2:4" ht="16" thickBot="1" x14ac:dyDescent="0.25">
      <c r="B6234" s="4">
        <v>6229</v>
      </c>
      <c r="C6234" s="10">
        <v>411.04053638024021</v>
      </c>
      <c r="D6234" s="42"/>
    </row>
    <row r="6235" spans="2:4" ht="16" thickBot="1" x14ac:dyDescent="0.25">
      <c r="B6235" s="5">
        <v>6230</v>
      </c>
      <c r="C6235" s="11">
        <v>521.6867362952803</v>
      </c>
      <c r="D6235" s="42"/>
    </row>
    <row r="6236" spans="2:4" ht="16" thickBot="1" x14ac:dyDescent="0.25">
      <c r="B6236" s="4">
        <v>6231</v>
      </c>
      <c r="C6236" s="10">
        <v>295.24518187766364</v>
      </c>
      <c r="D6236" s="42"/>
    </row>
    <row r="6237" spans="2:4" ht="16" thickBot="1" x14ac:dyDescent="0.25">
      <c r="B6237" s="5">
        <v>6232</v>
      </c>
      <c r="C6237" s="11">
        <v>632.07245550112475</v>
      </c>
      <c r="D6237" s="42"/>
    </row>
    <row r="6238" spans="2:4" ht="16" thickBot="1" x14ac:dyDescent="0.25">
      <c r="B6238" s="4">
        <v>6233</v>
      </c>
      <c r="C6238" s="10">
        <v>215.73125752872483</v>
      </c>
      <c r="D6238" s="42"/>
    </row>
    <row r="6239" spans="2:4" ht="16" thickBot="1" x14ac:dyDescent="0.25">
      <c r="B6239" s="5">
        <v>6234</v>
      </c>
      <c r="C6239" s="11">
        <v>278.95577530738296</v>
      </c>
      <c r="D6239" s="42"/>
    </row>
    <row r="6240" spans="2:4" ht="16" thickBot="1" x14ac:dyDescent="0.25">
      <c r="B6240" s="4">
        <v>6235</v>
      </c>
      <c r="C6240" s="10">
        <v>395.36552113856214</v>
      </c>
      <c r="D6240" s="42"/>
    </row>
    <row r="6241" spans="2:4" ht="16" thickBot="1" x14ac:dyDescent="0.25">
      <c r="B6241" s="5">
        <v>6236</v>
      </c>
      <c r="C6241" s="11">
        <v>243.10426437552553</v>
      </c>
      <c r="D6241" s="42"/>
    </row>
    <row r="6242" spans="2:4" ht="16" thickBot="1" x14ac:dyDescent="0.25">
      <c r="B6242" s="4">
        <v>6237</v>
      </c>
      <c r="C6242" s="10">
        <v>312.06579457425102</v>
      </c>
      <c r="D6242" s="42"/>
    </row>
    <row r="6243" spans="2:4" ht="16" thickBot="1" x14ac:dyDescent="0.25">
      <c r="B6243" s="5">
        <v>6238</v>
      </c>
      <c r="C6243" s="11">
        <v>24.932400598499822</v>
      </c>
      <c r="D6243" s="42"/>
    </row>
    <row r="6244" spans="2:4" ht="16" thickBot="1" x14ac:dyDescent="0.25">
      <c r="B6244" s="4">
        <v>6239</v>
      </c>
      <c r="C6244" s="10">
        <v>257.4276867255756</v>
      </c>
      <c r="D6244" s="42"/>
    </row>
    <row r="6245" spans="2:4" ht="16" thickBot="1" x14ac:dyDescent="0.25">
      <c r="B6245" s="5">
        <v>6240</v>
      </c>
      <c r="C6245" s="11">
        <v>288.85459976597622</v>
      </c>
      <c r="D6245" s="42"/>
    </row>
    <row r="6246" spans="2:4" ht="16" thickBot="1" x14ac:dyDescent="0.25">
      <c r="B6246" s="4">
        <v>6241</v>
      </c>
      <c r="C6246" s="10">
        <v>365.1616612220401</v>
      </c>
      <c r="D6246" s="42"/>
    </row>
    <row r="6247" spans="2:4" ht="16" thickBot="1" x14ac:dyDescent="0.25">
      <c r="B6247" s="5">
        <v>6242</v>
      </c>
      <c r="C6247" s="11">
        <v>270.18456580068317</v>
      </c>
      <c r="D6247" s="42"/>
    </row>
    <row r="6248" spans="2:4" ht="16" thickBot="1" x14ac:dyDescent="0.25">
      <c r="B6248" s="4">
        <v>6243</v>
      </c>
      <c r="C6248" s="10">
        <v>409.8175463609158</v>
      </c>
      <c r="D6248" s="42"/>
    </row>
    <row r="6249" spans="2:4" ht="16" thickBot="1" x14ac:dyDescent="0.25">
      <c r="B6249" s="5">
        <v>6244</v>
      </c>
      <c r="C6249" s="11">
        <v>131.17078377569854</v>
      </c>
      <c r="D6249" s="42"/>
    </row>
    <row r="6250" spans="2:4" ht="16" thickBot="1" x14ac:dyDescent="0.25">
      <c r="B6250" s="4">
        <v>6245</v>
      </c>
      <c r="C6250" s="10">
        <v>140.36152235721542</v>
      </c>
      <c r="D6250" s="42"/>
    </row>
    <row r="6251" spans="2:4" ht="16" thickBot="1" x14ac:dyDescent="0.25">
      <c r="B6251" s="5">
        <v>6246</v>
      </c>
      <c r="C6251" s="11">
        <v>316.68418070251954</v>
      </c>
      <c r="D6251" s="42"/>
    </row>
    <row r="6252" spans="2:4" ht="16" thickBot="1" x14ac:dyDescent="0.25">
      <c r="B6252" s="4">
        <v>6247</v>
      </c>
      <c r="C6252" s="10">
        <v>116.28208405171031</v>
      </c>
      <c r="D6252" s="42"/>
    </row>
    <row r="6253" spans="2:4" ht="16" thickBot="1" x14ac:dyDescent="0.25">
      <c r="B6253" s="5">
        <v>6248</v>
      </c>
      <c r="C6253" s="11">
        <v>300.4774144069159</v>
      </c>
      <c r="D6253" s="42"/>
    </row>
    <row r="6254" spans="2:4" ht="16" thickBot="1" x14ac:dyDescent="0.25">
      <c r="B6254" s="4">
        <v>6249</v>
      </c>
      <c r="C6254" s="10">
        <v>174.34581587014969</v>
      </c>
      <c r="D6254" s="42"/>
    </row>
    <row r="6255" spans="2:4" ht="16" thickBot="1" x14ac:dyDescent="0.25">
      <c r="B6255" s="5">
        <v>6250</v>
      </c>
      <c r="C6255" s="11">
        <v>194.68306002377366</v>
      </c>
      <c r="D6255" s="42"/>
    </row>
    <row r="6256" spans="2:4" ht="16" thickBot="1" x14ac:dyDescent="0.25">
      <c r="B6256" s="4">
        <v>6251</v>
      </c>
      <c r="C6256" s="10">
        <v>333.1776842790162</v>
      </c>
      <c r="D6256" s="42"/>
    </row>
    <row r="6257" spans="2:4" ht="16" thickBot="1" x14ac:dyDescent="0.25">
      <c r="B6257" s="5">
        <v>6252</v>
      </c>
      <c r="C6257" s="11">
        <v>238.23407218898365</v>
      </c>
      <c r="D6257" s="42"/>
    </row>
    <row r="6258" spans="2:4" ht="16" thickBot="1" x14ac:dyDescent="0.25">
      <c r="B6258" s="4">
        <v>6253</v>
      </c>
      <c r="C6258" s="10">
        <v>140.53086464904123</v>
      </c>
      <c r="D6258" s="42"/>
    </row>
    <row r="6259" spans="2:4" ht="16" thickBot="1" x14ac:dyDescent="0.25">
      <c r="B6259" s="5">
        <v>6254</v>
      </c>
      <c r="C6259" s="11">
        <v>260.50766913210583</v>
      </c>
      <c r="D6259" s="42"/>
    </row>
    <row r="6260" spans="2:4" ht="16" thickBot="1" x14ac:dyDescent="0.25">
      <c r="B6260" s="4">
        <v>6255</v>
      </c>
      <c r="C6260" s="10">
        <v>399.27587741364732</v>
      </c>
      <c r="D6260" s="42"/>
    </row>
    <row r="6261" spans="2:4" ht="16" thickBot="1" x14ac:dyDescent="0.25">
      <c r="B6261" s="5">
        <v>6256</v>
      </c>
      <c r="C6261" s="11">
        <v>328.15304924835993</v>
      </c>
      <c r="D6261" s="42"/>
    </row>
    <row r="6262" spans="2:4" ht="16" thickBot="1" x14ac:dyDescent="0.25">
      <c r="B6262" s="4">
        <v>6257</v>
      </c>
      <c r="C6262" s="10">
        <v>278.19369918145151</v>
      </c>
      <c r="D6262" s="42"/>
    </row>
    <row r="6263" spans="2:4" ht="16" thickBot="1" x14ac:dyDescent="0.25">
      <c r="B6263" s="5">
        <v>6258</v>
      </c>
      <c r="C6263" s="11">
        <v>353.87105857145104</v>
      </c>
      <c r="D6263" s="42"/>
    </row>
    <row r="6264" spans="2:4" ht="16" thickBot="1" x14ac:dyDescent="0.25">
      <c r="B6264" s="4">
        <v>6259</v>
      </c>
      <c r="C6264" s="10">
        <v>191.17755435327314</v>
      </c>
      <c r="D6264" s="42"/>
    </row>
    <row r="6265" spans="2:4" ht="16" thickBot="1" x14ac:dyDescent="0.25">
      <c r="B6265" s="5">
        <v>6260</v>
      </c>
      <c r="C6265" s="11">
        <v>264.95936542849643</v>
      </c>
      <c r="D6265" s="42"/>
    </row>
    <row r="6266" spans="2:4" ht="16" thickBot="1" x14ac:dyDescent="0.25">
      <c r="B6266" s="4">
        <v>6261</v>
      </c>
      <c r="C6266" s="10">
        <v>209.33205400444075</v>
      </c>
      <c r="D6266" s="42"/>
    </row>
    <row r="6267" spans="2:4" ht="16" thickBot="1" x14ac:dyDescent="0.25">
      <c r="B6267" s="5">
        <v>6262</v>
      </c>
      <c r="C6267" s="11">
        <v>179.69549715754266</v>
      </c>
      <c r="D6267" s="42"/>
    </row>
    <row r="6268" spans="2:4" ht="16" thickBot="1" x14ac:dyDescent="0.25">
      <c r="B6268" s="4">
        <v>6263</v>
      </c>
      <c r="C6268" s="10">
        <v>242.64995130788694</v>
      </c>
      <c r="D6268" s="42"/>
    </row>
    <row r="6269" spans="2:4" ht="16" thickBot="1" x14ac:dyDescent="0.25">
      <c r="B6269" s="5">
        <v>6264</v>
      </c>
      <c r="C6269" s="11">
        <v>104.09060138493737</v>
      </c>
      <c r="D6269" s="42"/>
    </row>
    <row r="6270" spans="2:4" ht="16" thickBot="1" x14ac:dyDescent="0.25">
      <c r="B6270" s="4">
        <v>6265</v>
      </c>
      <c r="C6270" s="10">
        <v>234.7140060599308</v>
      </c>
      <c r="D6270" s="42"/>
    </row>
    <row r="6271" spans="2:4" ht="16" thickBot="1" x14ac:dyDescent="0.25">
      <c r="B6271" s="5">
        <v>6266</v>
      </c>
      <c r="C6271" s="11">
        <v>118.69127175331447</v>
      </c>
      <c r="D6271" s="42"/>
    </row>
    <row r="6272" spans="2:4" ht="16" thickBot="1" x14ac:dyDescent="0.25">
      <c r="B6272" s="4">
        <v>6267</v>
      </c>
      <c r="C6272" s="10">
        <v>633.80469963677615</v>
      </c>
      <c r="D6272" s="42"/>
    </row>
    <row r="6273" spans="2:4" ht="16" thickBot="1" x14ac:dyDescent="0.25">
      <c r="B6273" s="5">
        <v>6268</v>
      </c>
      <c r="C6273" s="11">
        <v>160.52897388355149</v>
      </c>
      <c r="D6273" s="42"/>
    </row>
    <row r="6274" spans="2:4" ht="16" thickBot="1" x14ac:dyDescent="0.25">
      <c r="B6274" s="4">
        <v>6269</v>
      </c>
      <c r="C6274" s="10">
        <v>245.03316153769629</v>
      </c>
      <c r="D6274" s="42"/>
    </row>
    <row r="6275" spans="2:4" ht="16" thickBot="1" x14ac:dyDescent="0.25">
      <c r="B6275" s="5">
        <v>6270</v>
      </c>
      <c r="C6275" s="11">
        <v>97.523031072557913</v>
      </c>
      <c r="D6275" s="42"/>
    </row>
    <row r="6276" spans="2:4" ht="16" thickBot="1" x14ac:dyDescent="0.25">
      <c r="B6276" s="4">
        <v>6271</v>
      </c>
      <c r="C6276" s="10">
        <v>294.96876420862577</v>
      </c>
      <c r="D6276" s="42"/>
    </row>
    <row r="6277" spans="2:4" ht="16" thickBot="1" x14ac:dyDescent="0.25">
      <c r="B6277" s="5">
        <v>6272</v>
      </c>
      <c r="C6277" s="11">
        <v>115.58634135033232</v>
      </c>
      <c r="D6277" s="42"/>
    </row>
    <row r="6278" spans="2:4" ht="16" thickBot="1" x14ac:dyDescent="0.25">
      <c r="B6278" s="4">
        <v>6273</v>
      </c>
      <c r="C6278" s="10">
        <v>235.58958260959056</v>
      </c>
      <c r="D6278" s="42"/>
    </row>
    <row r="6279" spans="2:4" ht="16" thickBot="1" x14ac:dyDescent="0.25">
      <c r="B6279" s="5">
        <v>6274</v>
      </c>
      <c r="C6279" s="11">
        <v>306.23309952171735</v>
      </c>
      <c r="D6279" s="42"/>
    </row>
    <row r="6280" spans="2:4" ht="16" thickBot="1" x14ac:dyDescent="0.25">
      <c r="B6280" s="4">
        <v>6275</v>
      </c>
      <c r="C6280" s="10">
        <v>249.38127581022104</v>
      </c>
      <c r="D6280" s="42"/>
    </row>
    <row r="6281" spans="2:4" ht="16" thickBot="1" x14ac:dyDescent="0.25">
      <c r="B6281" s="5">
        <v>6276</v>
      </c>
      <c r="C6281" s="11">
        <v>117.71164732198636</v>
      </c>
      <c r="D6281" s="42"/>
    </row>
    <row r="6282" spans="2:4" ht="16" thickBot="1" x14ac:dyDescent="0.25">
      <c r="B6282" s="4">
        <v>6277</v>
      </c>
      <c r="C6282" s="10">
        <v>563.67003717958312</v>
      </c>
      <c r="D6282" s="42"/>
    </row>
    <row r="6283" spans="2:4" ht="16" thickBot="1" x14ac:dyDescent="0.25">
      <c r="B6283" s="5">
        <v>6278</v>
      </c>
      <c r="C6283" s="11">
        <v>815.31975853141489</v>
      </c>
      <c r="D6283" s="42"/>
    </row>
    <row r="6284" spans="2:4" ht="16" thickBot="1" x14ac:dyDescent="0.25">
      <c r="B6284" s="4">
        <v>6279</v>
      </c>
      <c r="C6284" s="10">
        <v>231.63589377256557</v>
      </c>
      <c r="D6284" s="42"/>
    </row>
    <row r="6285" spans="2:4" ht="16" thickBot="1" x14ac:dyDescent="0.25">
      <c r="B6285" s="5">
        <v>6280</v>
      </c>
      <c r="C6285" s="11">
        <v>152.02663967028036</v>
      </c>
      <c r="D6285" s="42"/>
    </row>
    <row r="6286" spans="2:4" ht="16" thickBot="1" x14ac:dyDescent="0.25">
      <c r="B6286" s="4">
        <v>6281</v>
      </c>
      <c r="C6286" s="10">
        <v>293.61893878948786</v>
      </c>
      <c r="D6286" s="42"/>
    </row>
    <row r="6287" spans="2:4" ht="16" thickBot="1" x14ac:dyDescent="0.25">
      <c r="B6287" s="5">
        <v>6282</v>
      </c>
      <c r="C6287" s="11">
        <v>252.55700915089213</v>
      </c>
      <c r="D6287" s="42"/>
    </row>
    <row r="6288" spans="2:4" ht="16" thickBot="1" x14ac:dyDescent="0.25">
      <c r="B6288" s="4">
        <v>6283</v>
      </c>
      <c r="C6288" s="10">
        <v>387.50340725840078</v>
      </c>
      <c r="D6288" s="42"/>
    </row>
    <row r="6289" spans="2:4" ht="16" thickBot="1" x14ac:dyDescent="0.25">
      <c r="B6289" s="5">
        <v>6284</v>
      </c>
      <c r="C6289" s="11">
        <v>78.358426490447883</v>
      </c>
      <c r="D6289" s="42"/>
    </row>
    <row r="6290" spans="2:4" ht="16" thickBot="1" x14ac:dyDescent="0.25">
      <c r="B6290" s="4">
        <v>6285</v>
      </c>
      <c r="C6290" s="10">
        <v>339.00663081805453</v>
      </c>
      <c r="D6290" s="42"/>
    </row>
    <row r="6291" spans="2:4" ht="16" thickBot="1" x14ac:dyDescent="0.25">
      <c r="B6291" s="5">
        <v>6286</v>
      </c>
      <c r="C6291" s="11">
        <v>441.43778268127096</v>
      </c>
      <c r="D6291" s="42"/>
    </row>
    <row r="6292" spans="2:4" ht="16" thickBot="1" x14ac:dyDescent="0.25">
      <c r="B6292" s="4">
        <v>6287</v>
      </c>
      <c r="C6292" s="10">
        <v>187.16153353101492</v>
      </c>
      <c r="D6292" s="42"/>
    </row>
    <row r="6293" spans="2:4" ht="16" thickBot="1" x14ac:dyDescent="0.25">
      <c r="B6293" s="5">
        <v>6288</v>
      </c>
      <c r="C6293" s="11">
        <v>112.75405854455815</v>
      </c>
      <c r="D6293" s="42"/>
    </row>
    <row r="6294" spans="2:4" ht="16" thickBot="1" x14ac:dyDescent="0.25">
      <c r="B6294" s="4">
        <v>6289</v>
      </c>
      <c r="C6294" s="10">
        <v>90.221565347041491</v>
      </c>
      <c r="D6294" s="42"/>
    </row>
    <row r="6295" spans="2:4" ht="16" thickBot="1" x14ac:dyDescent="0.25">
      <c r="B6295" s="5">
        <v>6290</v>
      </c>
      <c r="C6295" s="11">
        <v>123.93580109017557</v>
      </c>
      <c r="D6295" s="42"/>
    </row>
    <row r="6296" spans="2:4" ht="16" thickBot="1" x14ac:dyDescent="0.25">
      <c r="B6296" s="4">
        <v>6291</v>
      </c>
      <c r="C6296" s="10">
        <v>754.20953038113123</v>
      </c>
      <c r="D6296" s="42"/>
    </row>
    <row r="6297" spans="2:4" ht="16" thickBot="1" x14ac:dyDescent="0.25">
      <c r="B6297" s="5">
        <v>6292</v>
      </c>
      <c r="C6297" s="11">
        <v>203.45684884181014</v>
      </c>
      <c r="D6297" s="42"/>
    </row>
    <row r="6298" spans="2:4" ht="16" thickBot="1" x14ac:dyDescent="0.25">
      <c r="B6298" s="4">
        <v>6293</v>
      </c>
      <c r="C6298" s="10">
        <v>222.47625908144187</v>
      </c>
      <c r="D6298" s="42"/>
    </row>
    <row r="6299" spans="2:4" ht="16" thickBot="1" x14ac:dyDescent="0.25">
      <c r="B6299" s="5">
        <v>6294</v>
      </c>
      <c r="C6299" s="11">
        <v>257.48254005508085</v>
      </c>
      <c r="D6299" s="42"/>
    </row>
    <row r="6300" spans="2:4" ht="16" thickBot="1" x14ac:dyDescent="0.25">
      <c r="B6300" s="4">
        <v>6295</v>
      </c>
      <c r="C6300" s="10">
        <v>306.524683755372</v>
      </c>
      <c r="D6300" s="42"/>
    </row>
    <row r="6301" spans="2:4" ht="16" thickBot="1" x14ac:dyDescent="0.25">
      <c r="B6301" s="5">
        <v>6296</v>
      </c>
      <c r="C6301" s="11">
        <v>241.59475687536371</v>
      </c>
      <c r="D6301" s="42"/>
    </row>
    <row r="6302" spans="2:4" ht="16" thickBot="1" x14ac:dyDescent="0.25">
      <c r="B6302" s="4">
        <v>6297</v>
      </c>
      <c r="C6302" s="10">
        <v>237.17396190606442</v>
      </c>
      <c r="D6302" s="42"/>
    </row>
    <row r="6303" spans="2:4" ht="16" thickBot="1" x14ac:dyDescent="0.25">
      <c r="B6303" s="5">
        <v>6298</v>
      </c>
      <c r="C6303" s="11">
        <v>143.55558996223277</v>
      </c>
      <c r="D6303" s="42"/>
    </row>
    <row r="6304" spans="2:4" ht="16" thickBot="1" x14ac:dyDescent="0.25">
      <c r="B6304" s="4">
        <v>6299</v>
      </c>
      <c r="C6304" s="10">
        <v>138.2781069113642</v>
      </c>
      <c r="D6304" s="42"/>
    </row>
    <row r="6305" spans="2:4" ht="16" thickBot="1" x14ac:dyDescent="0.25">
      <c r="B6305" s="5">
        <v>6300</v>
      </c>
      <c r="C6305" s="11">
        <v>25.481967076770715</v>
      </c>
      <c r="D6305" s="42"/>
    </row>
    <row r="6306" spans="2:4" ht="16" thickBot="1" x14ac:dyDescent="0.25">
      <c r="B6306" s="4">
        <v>6301</v>
      </c>
      <c r="C6306" s="10">
        <v>310.0106794235034</v>
      </c>
      <c r="D6306" s="42"/>
    </row>
    <row r="6307" spans="2:4" ht="16" thickBot="1" x14ac:dyDescent="0.25">
      <c r="B6307" s="5">
        <v>6302</v>
      </c>
      <c r="C6307" s="11">
        <v>104.61400948071679</v>
      </c>
      <c r="D6307" s="42"/>
    </row>
    <row r="6308" spans="2:4" ht="16" thickBot="1" x14ac:dyDescent="0.25">
      <c r="B6308" s="4">
        <v>6303</v>
      </c>
      <c r="C6308" s="10">
        <v>447.13686849885812</v>
      </c>
      <c r="D6308" s="42"/>
    </row>
    <row r="6309" spans="2:4" ht="16" thickBot="1" x14ac:dyDescent="0.25">
      <c r="B6309" s="5">
        <v>6304</v>
      </c>
      <c r="C6309" s="11">
        <v>270.50217773368195</v>
      </c>
      <c r="D6309" s="42"/>
    </row>
    <row r="6310" spans="2:4" ht="16" thickBot="1" x14ac:dyDescent="0.25">
      <c r="B6310" s="4">
        <v>6305</v>
      </c>
      <c r="C6310" s="10">
        <v>625.1133146600979</v>
      </c>
      <c r="D6310" s="42"/>
    </row>
    <row r="6311" spans="2:4" ht="16" thickBot="1" x14ac:dyDescent="0.25">
      <c r="B6311" s="5">
        <v>6306</v>
      </c>
      <c r="C6311" s="11">
        <v>239.83343423353986</v>
      </c>
      <c r="D6311" s="42"/>
    </row>
    <row r="6312" spans="2:4" ht="16" thickBot="1" x14ac:dyDescent="0.25">
      <c r="B6312" s="4">
        <v>6307</v>
      </c>
      <c r="C6312" s="10">
        <v>162.21451934437951</v>
      </c>
      <c r="D6312" s="42"/>
    </row>
    <row r="6313" spans="2:4" ht="16" thickBot="1" x14ac:dyDescent="0.25">
      <c r="B6313" s="5">
        <v>6308</v>
      </c>
      <c r="C6313" s="11">
        <v>483.83373692222978</v>
      </c>
      <c r="D6313" s="42"/>
    </row>
    <row r="6314" spans="2:4" ht="16" thickBot="1" x14ac:dyDescent="0.25">
      <c r="B6314" s="4">
        <v>6309</v>
      </c>
      <c r="C6314" s="10">
        <v>231.21401023488704</v>
      </c>
      <c r="D6314" s="42"/>
    </row>
    <row r="6315" spans="2:4" ht="16" thickBot="1" x14ac:dyDescent="0.25">
      <c r="B6315" s="5">
        <v>6310</v>
      </c>
      <c r="C6315" s="11">
        <v>184.42382586436429</v>
      </c>
      <c r="D6315" s="42"/>
    </row>
    <row r="6316" spans="2:4" ht="16" thickBot="1" x14ac:dyDescent="0.25">
      <c r="B6316" s="4">
        <v>6311</v>
      </c>
      <c r="C6316" s="10">
        <v>225.69729211768853</v>
      </c>
      <c r="D6316" s="42"/>
    </row>
    <row r="6317" spans="2:4" ht="16" thickBot="1" x14ac:dyDescent="0.25">
      <c r="B6317" s="5">
        <v>6312</v>
      </c>
      <c r="C6317" s="11">
        <v>177.65103960054554</v>
      </c>
      <c r="D6317" s="42"/>
    </row>
    <row r="6318" spans="2:4" ht="16" thickBot="1" x14ac:dyDescent="0.25">
      <c r="B6318" s="4">
        <v>6313</v>
      </c>
      <c r="C6318" s="10">
        <v>226.90063167917066</v>
      </c>
      <c r="D6318" s="42"/>
    </row>
    <row r="6319" spans="2:4" ht="16" thickBot="1" x14ac:dyDescent="0.25">
      <c r="B6319" s="5">
        <v>6314</v>
      </c>
      <c r="C6319" s="11">
        <v>458.16018042145834</v>
      </c>
      <c r="D6319" s="42"/>
    </row>
    <row r="6320" spans="2:4" ht="16" thickBot="1" x14ac:dyDescent="0.25">
      <c r="B6320" s="4">
        <v>6315</v>
      </c>
      <c r="C6320" s="10">
        <v>79.16378197613048</v>
      </c>
      <c r="D6320" s="42"/>
    </row>
    <row r="6321" spans="2:4" ht="16" thickBot="1" x14ac:dyDescent="0.25">
      <c r="B6321" s="5">
        <v>6316</v>
      </c>
      <c r="C6321" s="11">
        <v>606.66484643350361</v>
      </c>
      <c r="D6321" s="42"/>
    </row>
    <row r="6322" spans="2:4" ht="16" thickBot="1" x14ac:dyDescent="0.25">
      <c r="B6322" s="4">
        <v>6317</v>
      </c>
      <c r="C6322" s="10">
        <v>339.42006422717236</v>
      </c>
      <c r="D6322" s="42"/>
    </row>
    <row r="6323" spans="2:4" ht="16" thickBot="1" x14ac:dyDescent="0.25">
      <c r="B6323" s="5">
        <v>6318</v>
      </c>
      <c r="C6323" s="11">
        <v>733.54673081712986</v>
      </c>
      <c r="D6323" s="42"/>
    </row>
    <row r="6324" spans="2:4" ht="16" thickBot="1" x14ac:dyDescent="0.25">
      <c r="B6324" s="4">
        <v>6319</v>
      </c>
      <c r="C6324" s="10">
        <v>493.19484655883093</v>
      </c>
      <c r="D6324" s="42"/>
    </row>
    <row r="6325" spans="2:4" ht="16" thickBot="1" x14ac:dyDescent="0.25">
      <c r="B6325" s="5">
        <v>6320</v>
      </c>
      <c r="C6325" s="11">
        <v>355.35149672847785</v>
      </c>
      <c r="D6325" s="42"/>
    </row>
    <row r="6326" spans="2:4" ht="16" thickBot="1" x14ac:dyDescent="0.25">
      <c r="B6326" s="4">
        <v>6321</v>
      </c>
      <c r="C6326" s="10">
        <v>369.23643986356126</v>
      </c>
      <c r="D6326" s="42"/>
    </row>
    <row r="6327" spans="2:4" ht="16" thickBot="1" x14ac:dyDescent="0.25">
      <c r="B6327" s="5">
        <v>6322</v>
      </c>
      <c r="C6327" s="11">
        <v>155.29568974350477</v>
      </c>
      <c r="D6327" s="42"/>
    </row>
    <row r="6328" spans="2:4" ht="16" thickBot="1" x14ac:dyDescent="0.25">
      <c r="B6328" s="4">
        <v>6323</v>
      </c>
      <c r="C6328" s="10">
        <v>223.43590673032389</v>
      </c>
      <c r="D6328" s="42"/>
    </row>
    <row r="6329" spans="2:4" ht="16" thickBot="1" x14ac:dyDescent="0.25">
      <c r="B6329" s="5">
        <v>6324</v>
      </c>
      <c r="C6329" s="11">
        <v>414.8637638735176</v>
      </c>
      <c r="D6329" s="42"/>
    </row>
    <row r="6330" spans="2:4" ht="16" thickBot="1" x14ac:dyDescent="0.25">
      <c r="B6330" s="4">
        <v>6325</v>
      </c>
      <c r="C6330" s="10">
        <v>477.48405603486742</v>
      </c>
      <c r="D6330" s="42"/>
    </row>
    <row r="6331" spans="2:4" ht="16" thickBot="1" x14ac:dyDescent="0.25">
      <c r="B6331" s="5">
        <v>6326</v>
      </c>
      <c r="C6331" s="11">
        <v>381.15436735942023</v>
      </c>
      <c r="D6331" s="42"/>
    </row>
    <row r="6332" spans="2:4" ht="16" thickBot="1" x14ac:dyDescent="0.25">
      <c r="B6332" s="4">
        <v>6327</v>
      </c>
      <c r="C6332" s="10">
        <v>58.702816575798487</v>
      </c>
      <c r="D6332" s="42"/>
    </row>
    <row r="6333" spans="2:4" ht="16" thickBot="1" x14ac:dyDescent="0.25">
      <c r="B6333" s="5">
        <v>6328</v>
      </c>
      <c r="C6333" s="11">
        <v>237.23797117253775</v>
      </c>
      <c r="D6333" s="42"/>
    </row>
    <row r="6334" spans="2:4" ht="16" thickBot="1" x14ac:dyDescent="0.25">
      <c r="B6334" s="4">
        <v>6329</v>
      </c>
      <c r="C6334" s="10">
        <v>205.74378604399428</v>
      </c>
      <c r="D6334" s="42"/>
    </row>
    <row r="6335" spans="2:4" ht="16" thickBot="1" x14ac:dyDescent="0.25">
      <c r="B6335" s="5">
        <v>6330</v>
      </c>
      <c r="C6335" s="11">
        <v>244.17073861501285</v>
      </c>
      <c r="D6335" s="42"/>
    </row>
    <row r="6336" spans="2:4" ht="16" thickBot="1" x14ac:dyDescent="0.25">
      <c r="B6336" s="4">
        <v>6331</v>
      </c>
      <c r="C6336" s="10">
        <v>201.08217006732673</v>
      </c>
      <c r="D6336" s="42"/>
    </row>
    <row r="6337" spans="2:4" ht="16" thickBot="1" x14ac:dyDescent="0.25">
      <c r="B6337" s="5">
        <v>6332</v>
      </c>
      <c r="C6337" s="11">
        <v>144.33365517251463</v>
      </c>
      <c r="D6337" s="42"/>
    </row>
    <row r="6338" spans="2:4" ht="16" thickBot="1" x14ac:dyDescent="0.25">
      <c r="B6338" s="4">
        <v>6333</v>
      </c>
      <c r="C6338" s="10">
        <v>489.04073053036666</v>
      </c>
      <c r="D6338" s="42"/>
    </row>
    <row r="6339" spans="2:4" ht="16" thickBot="1" x14ac:dyDescent="0.25">
      <c r="B6339" s="5">
        <v>6334</v>
      </c>
      <c r="C6339" s="11">
        <v>279.32254084650867</v>
      </c>
      <c r="D6339" s="42"/>
    </row>
    <row r="6340" spans="2:4" ht="16" thickBot="1" x14ac:dyDescent="0.25">
      <c r="B6340" s="4">
        <v>6335</v>
      </c>
      <c r="C6340" s="10">
        <v>448.0761107034773</v>
      </c>
      <c r="D6340" s="42"/>
    </row>
    <row r="6341" spans="2:4" ht="16" thickBot="1" x14ac:dyDescent="0.25">
      <c r="B6341" s="5">
        <v>6336</v>
      </c>
      <c r="C6341" s="11">
        <v>218.10177167639404</v>
      </c>
      <c r="D6341" s="42"/>
    </row>
    <row r="6342" spans="2:4" ht="16" thickBot="1" x14ac:dyDescent="0.25">
      <c r="B6342" s="4">
        <v>6337</v>
      </c>
      <c r="C6342" s="10">
        <v>587.13148361626816</v>
      </c>
      <c r="D6342" s="42"/>
    </row>
    <row r="6343" spans="2:4" ht="16" thickBot="1" x14ac:dyDescent="0.25">
      <c r="B6343" s="5">
        <v>6338</v>
      </c>
      <c r="C6343" s="11">
        <v>180.1209909756636</v>
      </c>
      <c r="D6343" s="42"/>
    </row>
    <row r="6344" spans="2:4" ht="16" thickBot="1" x14ac:dyDescent="0.25">
      <c r="B6344" s="4">
        <v>6339</v>
      </c>
      <c r="C6344" s="10">
        <v>162.79688583579525</v>
      </c>
      <c r="D6344" s="42"/>
    </row>
    <row r="6345" spans="2:4" ht="16" thickBot="1" x14ac:dyDescent="0.25">
      <c r="B6345" s="5">
        <v>6340</v>
      </c>
      <c r="C6345" s="11">
        <v>248.94303540288158</v>
      </c>
      <c r="D6345" s="42"/>
    </row>
    <row r="6346" spans="2:4" ht="16" thickBot="1" x14ac:dyDescent="0.25">
      <c r="B6346" s="4">
        <v>6341</v>
      </c>
      <c r="C6346" s="10">
        <v>329.23673059939841</v>
      </c>
      <c r="D6346" s="42"/>
    </row>
    <row r="6347" spans="2:4" ht="16" thickBot="1" x14ac:dyDescent="0.25">
      <c r="B6347" s="5">
        <v>6342</v>
      </c>
      <c r="C6347" s="11">
        <v>567.38259008272144</v>
      </c>
      <c r="D6347" s="42"/>
    </row>
    <row r="6348" spans="2:4" ht="16" thickBot="1" x14ac:dyDescent="0.25">
      <c r="B6348" s="4">
        <v>6343</v>
      </c>
      <c r="C6348" s="10">
        <v>405.88945814289127</v>
      </c>
      <c r="D6348" s="42"/>
    </row>
    <row r="6349" spans="2:4" ht="16" thickBot="1" x14ac:dyDescent="0.25">
      <c r="B6349" s="5">
        <v>6344</v>
      </c>
      <c r="C6349" s="11">
        <v>224.53406520405002</v>
      </c>
      <c r="D6349" s="42"/>
    </row>
    <row r="6350" spans="2:4" ht="16" thickBot="1" x14ac:dyDescent="0.25">
      <c r="B6350" s="4">
        <v>6345</v>
      </c>
      <c r="C6350" s="10">
        <v>349.51039595541789</v>
      </c>
      <c r="D6350" s="42"/>
    </row>
    <row r="6351" spans="2:4" ht="16" thickBot="1" x14ac:dyDescent="0.25">
      <c r="B6351" s="5">
        <v>6346</v>
      </c>
      <c r="C6351" s="11">
        <v>140.74724634804767</v>
      </c>
      <c r="D6351" s="42"/>
    </row>
    <row r="6352" spans="2:4" ht="16" thickBot="1" x14ac:dyDescent="0.25">
      <c r="B6352" s="4">
        <v>6347</v>
      </c>
      <c r="C6352" s="10">
        <v>304.64651391201755</v>
      </c>
      <c r="D6352" s="42"/>
    </row>
    <row r="6353" spans="2:4" ht="16" thickBot="1" x14ac:dyDescent="0.25">
      <c r="B6353" s="5">
        <v>6348</v>
      </c>
      <c r="C6353" s="11">
        <v>683.57718315424017</v>
      </c>
      <c r="D6353" s="42"/>
    </row>
    <row r="6354" spans="2:4" ht="16" thickBot="1" x14ac:dyDescent="0.25">
      <c r="B6354" s="4">
        <v>6349</v>
      </c>
      <c r="C6354" s="10">
        <v>66.076876112705094</v>
      </c>
      <c r="D6354" s="42"/>
    </row>
    <row r="6355" spans="2:4" ht="16" thickBot="1" x14ac:dyDescent="0.25">
      <c r="B6355" s="5">
        <v>6350</v>
      </c>
      <c r="C6355" s="11">
        <v>127.22996711321322</v>
      </c>
      <c r="D6355" s="42"/>
    </row>
    <row r="6356" spans="2:4" ht="16" thickBot="1" x14ac:dyDescent="0.25">
      <c r="B6356" s="4">
        <v>6351</v>
      </c>
      <c r="C6356" s="10">
        <v>390.74053197683838</v>
      </c>
      <c r="D6356" s="42"/>
    </row>
    <row r="6357" spans="2:4" ht="16" thickBot="1" x14ac:dyDescent="0.25">
      <c r="B6357" s="5">
        <v>6352</v>
      </c>
      <c r="C6357" s="11">
        <v>108.41992420194809</v>
      </c>
      <c r="D6357" s="42"/>
    </row>
    <row r="6358" spans="2:4" ht="16" thickBot="1" x14ac:dyDescent="0.25">
      <c r="B6358" s="4">
        <v>6353</v>
      </c>
      <c r="C6358" s="10">
        <v>444.58865333734252</v>
      </c>
      <c r="D6358" s="42"/>
    </row>
    <row r="6359" spans="2:4" ht="16" thickBot="1" x14ac:dyDescent="0.25">
      <c r="B6359" s="5">
        <v>6354</v>
      </c>
      <c r="C6359" s="11">
        <v>316.00257956311441</v>
      </c>
      <c r="D6359" s="42"/>
    </row>
    <row r="6360" spans="2:4" ht="16" thickBot="1" x14ac:dyDescent="0.25">
      <c r="B6360" s="4">
        <v>6355</v>
      </c>
      <c r="C6360" s="10">
        <v>131.5054256907402</v>
      </c>
      <c r="D6360" s="42"/>
    </row>
    <row r="6361" spans="2:4" ht="16" thickBot="1" x14ac:dyDescent="0.25">
      <c r="B6361" s="5">
        <v>6356</v>
      </c>
      <c r="C6361" s="11">
        <v>624.71068501336481</v>
      </c>
      <c r="D6361" s="42"/>
    </row>
    <row r="6362" spans="2:4" ht="16" thickBot="1" x14ac:dyDescent="0.25">
      <c r="B6362" s="4">
        <v>6357</v>
      </c>
      <c r="C6362" s="10">
        <v>103.02295301097526</v>
      </c>
      <c r="D6362" s="42"/>
    </row>
    <row r="6363" spans="2:4" ht="16" thickBot="1" x14ac:dyDescent="0.25">
      <c r="B6363" s="5">
        <v>6358</v>
      </c>
      <c r="C6363" s="11">
        <v>346.19334898212884</v>
      </c>
      <c r="D6363" s="42"/>
    </row>
    <row r="6364" spans="2:4" ht="16" thickBot="1" x14ac:dyDescent="0.25">
      <c r="B6364" s="4">
        <v>6359</v>
      </c>
      <c r="C6364" s="10">
        <v>302.64207058121946</v>
      </c>
      <c r="D6364" s="42"/>
    </row>
    <row r="6365" spans="2:4" ht="16" thickBot="1" x14ac:dyDescent="0.25">
      <c r="B6365" s="5">
        <v>6360</v>
      </c>
      <c r="C6365" s="11">
        <v>502.38240398003518</v>
      </c>
      <c r="D6365" s="42"/>
    </row>
    <row r="6366" spans="2:4" ht="16" thickBot="1" x14ac:dyDescent="0.25">
      <c r="B6366" s="4">
        <v>6361</v>
      </c>
      <c r="C6366" s="10">
        <v>132.01877415351896</v>
      </c>
      <c r="D6366" s="42"/>
    </row>
    <row r="6367" spans="2:4" ht="16" thickBot="1" x14ac:dyDescent="0.25">
      <c r="B6367" s="5">
        <v>6362</v>
      </c>
      <c r="C6367" s="11">
        <v>299.3379911492105</v>
      </c>
      <c r="D6367" s="42"/>
    </row>
    <row r="6368" spans="2:4" ht="16" thickBot="1" x14ac:dyDescent="0.25">
      <c r="B6368" s="4">
        <v>6363</v>
      </c>
      <c r="C6368" s="10">
        <v>483.60381880467912</v>
      </c>
      <c r="D6368" s="42"/>
    </row>
    <row r="6369" spans="2:4" ht="16" thickBot="1" x14ac:dyDescent="0.25">
      <c r="B6369" s="5">
        <v>6364</v>
      </c>
      <c r="C6369" s="11">
        <v>373.52271643192597</v>
      </c>
      <c r="D6369" s="42"/>
    </row>
    <row r="6370" spans="2:4" ht="16" thickBot="1" x14ac:dyDescent="0.25">
      <c r="B6370" s="4">
        <v>6365</v>
      </c>
      <c r="C6370" s="10">
        <v>90.052884034872065</v>
      </c>
      <c r="D6370" s="42"/>
    </row>
    <row r="6371" spans="2:4" ht="16" thickBot="1" x14ac:dyDescent="0.25">
      <c r="B6371" s="5">
        <v>6366</v>
      </c>
      <c r="C6371" s="11">
        <v>329.03553880522503</v>
      </c>
      <c r="D6371" s="42"/>
    </row>
    <row r="6372" spans="2:4" ht="16" thickBot="1" x14ac:dyDescent="0.25">
      <c r="B6372" s="4">
        <v>6367</v>
      </c>
      <c r="C6372" s="10">
        <v>166.78772426571101</v>
      </c>
      <c r="D6372" s="42"/>
    </row>
    <row r="6373" spans="2:4" ht="16" thickBot="1" x14ac:dyDescent="0.25">
      <c r="B6373" s="5">
        <v>6368</v>
      </c>
      <c r="C6373" s="11">
        <v>715.91439858625643</v>
      </c>
      <c r="D6373" s="42"/>
    </row>
    <row r="6374" spans="2:4" ht="16" thickBot="1" x14ac:dyDescent="0.25">
      <c r="B6374" s="4">
        <v>6369</v>
      </c>
      <c r="C6374" s="10">
        <v>232.7606989582986</v>
      </c>
      <c r="D6374" s="42"/>
    </row>
    <row r="6375" spans="2:4" ht="16" thickBot="1" x14ac:dyDescent="0.25">
      <c r="B6375" s="5">
        <v>6370</v>
      </c>
      <c r="C6375" s="11">
        <v>225.38311757551577</v>
      </c>
      <c r="D6375" s="42"/>
    </row>
    <row r="6376" spans="2:4" ht="16" thickBot="1" x14ac:dyDescent="0.25">
      <c r="B6376" s="4">
        <v>6371</v>
      </c>
      <c r="C6376" s="10">
        <v>244.49212133605215</v>
      </c>
      <c r="D6376" s="42"/>
    </row>
    <row r="6377" spans="2:4" ht="16" thickBot="1" x14ac:dyDescent="0.25">
      <c r="B6377" s="5">
        <v>6372</v>
      </c>
      <c r="C6377" s="11">
        <v>297.02716441358939</v>
      </c>
      <c r="D6377" s="42"/>
    </row>
    <row r="6378" spans="2:4" ht="16" thickBot="1" x14ac:dyDescent="0.25">
      <c r="B6378" s="4">
        <v>6373</v>
      </c>
      <c r="C6378" s="10">
        <v>402.25840902746586</v>
      </c>
      <c r="D6378" s="42"/>
    </row>
    <row r="6379" spans="2:4" ht="16" thickBot="1" x14ac:dyDescent="0.25">
      <c r="B6379" s="5">
        <v>6374</v>
      </c>
      <c r="C6379" s="11">
        <v>227.53916717910536</v>
      </c>
      <c r="D6379" s="42"/>
    </row>
    <row r="6380" spans="2:4" ht="16" thickBot="1" x14ac:dyDescent="0.25">
      <c r="B6380" s="4">
        <v>6375</v>
      </c>
      <c r="C6380" s="10">
        <v>362.28031404241551</v>
      </c>
      <c r="D6380" s="42"/>
    </row>
    <row r="6381" spans="2:4" ht="16" thickBot="1" x14ac:dyDescent="0.25">
      <c r="B6381" s="5">
        <v>6376</v>
      </c>
      <c r="C6381" s="11">
        <v>141.70681286526923</v>
      </c>
      <c r="D6381" s="42"/>
    </row>
    <row r="6382" spans="2:4" ht="16" thickBot="1" x14ac:dyDescent="0.25">
      <c r="B6382" s="4">
        <v>6377</v>
      </c>
      <c r="C6382" s="10">
        <v>300.79946825466004</v>
      </c>
      <c r="D6382" s="42"/>
    </row>
    <row r="6383" spans="2:4" ht="16" thickBot="1" x14ac:dyDescent="0.25">
      <c r="B6383" s="5">
        <v>6378</v>
      </c>
      <c r="C6383" s="11">
        <v>91.894940536095902</v>
      </c>
      <c r="D6383" s="42"/>
    </row>
    <row r="6384" spans="2:4" ht="16" thickBot="1" x14ac:dyDescent="0.25">
      <c r="B6384" s="4">
        <v>6379</v>
      </c>
      <c r="C6384" s="10">
        <v>431.59794169747295</v>
      </c>
      <c r="D6384" s="42"/>
    </row>
    <row r="6385" spans="2:4" ht="16" thickBot="1" x14ac:dyDescent="0.25">
      <c r="B6385" s="5">
        <v>6380</v>
      </c>
      <c r="C6385" s="11">
        <v>178.93744281266279</v>
      </c>
      <c r="D6385" s="42"/>
    </row>
    <row r="6386" spans="2:4" ht="16" thickBot="1" x14ac:dyDescent="0.25">
      <c r="B6386" s="4">
        <v>6381</v>
      </c>
      <c r="C6386" s="10">
        <v>90.040143663040382</v>
      </c>
      <c r="D6386" s="42"/>
    </row>
    <row r="6387" spans="2:4" ht="16" thickBot="1" x14ac:dyDescent="0.25">
      <c r="B6387" s="5">
        <v>6382</v>
      </c>
      <c r="C6387" s="11">
        <v>193.30374174232139</v>
      </c>
      <c r="D6387" s="42"/>
    </row>
    <row r="6388" spans="2:4" ht="16" thickBot="1" x14ac:dyDescent="0.25">
      <c r="B6388" s="4">
        <v>6383</v>
      </c>
      <c r="C6388" s="10">
        <v>239.03768545648512</v>
      </c>
      <c r="D6388" s="42"/>
    </row>
    <row r="6389" spans="2:4" ht="16" thickBot="1" x14ac:dyDescent="0.25">
      <c r="B6389" s="5">
        <v>6384</v>
      </c>
      <c r="C6389" s="11">
        <v>284.83936500002756</v>
      </c>
      <c r="D6389" s="42"/>
    </row>
    <row r="6390" spans="2:4" ht="16" thickBot="1" x14ac:dyDescent="0.25">
      <c r="B6390" s="4">
        <v>6385</v>
      </c>
      <c r="C6390" s="10">
        <v>119.3071263428011</v>
      </c>
      <c r="D6390" s="42"/>
    </row>
    <row r="6391" spans="2:4" ht="16" thickBot="1" x14ac:dyDescent="0.25">
      <c r="B6391" s="5">
        <v>6386</v>
      </c>
      <c r="C6391" s="11">
        <v>146.7593380711964</v>
      </c>
      <c r="D6391" s="42"/>
    </row>
    <row r="6392" spans="2:4" ht="16" thickBot="1" x14ac:dyDescent="0.25">
      <c r="B6392" s="4">
        <v>6387</v>
      </c>
      <c r="C6392" s="10">
        <v>249.78630215337688</v>
      </c>
      <c r="D6392" s="42"/>
    </row>
    <row r="6393" spans="2:4" ht="16" thickBot="1" x14ac:dyDescent="0.25">
      <c r="B6393" s="5">
        <v>6388</v>
      </c>
      <c r="C6393" s="11">
        <v>370.0948797476845</v>
      </c>
      <c r="D6393" s="42"/>
    </row>
    <row r="6394" spans="2:4" ht="16" thickBot="1" x14ac:dyDescent="0.25">
      <c r="B6394" s="4">
        <v>6389</v>
      </c>
      <c r="C6394" s="10">
        <v>171.27608360481577</v>
      </c>
      <c r="D6394" s="42"/>
    </row>
    <row r="6395" spans="2:4" ht="16" thickBot="1" x14ac:dyDescent="0.25">
      <c r="B6395" s="5">
        <v>6390</v>
      </c>
      <c r="C6395" s="11">
        <v>149.58664822528223</v>
      </c>
      <c r="D6395" s="42"/>
    </row>
    <row r="6396" spans="2:4" ht="16" thickBot="1" x14ac:dyDescent="0.25">
      <c r="B6396" s="4">
        <v>6391</v>
      </c>
      <c r="C6396" s="10">
        <v>238.37989066882162</v>
      </c>
      <c r="D6396" s="42"/>
    </row>
    <row r="6397" spans="2:4" ht="16" thickBot="1" x14ac:dyDescent="0.25">
      <c r="B6397" s="5">
        <v>6392</v>
      </c>
      <c r="C6397" s="11">
        <v>337.09539172131451</v>
      </c>
      <c r="D6397" s="42"/>
    </row>
    <row r="6398" spans="2:4" ht="16" thickBot="1" x14ac:dyDescent="0.25">
      <c r="B6398" s="4">
        <v>6393</v>
      </c>
      <c r="C6398" s="10">
        <v>280.09969928865502</v>
      </c>
      <c r="D6398" s="42"/>
    </row>
    <row r="6399" spans="2:4" ht="16" thickBot="1" x14ac:dyDescent="0.25">
      <c r="B6399" s="5">
        <v>6394</v>
      </c>
      <c r="C6399" s="11">
        <v>184.34250522873049</v>
      </c>
      <c r="D6399" s="42"/>
    </row>
    <row r="6400" spans="2:4" ht="16" thickBot="1" x14ac:dyDescent="0.25">
      <c r="B6400" s="4">
        <v>6395</v>
      </c>
      <c r="C6400" s="10">
        <v>263.70502638168153</v>
      </c>
      <c r="D6400" s="42"/>
    </row>
    <row r="6401" spans="2:4" ht="16" thickBot="1" x14ac:dyDescent="0.25">
      <c r="B6401" s="5">
        <v>6396</v>
      </c>
      <c r="C6401" s="11">
        <v>361.21496446202127</v>
      </c>
      <c r="D6401" s="42"/>
    </row>
    <row r="6402" spans="2:4" ht="16" thickBot="1" x14ac:dyDescent="0.25">
      <c r="B6402" s="4">
        <v>6397</v>
      </c>
      <c r="C6402" s="10">
        <v>580.88720451373365</v>
      </c>
      <c r="D6402" s="42"/>
    </row>
    <row r="6403" spans="2:4" ht="16" thickBot="1" x14ac:dyDescent="0.25">
      <c r="B6403" s="5">
        <v>6398</v>
      </c>
      <c r="C6403" s="11">
        <v>337.94829379551368</v>
      </c>
      <c r="D6403" s="42"/>
    </row>
    <row r="6404" spans="2:4" ht="16" thickBot="1" x14ac:dyDescent="0.25">
      <c r="B6404" s="4">
        <v>6399</v>
      </c>
      <c r="C6404" s="10">
        <v>135.665817306164</v>
      </c>
      <c r="D6404" s="42"/>
    </row>
    <row r="6405" spans="2:4" ht="16" thickBot="1" x14ac:dyDescent="0.25">
      <c r="B6405" s="5">
        <v>6400</v>
      </c>
      <c r="C6405" s="11">
        <v>445.30337022769305</v>
      </c>
      <c r="D6405" s="42"/>
    </row>
    <row r="6406" spans="2:4" ht="16" thickBot="1" x14ac:dyDescent="0.25">
      <c r="B6406" s="4">
        <v>6401</v>
      </c>
      <c r="C6406" s="10">
        <v>404.66842098017725</v>
      </c>
      <c r="D6406" s="42"/>
    </row>
    <row r="6407" spans="2:4" ht="16" thickBot="1" x14ac:dyDescent="0.25">
      <c r="B6407" s="5">
        <v>6402</v>
      </c>
      <c r="C6407" s="11">
        <v>67.136777915782673</v>
      </c>
      <c r="D6407" s="42"/>
    </row>
    <row r="6408" spans="2:4" ht="16" thickBot="1" x14ac:dyDescent="0.25">
      <c r="B6408" s="4">
        <v>6403</v>
      </c>
      <c r="C6408" s="10">
        <v>401.60909174650681</v>
      </c>
      <c r="D6408" s="42"/>
    </row>
    <row r="6409" spans="2:4" ht="16" thickBot="1" x14ac:dyDescent="0.25">
      <c r="B6409" s="5">
        <v>6404</v>
      </c>
      <c r="C6409" s="11">
        <v>272.9144157117799</v>
      </c>
      <c r="D6409" s="42"/>
    </row>
    <row r="6410" spans="2:4" ht="16" thickBot="1" x14ac:dyDescent="0.25">
      <c r="B6410" s="4">
        <v>6405</v>
      </c>
      <c r="C6410" s="10">
        <v>171.95527398089664</v>
      </c>
      <c r="D6410" s="42"/>
    </row>
    <row r="6411" spans="2:4" ht="16" thickBot="1" x14ac:dyDescent="0.25">
      <c r="B6411" s="5">
        <v>6406</v>
      </c>
      <c r="C6411" s="11">
        <v>204.05416336526068</v>
      </c>
      <c r="D6411" s="42"/>
    </row>
    <row r="6412" spans="2:4" ht="16" thickBot="1" x14ac:dyDescent="0.25">
      <c r="B6412" s="4">
        <v>6407</v>
      </c>
      <c r="C6412" s="10">
        <v>95.453895695677218</v>
      </c>
      <c r="D6412" s="42"/>
    </row>
    <row r="6413" spans="2:4" ht="16" thickBot="1" x14ac:dyDescent="0.25">
      <c r="B6413" s="5">
        <v>6408</v>
      </c>
      <c r="C6413" s="11">
        <v>109.53177941978694</v>
      </c>
      <c r="D6413" s="42"/>
    </row>
    <row r="6414" spans="2:4" ht="16" thickBot="1" x14ac:dyDescent="0.25">
      <c r="B6414" s="4">
        <v>6409</v>
      </c>
      <c r="C6414" s="10">
        <v>355.85686666149383</v>
      </c>
      <c r="D6414" s="42"/>
    </row>
    <row r="6415" spans="2:4" ht="16" thickBot="1" x14ac:dyDescent="0.25">
      <c r="B6415" s="5">
        <v>6410</v>
      </c>
      <c r="C6415" s="11">
        <v>332.86142779531326</v>
      </c>
      <c r="D6415" s="42"/>
    </row>
    <row r="6416" spans="2:4" ht="16" thickBot="1" x14ac:dyDescent="0.25">
      <c r="B6416" s="4">
        <v>6411</v>
      </c>
      <c r="C6416" s="10">
        <v>110.45017673236477</v>
      </c>
      <c r="D6416" s="42"/>
    </row>
    <row r="6417" spans="2:4" ht="16" thickBot="1" x14ac:dyDescent="0.25">
      <c r="B6417" s="5">
        <v>6412</v>
      </c>
      <c r="C6417" s="11">
        <v>697.01300453607701</v>
      </c>
      <c r="D6417" s="42"/>
    </row>
    <row r="6418" spans="2:4" ht="16" thickBot="1" x14ac:dyDescent="0.25">
      <c r="B6418" s="4">
        <v>6413</v>
      </c>
      <c r="C6418" s="10">
        <v>114.30682055389451</v>
      </c>
      <c r="D6418" s="42"/>
    </row>
    <row r="6419" spans="2:4" ht="16" thickBot="1" x14ac:dyDescent="0.25">
      <c r="B6419" s="5">
        <v>6414</v>
      </c>
      <c r="C6419" s="11">
        <v>212.41922218322205</v>
      </c>
      <c r="D6419" s="42"/>
    </row>
    <row r="6420" spans="2:4" ht="16" thickBot="1" x14ac:dyDescent="0.25">
      <c r="B6420" s="4">
        <v>6415</v>
      </c>
      <c r="C6420" s="10">
        <v>346.91583078298322</v>
      </c>
      <c r="D6420" s="42"/>
    </row>
    <row r="6421" spans="2:4" ht="16" thickBot="1" x14ac:dyDescent="0.25">
      <c r="B6421" s="5">
        <v>6416</v>
      </c>
      <c r="C6421" s="11">
        <v>122.37495446260463</v>
      </c>
      <c r="D6421" s="42"/>
    </row>
    <row r="6422" spans="2:4" ht="16" thickBot="1" x14ac:dyDescent="0.25">
      <c r="B6422" s="4">
        <v>6417</v>
      </c>
      <c r="C6422" s="10">
        <v>333.1685140084636</v>
      </c>
      <c r="D6422" s="42"/>
    </row>
    <row r="6423" spans="2:4" ht="16" thickBot="1" x14ac:dyDescent="0.25">
      <c r="B6423" s="5">
        <v>6418</v>
      </c>
      <c r="C6423" s="11">
        <v>184.77967890367378</v>
      </c>
      <c r="D6423" s="42"/>
    </row>
    <row r="6424" spans="2:4" ht="16" thickBot="1" x14ac:dyDescent="0.25">
      <c r="B6424" s="4">
        <v>6419</v>
      </c>
      <c r="C6424" s="10">
        <v>42.697521195748195</v>
      </c>
      <c r="D6424" s="42"/>
    </row>
    <row r="6425" spans="2:4" ht="16" thickBot="1" x14ac:dyDescent="0.25">
      <c r="B6425" s="5">
        <v>6420</v>
      </c>
      <c r="C6425" s="11">
        <v>47.437731175289485</v>
      </c>
      <c r="D6425" s="42"/>
    </row>
    <row r="6426" spans="2:4" ht="16" thickBot="1" x14ac:dyDescent="0.25">
      <c r="B6426" s="4">
        <v>6421</v>
      </c>
      <c r="C6426" s="10">
        <v>224.57163660601154</v>
      </c>
      <c r="D6426" s="42"/>
    </row>
    <row r="6427" spans="2:4" ht="16" thickBot="1" x14ac:dyDescent="0.25">
      <c r="B6427" s="5">
        <v>6422</v>
      </c>
      <c r="C6427" s="11">
        <v>120.61422966501223</v>
      </c>
      <c r="D6427" s="42"/>
    </row>
    <row r="6428" spans="2:4" ht="16" thickBot="1" x14ac:dyDescent="0.25">
      <c r="B6428" s="4">
        <v>6423</v>
      </c>
      <c r="C6428" s="10">
        <v>128.76711652693453</v>
      </c>
      <c r="D6428" s="42"/>
    </row>
    <row r="6429" spans="2:4" ht="16" thickBot="1" x14ac:dyDescent="0.25">
      <c r="B6429" s="5">
        <v>6424</v>
      </c>
      <c r="C6429" s="11">
        <v>577.38847591391789</v>
      </c>
      <c r="D6429" s="42"/>
    </row>
    <row r="6430" spans="2:4" ht="16" thickBot="1" x14ac:dyDescent="0.25">
      <c r="B6430" s="4">
        <v>6425</v>
      </c>
      <c r="C6430" s="10">
        <v>247.96249652350974</v>
      </c>
      <c r="D6430" s="42"/>
    </row>
    <row r="6431" spans="2:4" ht="16" thickBot="1" x14ac:dyDescent="0.25">
      <c r="B6431" s="5">
        <v>6426</v>
      </c>
      <c r="C6431" s="11">
        <v>200.61902379385575</v>
      </c>
      <c r="D6431" s="42"/>
    </row>
    <row r="6432" spans="2:4" ht="16" thickBot="1" x14ac:dyDescent="0.25">
      <c r="B6432" s="4">
        <v>6427</v>
      </c>
      <c r="C6432" s="10">
        <v>386.91285575712232</v>
      </c>
      <c r="D6432" s="42"/>
    </row>
    <row r="6433" spans="2:4" ht="16" thickBot="1" x14ac:dyDescent="0.25">
      <c r="B6433" s="5">
        <v>6428</v>
      </c>
      <c r="C6433" s="11">
        <v>403.78902836198625</v>
      </c>
      <c r="D6433" s="42"/>
    </row>
    <row r="6434" spans="2:4" ht="16" thickBot="1" x14ac:dyDescent="0.25">
      <c r="B6434" s="4">
        <v>6429</v>
      </c>
      <c r="C6434" s="10">
        <v>176.79116519721674</v>
      </c>
      <c r="D6434" s="42"/>
    </row>
    <row r="6435" spans="2:4" ht="16" thickBot="1" x14ac:dyDescent="0.25">
      <c r="B6435" s="5">
        <v>6430</v>
      </c>
      <c r="C6435" s="11">
        <v>545.24196848296754</v>
      </c>
      <c r="D6435" s="42"/>
    </row>
    <row r="6436" spans="2:4" ht="16" thickBot="1" x14ac:dyDescent="0.25">
      <c r="B6436" s="4">
        <v>6431</v>
      </c>
      <c r="C6436" s="10">
        <v>210.10233691166812</v>
      </c>
      <c r="D6436" s="42"/>
    </row>
    <row r="6437" spans="2:4" ht="16" thickBot="1" x14ac:dyDescent="0.25">
      <c r="B6437" s="5">
        <v>6432</v>
      </c>
      <c r="C6437" s="11">
        <v>263.20271875851739</v>
      </c>
      <c r="D6437" s="42"/>
    </row>
    <row r="6438" spans="2:4" ht="16" thickBot="1" x14ac:dyDescent="0.25">
      <c r="B6438" s="4">
        <v>6433</v>
      </c>
      <c r="C6438" s="10">
        <v>307.90492628918452</v>
      </c>
      <c r="D6438" s="42"/>
    </row>
    <row r="6439" spans="2:4" ht="16" thickBot="1" x14ac:dyDescent="0.25">
      <c r="B6439" s="5">
        <v>6434</v>
      </c>
      <c r="C6439" s="11">
        <v>515.1083223380349</v>
      </c>
      <c r="D6439" s="42"/>
    </row>
    <row r="6440" spans="2:4" ht="16" thickBot="1" x14ac:dyDescent="0.25">
      <c r="B6440" s="4">
        <v>6435</v>
      </c>
      <c r="C6440" s="10">
        <v>199.09896168742895</v>
      </c>
      <c r="D6440" s="42"/>
    </row>
    <row r="6441" spans="2:4" ht="16" thickBot="1" x14ac:dyDescent="0.25">
      <c r="B6441" s="5">
        <v>6436</v>
      </c>
      <c r="C6441" s="11">
        <v>198.43056666738443</v>
      </c>
      <c r="D6441" s="42"/>
    </row>
    <row r="6442" spans="2:4" ht="16" thickBot="1" x14ac:dyDescent="0.25">
      <c r="B6442" s="4">
        <v>6437</v>
      </c>
      <c r="C6442" s="10">
        <v>394.96537774774379</v>
      </c>
      <c r="D6442" s="42"/>
    </row>
    <row r="6443" spans="2:4" ht="16" thickBot="1" x14ac:dyDescent="0.25">
      <c r="B6443" s="5">
        <v>6438</v>
      </c>
      <c r="C6443" s="11">
        <v>426.87629503330663</v>
      </c>
      <c r="D6443" s="42"/>
    </row>
    <row r="6444" spans="2:4" ht="16" thickBot="1" x14ac:dyDescent="0.25">
      <c r="B6444" s="4">
        <v>6439</v>
      </c>
      <c r="C6444" s="10">
        <v>189.5353856643319</v>
      </c>
      <c r="D6444" s="42"/>
    </row>
    <row r="6445" spans="2:4" ht="16" thickBot="1" x14ac:dyDescent="0.25">
      <c r="B6445" s="5">
        <v>6440</v>
      </c>
      <c r="C6445" s="11">
        <v>410.98565100334048</v>
      </c>
      <c r="D6445" s="42"/>
    </row>
    <row r="6446" spans="2:4" ht="16" thickBot="1" x14ac:dyDescent="0.25">
      <c r="B6446" s="4">
        <v>6441</v>
      </c>
      <c r="C6446" s="10">
        <v>121.89595566265263</v>
      </c>
      <c r="D6446" s="42"/>
    </row>
    <row r="6447" spans="2:4" ht="16" thickBot="1" x14ac:dyDescent="0.25">
      <c r="B6447" s="5">
        <v>6442</v>
      </c>
      <c r="C6447" s="11">
        <v>311.5001044387464</v>
      </c>
      <c r="D6447" s="42"/>
    </row>
    <row r="6448" spans="2:4" ht="16" thickBot="1" x14ac:dyDescent="0.25">
      <c r="B6448" s="4">
        <v>6443</v>
      </c>
      <c r="C6448" s="10">
        <v>214.70698864004561</v>
      </c>
      <c r="D6448" s="42"/>
    </row>
    <row r="6449" spans="2:4" ht="16" thickBot="1" x14ac:dyDescent="0.25">
      <c r="B6449" s="5">
        <v>6444</v>
      </c>
      <c r="C6449" s="11">
        <v>295.25528996994746</v>
      </c>
      <c r="D6449" s="42"/>
    </row>
    <row r="6450" spans="2:4" ht="16" thickBot="1" x14ac:dyDescent="0.25">
      <c r="B6450" s="4">
        <v>6445</v>
      </c>
      <c r="C6450" s="10">
        <v>267.21128230531059</v>
      </c>
      <c r="D6450" s="42"/>
    </row>
    <row r="6451" spans="2:4" ht="16" thickBot="1" x14ac:dyDescent="0.25">
      <c r="B6451" s="5">
        <v>6446</v>
      </c>
      <c r="C6451" s="11">
        <v>137.78109447065296</v>
      </c>
      <c r="D6451" s="42"/>
    </row>
    <row r="6452" spans="2:4" ht="16" thickBot="1" x14ac:dyDescent="0.25">
      <c r="B6452" s="4">
        <v>6447</v>
      </c>
      <c r="C6452" s="10">
        <v>97.679237838018551</v>
      </c>
      <c r="D6452" s="42"/>
    </row>
    <row r="6453" spans="2:4" ht="16" thickBot="1" x14ac:dyDescent="0.25">
      <c r="B6453" s="5">
        <v>6448</v>
      </c>
      <c r="C6453" s="11">
        <v>317.86645675580195</v>
      </c>
      <c r="D6453" s="42"/>
    </row>
    <row r="6454" spans="2:4" ht="16" thickBot="1" x14ac:dyDescent="0.25">
      <c r="B6454" s="4">
        <v>6449</v>
      </c>
      <c r="C6454" s="10">
        <v>174.88719794740575</v>
      </c>
      <c r="D6454" s="42"/>
    </row>
    <row r="6455" spans="2:4" ht="16" thickBot="1" x14ac:dyDescent="0.25">
      <c r="B6455" s="5">
        <v>6450</v>
      </c>
      <c r="C6455" s="11">
        <v>417.61598172320549</v>
      </c>
      <c r="D6455" s="42"/>
    </row>
    <row r="6456" spans="2:4" ht="16" thickBot="1" x14ac:dyDescent="0.25">
      <c r="B6456" s="4">
        <v>6451</v>
      </c>
      <c r="C6456" s="10">
        <v>238.93633875618823</v>
      </c>
      <c r="D6456" s="42"/>
    </row>
    <row r="6457" spans="2:4" ht="16" thickBot="1" x14ac:dyDescent="0.25">
      <c r="B6457" s="5">
        <v>6452</v>
      </c>
      <c r="C6457" s="11">
        <v>245.1380985500605</v>
      </c>
      <c r="D6457" s="42"/>
    </row>
    <row r="6458" spans="2:4" ht="16" thickBot="1" x14ac:dyDescent="0.25">
      <c r="B6458" s="4">
        <v>6453</v>
      </c>
      <c r="C6458" s="10">
        <v>216.62422640737424</v>
      </c>
      <c r="D6458" s="42"/>
    </row>
    <row r="6459" spans="2:4" ht="16" thickBot="1" x14ac:dyDescent="0.25">
      <c r="B6459" s="5">
        <v>6454</v>
      </c>
      <c r="C6459" s="11">
        <v>275.12776603644471</v>
      </c>
      <c r="D6459" s="42"/>
    </row>
    <row r="6460" spans="2:4" ht="16" thickBot="1" x14ac:dyDescent="0.25">
      <c r="B6460" s="4">
        <v>6455</v>
      </c>
      <c r="C6460" s="10">
        <v>157.47524878295778</v>
      </c>
      <c r="D6460" s="42"/>
    </row>
    <row r="6461" spans="2:4" ht="16" thickBot="1" x14ac:dyDescent="0.25">
      <c r="B6461" s="5">
        <v>6456</v>
      </c>
      <c r="C6461" s="11">
        <v>551.05903786745864</v>
      </c>
      <c r="D6461" s="42"/>
    </row>
    <row r="6462" spans="2:4" ht="16" thickBot="1" x14ac:dyDescent="0.25">
      <c r="B6462" s="4">
        <v>6457</v>
      </c>
      <c r="C6462" s="10">
        <v>92.69646734403635</v>
      </c>
      <c r="D6462" s="42"/>
    </row>
    <row r="6463" spans="2:4" ht="16" thickBot="1" x14ac:dyDescent="0.25">
      <c r="B6463" s="5">
        <v>6458</v>
      </c>
      <c r="C6463" s="11">
        <v>143.30013487861061</v>
      </c>
      <c r="D6463" s="42"/>
    </row>
    <row r="6464" spans="2:4" ht="16" thickBot="1" x14ac:dyDescent="0.25">
      <c r="B6464" s="4">
        <v>6459</v>
      </c>
      <c r="C6464" s="10">
        <v>280.21525782057211</v>
      </c>
      <c r="D6464" s="42"/>
    </row>
    <row r="6465" spans="2:4" ht="16" thickBot="1" x14ac:dyDescent="0.25">
      <c r="B6465" s="5">
        <v>6460</v>
      </c>
      <c r="C6465" s="11">
        <v>531.18777258300054</v>
      </c>
      <c r="D6465" s="42"/>
    </row>
    <row r="6466" spans="2:4" ht="16" thickBot="1" x14ac:dyDescent="0.25">
      <c r="B6466" s="4">
        <v>6461</v>
      </c>
      <c r="C6466" s="10">
        <v>290.61132606419199</v>
      </c>
      <c r="D6466" s="42"/>
    </row>
    <row r="6467" spans="2:4" ht="16" thickBot="1" x14ac:dyDescent="0.25">
      <c r="B6467" s="5">
        <v>6462</v>
      </c>
      <c r="C6467" s="11">
        <v>96.446600137249817</v>
      </c>
      <c r="D6467" s="42"/>
    </row>
    <row r="6468" spans="2:4" ht="16" thickBot="1" x14ac:dyDescent="0.25">
      <c r="B6468" s="4">
        <v>6463</v>
      </c>
      <c r="C6468" s="10">
        <v>140.55455953940142</v>
      </c>
      <c r="D6468" s="42"/>
    </row>
    <row r="6469" spans="2:4" ht="16" thickBot="1" x14ac:dyDescent="0.25">
      <c r="B6469" s="5">
        <v>6464</v>
      </c>
      <c r="C6469" s="11">
        <v>280.09553470256679</v>
      </c>
      <c r="D6469" s="42"/>
    </row>
    <row r="6470" spans="2:4" ht="16" thickBot="1" x14ac:dyDescent="0.25">
      <c r="B6470" s="4">
        <v>6465</v>
      </c>
      <c r="C6470" s="10">
        <v>47.009441493508952</v>
      </c>
      <c r="D6470" s="42"/>
    </row>
    <row r="6471" spans="2:4" ht="16" thickBot="1" x14ac:dyDescent="0.25">
      <c r="B6471" s="5">
        <v>6466</v>
      </c>
      <c r="C6471" s="11">
        <v>173.99894902005934</v>
      </c>
      <c r="D6471" s="42"/>
    </row>
    <row r="6472" spans="2:4" ht="16" thickBot="1" x14ac:dyDescent="0.25">
      <c r="B6472" s="4">
        <v>6467</v>
      </c>
      <c r="C6472" s="10">
        <v>331.49042904032137</v>
      </c>
      <c r="D6472" s="42"/>
    </row>
    <row r="6473" spans="2:4" ht="16" thickBot="1" x14ac:dyDescent="0.25">
      <c r="B6473" s="5">
        <v>6468</v>
      </c>
      <c r="C6473" s="11">
        <v>464.19455528295953</v>
      </c>
      <c r="D6473" s="42"/>
    </row>
    <row r="6474" spans="2:4" ht="16" thickBot="1" x14ac:dyDescent="0.25">
      <c r="B6474" s="4">
        <v>6469</v>
      </c>
      <c r="C6474" s="10">
        <v>173.21364491614673</v>
      </c>
      <c r="D6474" s="42"/>
    </row>
    <row r="6475" spans="2:4" ht="16" thickBot="1" x14ac:dyDescent="0.25">
      <c r="B6475" s="5">
        <v>6470</v>
      </c>
      <c r="C6475" s="11">
        <v>135.46701645592881</v>
      </c>
      <c r="D6475" s="42"/>
    </row>
    <row r="6476" spans="2:4" ht="16" thickBot="1" x14ac:dyDescent="0.25">
      <c r="B6476" s="4">
        <v>6471</v>
      </c>
      <c r="C6476" s="10">
        <v>202.10300289141693</v>
      </c>
      <c r="D6476" s="42"/>
    </row>
    <row r="6477" spans="2:4" ht="16" thickBot="1" x14ac:dyDescent="0.25">
      <c r="B6477" s="5">
        <v>6472</v>
      </c>
      <c r="C6477" s="11">
        <v>189.81820846389303</v>
      </c>
      <c r="D6477" s="42"/>
    </row>
    <row r="6478" spans="2:4" ht="16" thickBot="1" x14ac:dyDescent="0.25">
      <c r="B6478" s="4">
        <v>6473</v>
      </c>
      <c r="C6478" s="10">
        <v>286.4095192281024</v>
      </c>
      <c r="D6478" s="42"/>
    </row>
    <row r="6479" spans="2:4" ht="16" thickBot="1" x14ac:dyDescent="0.25">
      <c r="B6479" s="5">
        <v>6474</v>
      </c>
      <c r="C6479" s="11">
        <v>126.04181262148487</v>
      </c>
      <c r="D6479" s="42"/>
    </row>
    <row r="6480" spans="2:4" ht="16" thickBot="1" x14ac:dyDescent="0.25">
      <c r="B6480" s="4">
        <v>6475</v>
      </c>
      <c r="C6480" s="10">
        <v>414.92176431666331</v>
      </c>
      <c r="D6480" s="42"/>
    </row>
    <row r="6481" spans="2:4" ht="16" thickBot="1" x14ac:dyDescent="0.25">
      <c r="B6481" s="5">
        <v>6476</v>
      </c>
      <c r="C6481" s="11">
        <v>318.36993499040398</v>
      </c>
      <c r="D6481" s="42"/>
    </row>
    <row r="6482" spans="2:4" ht="16" thickBot="1" x14ac:dyDescent="0.25">
      <c r="B6482" s="4">
        <v>6477</v>
      </c>
      <c r="C6482" s="10">
        <v>394.41732886368339</v>
      </c>
      <c r="D6482" s="42"/>
    </row>
    <row r="6483" spans="2:4" ht="16" thickBot="1" x14ac:dyDescent="0.25">
      <c r="B6483" s="5">
        <v>6478</v>
      </c>
      <c r="C6483" s="11">
        <v>418.61918829010114</v>
      </c>
      <c r="D6483" s="42"/>
    </row>
    <row r="6484" spans="2:4" ht="16" thickBot="1" x14ac:dyDescent="0.25">
      <c r="B6484" s="4">
        <v>6479</v>
      </c>
      <c r="C6484" s="10">
        <v>317.97877381625523</v>
      </c>
      <c r="D6484" s="42"/>
    </row>
    <row r="6485" spans="2:4" ht="16" thickBot="1" x14ac:dyDescent="0.25">
      <c r="B6485" s="5">
        <v>6480</v>
      </c>
      <c r="C6485" s="11">
        <v>353.42546328536838</v>
      </c>
      <c r="D6485" s="42"/>
    </row>
    <row r="6486" spans="2:4" ht="16" thickBot="1" x14ac:dyDescent="0.25">
      <c r="B6486" s="4">
        <v>6481</v>
      </c>
      <c r="C6486" s="10">
        <v>178.86827776685604</v>
      </c>
      <c r="D6486" s="42"/>
    </row>
    <row r="6487" spans="2:4" ht="16" thickBot="1" x14ac:dyDescent="0.25">
      <c r="B6487" s="5">
        <v>6482</v>
      </c>
      <c r="C6487" s="11">
        <v>235.70953456551567</v>
      </c>
      <c r="D6487" s="42"/>
    </row>
    <row r="6488" spans="2:4" ht="16" thickBot="1" x14ac:dyDescent="0.25">
      <c r="B6488" s="4">
        <v>6483</v>
      </c>
      <c r="C6488" s="10">
        <v>42.039769608232291</v>
      </c>
      <c r="D6488" s="42"/>
    </row>
    <row r="6489" spans="2:4" ht="16" thickBot="1" x14ac:dyDescent="0.25">
      <c r="B6489" s="5">
        <v>6484</v>
      </c>
      <c r="C6489" s="11">
        <v>174.59480145272082</v>
      </c>
      <c r="D6489" s="42"/>
    </row>
    <row r="6490" spans="2:4" ht="16" thickBot="1" x14ac:dyDescent="0.25">
      <c r="B6490" s="4">
        <v>6485</v>
      </c>
      <c r="C6490" s="10">
        <v>168.88617975438913</v>
      </c>
      <c r="D6490" s="42"/>
    </row>
    <row r="6491" spans="2:4" ht="16" thickBot="1" x14ac:dyDescent="0.25">
      <c r="B6491" s="5">
        <v>6486</v>
      </c>
      <c r="C6491" s="11">
        <v>317.89421279702702</v>
      </c>
      <c r="D6491" s="42"/>
    </row>
    <row r="6492" spans="2:4" ht="16" thickBot="1" x14ac:dyDescent="0.25">
      <c r="B6492" s="4">
        <v>6487</v>
      </c>
      <c r="C6492" s="10">
        <v>98.883867973847259</v>
      </c>
      <c r="D6492" s="42"/>
    </row>
    <row r="6493" spans="2:4" ht="16" thickBot="1" x14ac:dyDescent="0.25">
      <c r="B6493" s="5">
        <v>6488</v>
      </c>
      <c r="C6493" s="11">
        <v>106.01055129092217</v>
      </c>
      <c r="D6493" s="42"/>
    </row>
    <row r="6494" spans="2:4" ht="16" thickBot="1" x14ac:dyDescent="0.25">
      <c r="B6494" s="4">
        <v>6489</v>
      </c>
      <c r="C6494" s="10">
        <v>329.07976021680616</v>
      </c>
      <c r="D6494" s="42"/>
    </row>
    <row r="6495" spans="2:4" ht="16" thickBot="1" x14ac:dyDescent="0.25">
      <c r="B6495" s="5">
        <v>6490</v>
      </c>
      <c r="C6495" s="11">
        <v>87.81076275553481</v>
      </c>
      <c r="D6495" s="42"/>
    </row>
    <row r="6496" spans="2:4" ht="16" thickBot="1" x14ac:dyDescent="0.25">
      <c r="B6496" s="4">
        <v>6491</v>
      </c>
      <c r="C6496" s="10">
        <v>511.99339098199721</v>
      </c>
      <c r="D6496" s="42"/>
    </row>
    <row r="6497" spans="2:4" ht="16" thickBot="1" x14ac:dyDescent="0.25">
      <c r="B6497" s="5">
        <v>6492</v>
      </c>
      <c r="C6497" s="11">
        <v>310.96957191127893</v>
      </c>
      <c r="D6497" s="42"/>
    </row>
    <row r="6498" spans="2:4" ht="16" thickBot="1" x14ac:dyDescent="0.25">
      <c r="B6498" s="4">
        <v>6493</v>
      </c>
      <c r="C6498" s="10">
        <v>370.16692450159161</v>
      </c>
      <c r="D6498" s="42"/>
    </row>
    <row r="6499" spans="2:4" ht="16" thickBot="1" x14ac:dyDescent="0.25">
      <c r="B6499" s="5">
        <v>6494</v>
      </c>
      <c r="C6499" s="11">
        <v>276.47488132522517</v>
      </c>
      <c r="D6499" s="42"/>
    </row>
    <row r="6500" spans="2:4" ht="16" thickBot="1" x14ac:dyDescent="0.25">
      <c r="B6500" s="4">
        <v>6495</v>
      </c>
      <c r="C6500" s="10">
        <v>172.06178938634281</v>
      </c>
      <c r="D6500" s="42"/>
    </row>
    <row r="6501" spans="2:4" ht="16" thickBot="1" x14ac:dyDescent="0.25">
      <c r="B6501" s="5">
        <v>6496</v>
      </c>
      <c r="C6501" s="11">
        <v>271.61016926042305</v>
      </c>
      <c r="D6501" s="42"/>
    </row>
    <row r="6502" spans="2:4" ht="16" thickBot="1" x14ac:dyDescent="0.25">
      <c r="B6502" s="4">
        <v>6497</v>
      </c>
      <c r="C6502" s="10">
        <v>98.512407535212461</v>
      </c>
      <c r="D6502" s="42"/>
    </row>
    <row r="6503" spans="2:4" ht="16" thickBot="1" x14ac:dyDescent="0.25">
      <c r="B6503" s="5">
        <v>6498</v>
      </c>
      <c r="C6503" s="11">
        <v>89.670478467679004</v>
      </c>
      <c r="D6503" s="42"/>
    </row>
    <row r="6504" spans="2:4" ht="16" thickBot="1" x14ac:dyDescent="0.25">
      <c r="B6504" s="4">
        <v>6499</v>
      </c>
      <c r="C6504" s="10">
        <v>267.40046188967688</v>
      </c>
      <c r="D6504" s="42"/>
    </row>
    <row r="6505" spans="2:4" ht="16" thickBot="1" x14ac:dyDescent="0.25">
      <c r="B6505" s="5">
        <v>6500</v>
      </c>
      <c r="C6505" s="11">
        <v>65.705976912587431</v>
      </c>
      <c r="D6505" s="42"/>
    </row>
    <row r="6506" spans="2:4" ht="16" thickBot="1" x14ac:dyDescent="0.25">
      <c r="B6506" s="4">
        <v>6501</v>
      </c>
      <c r="C6506" s="10">
        <v>190.6858434340586</v>
      </c>
      <c r="D6506" s="42"/>
    </row>
    <row r="6507" spans="2:4" ht="16" thickBot="1" x14ac:dyDescent="0.25">
      <c r="B6507" s="5">
        <v>6502</v>
      </c>
      <c r="C6507" s="11">
        <v>298.22829044102525</v>
      </c>
      <c r="D6507" s="42"/>
    </row>
    <row r="6508" spans="2:4" ht="16" thickBot="1" x14ac:dyDescent="0.25">
      <c r="B6508" s="4">
        <v>6503</v>
      </c>
      <c r="C6508" s="10">
        <v>185.00557824639827</v>
      </c>
      <c r="D6508" s="42"/>
    </row>
    <row r="6509" spans="2:4" ht="16" thickBot="1" x14ac:dyDescent="0.25">
      <c r="B6509" s="5">
        <v>6504</v>
      </c>
      <c r="C6509" s="11">
        <v>285.95300259566505</v>
      </c>
      <c r="D6509" s="42"/>
    </row>
    <row r="6510" spans="2:4" ht="16" thickBot="1" x14ac:dyDescent="0.25">
      <c r="B6510" s="4">
        <v>6505</v>
      </c>
      <c r="C6510" s="10">
        <v>67.793556918130946</v>
      </c>
      <c r="D6510" s="42"/>
    </row>
    <row r="6511" spans="2:4" ht="16" thickBot="1" x14ac:dyDescent="0.25">
      <c r="B6511" s="5">
        <v>6506</v>
      </c>
      <c r="C6511" s="11">
        <v>241.21355673631712</v>
      </c>
      <c r="D6511" s="42"/>
    </row>
    <row r="6512" spans="2:4" ht="16" thickBot="1" x14ac:dyDescent="0.25">
      <c r="B6512" s="4">
        <v>6507</v>
      </c>
      <c r="C6512" s="10">
        <v>90.146439651991074</v>
      </c>
      <c r="D6512" s="42"/>
    </row>
    <row r="6513" spans="2:4" ht="16" thickBot="1" x14ac:dyDescent="0.25">
      <c r="B6513" s="5">
        <v>6508</v>
      </c>
      <c r="C6513" s="11">
        <v>431.26472853345126</v>
      </c>
      <c r="D6513" s="42"/>
    </row>
    <row r="6514" spans="2:4" ht="16" thickBot="1" x14ac:dyDescent="0.25">
      <c r="B6514" s="4">
        <v>6509</v>
      </c>
      <c r="C6514" s="10">
        <v>358.19476577194843</v>
      </c>
      <c r="D6514" s="42"/>
    </row>
    <row r="6515" spans="2:4" ht="16" thickBot="1" x14ac:dyDescent="0.25">
      <c r="B6515" s="5">
        <v>6510</v>
      </c>
      <c r="C6515" s="11">
        <v>229.11779813677825</v>
      </c>
      <c r="D6515" s="42"/>
    </row>
    <row r="6516" spans="2:4" ht="16" thickBot="1" x14ac:dyDescent="0.25">
      <c r="B6516" s="4">
        <v>6511</v>
      </c>
      <c r="C6516" s="10">
        <v>33.041449433050431</v>
      </c>
      <c r="D6516" s="42"/>
    </row>
    <row r="6517" spans="2:4" ht="16" thickBot="1" x14ac:dyDescent="0.25">
      <c r="B6517" s="5">
        <v>6512</v>
      </c>
      <c r="C6517" s="11">
        <v>463.64344726815085</v>
      </c>
      <c r="D6517" s="42"/>
    </row>
    <row r="6518" spans="2:4" ht="16" thickBot="1" x14ac:dyDescent="0.25">
      <c r="B6518" s="4">
        <v>6513</v>
      </c>
      <c r="C6518" s="10">
        <v>268.55580464487167</v>
      </c>
      <c r="D6518" s="42"/>
    </row>
    <row r="6519" spans="2:4" ht="16" thickBot="1" x14ac:dyDescent="0.25">
      <c r="B6519" s="5">
        <v>6514</v>
      </c>
      <c r="C6519" s="11">
        <v>140.46409965617087</v>
      </c>
      <c r="D6519" s="42"/>
    </row>
    <row r="6520" spans="2:4" ht="16" thickBot="1" x14ac:dyDescent="0.25">
      <c r="B6520" s="4">
        <v>6515</v>
      </c>
      <c r="C6520" s="10">
        <v>281.94508671536067</v>
      </c>
      <c r="D6520" s="42"/>
    </row>
    <row r="6521" spans="2:4" ht="16" thickBot="1" x14ac:dyDescent="0.25">
      <c r="B6521" s="5">
        <v>6516</v>
      </c>
      <c r="C6521" s="11">
        <v>324.55281581717969</v>
      </c>
      <c r="D6521" s="42"/>
    </row>
    <row r="6522" spans="2:4" ht="16" thickBot="1" x14ac:dyDescent="0.25">
      <c r="B6522" s="4">
        <v>6517</v>
      </c>
      <c r="C6522" s="10">
        <v>220.81887839994749</v>
      </c>
      <c r="D6522" s="42"/>
    </row>
    <row r="6523" spans="2:4" ht="16" thickBot="1" x14ac:dyDescent="0.25">
      <c r="B6523" s="5">
        <v>6518</v>
      </c>
      <c r="C6523" s="11">
        <v>77.783037477390877</v>
      </c>
      <c r="D6523" s="42"/>
    </row>
    <row r="6524" spans="2:4" ht="16" thickBot="1" x14ac:dyDescent="0.25">
      <c r="B6524" s="4">
        <v>6519</v>
      </c>
      <c r="C6524" s="10">
        <v>403.52161666314828</v>
      </c>
      <c r="D6524" s="42"/>
    </row>
    <row r="6525" spans="2:4" ht="16" thickBot="1" x14ac:dyDescent="0.25">
      <c r="B6525" s="5">
        <v>6520</v>
      </c>
      <c r="C6525" s="11">
        <v>444.15641594339036</v>
      </c>
      <c r="D6525" s="42"/>
    </row>
    <row r="6526" spans="2:4" ht="16" thickBot="1" x14ac:dyDescent="0.25">
      <c r="B6526" s="4">
        <v>6521</v>
      </c>
      <c r="C6526" s="10">
        <v>344.71654692132302</v>
      </c>
      <c r="D6526" s="42"/>
    </row>
    <row r="6527" spans="2:4" ht="16" thickBot="1" x14ac:dyDescent="0.25">
      <c r="B6527" s="5">
        <v>6522</v>
      </c>
      <c r="C6527" s="11">
        <v>49.045676228283178</v>
      </c>
      <c r="D6527" s="42"/>
    </row>
    <row r="6528" spans="2:4" ht="16" thickBot="1" x14ac:dyDescent="0.25">
      <c r="B6528" s="4">
        <v>6523</v>
      </c>
      <c r="C6528" s="10">
        <v>145.86431895558033</v>
      </c>
      <c r="D6528" s="42"/>
    </row>
    <row r="6529" spans="2:4" ht="16" thickBot="1" x14ac:dyDescent="0.25">
      <c r="B6529" s="5">
        <v>6524</v>
      </c>
      <c r="C6529" s="11">
        <v>51.557851311588017</v>
      </c>
      <c r="D6529" s="42"/>
    </row>
    <row r="6530" spans="2:4" ht="16" thickBot="1" x14ac:dyDescent="0.25">
      <c r="B6530" s="4">
        <v>6525</v>
      </c>
      <c r="C6530" s="10">
        <v>168.0047183669044</v>
      </c>
      <c r="D6530" s="42"/>
    </row>
    <row r="6531" spans="2:4" ht="16" thickBot="1" x14ac:dyDescent="0.25">
      <c r="B6531" s="5">
        <v>6526</v>
      </c>
      <c r="C6531" s="11">
        <v>456.05558466735965</v>
      </c>
      <c r="D6531" s="42"/>
    </row>
    <row r="6532" spans="2:4" ht="16" thickBot="1" x14ac:dyDescent="0.25">
      <c r="B6532" s="4">
        <v>6527</v>
      </c>
      <c r="C6532" s="10">
        <v>209.14984989169818</v>
      </c>
      <c r="D6532" s="42"/>
    </row>
    <row r="6533" spans="2:4" ht="16" thickBot="1" x14ac:dyDescent="0.25">
      <c r="B6533" s="5">
        <v>6528</v>
      </c>
      <c r="C6533" s="11">
        <v>185.59368120039574</v>
      </c>
      <c r="D6533" s="42"/>
    </row>
    <row r="6534" spans="2:4" ht="16" thickBot="1" x14ac:dyDescent="0.25">
      <c r="B6534" s="4">
        <v>6529</v>
      </c>
      <c r="C6534" s="10">
        <v>207.29674207106896</v>
      </c>
      <c r="D6534" s="42"/>
    </row>
    <row r="6535" spans="2:4" ht="16" thickBot="1" x14ac:dyDescent="0.25">
      <c r="B6535" s="5">
        <v>6530</v>
      </c>
      <c r="C6535" s="11">
        <v>162.41727878101156</v>
      </c>
      <c r="D6535" s="42"/>
    </row>
    <row r="6536" spans="2:4" ht="16" thickBot="1" x14ac:dyDescent="0.25">
      <c r="B6536" s="4">
        <v>6531</v>
      </c>
      <c r="C6536" s="10">
        <v>462.23378579279745</v>
      </c>
      <c r="D6536" s="42"/>
    </row>
    <row r="6537" spans="2:4" ht="16" thickBot="1" x14ac:dyDescent="0.25">
      <c r="B6537" s="5">
        <v>6532</v>
      </c>
      <c r="C6537" s="11">
        <v>314.70201019897951</v>
      </c>
      <c r="D6537" s="42"/>
    </row>
    <row r="6538" spans="2:4" ht="16" thickBot="1" x14ac:dyDescent="0.25">
      <c r="B6538" s="4">
        <v>6533</v>
      </c>
      <c r="C6538" s="10">
        <v>232.96345974615201</v>
      </c>
      <c r="D6538" s="42"/>
    </row>
    <row r="6539" spans="2:4" ht="16" thickBot="1" x14ac:dyDescent="0.25">
      <c r="B6539" s="5">
        <v>6534</v>
      </c>
      <c r="C6539" s="11">
        <v>375.32846698723029</v>
      </c>
      <c r="D6539" s="42"/>
    </row>
    <row r="6540" spans="2:4" ht="16" thickBot="1" x14ac:dyDescent="0.25">
      <c r="B6540" s="4">
        <v>6535</v>
      </c>
      <c r="C6540" s="10">
        <v>38.846452792446314</v>
      </c>
      <c r="D6540" s="42"/>
    </row>
    <row r="6541" spans="2:4" ht="16" thickBot="1" x14ac:dyDescent="0.25">
      <c r="B6541" s="5">
        <v>6536</v>
      </c>
      <c r="C6541" s="11">
        <v>237.7431711882335</v>
      </c>
      <c r="D6541" s="42"/>
    </row>
    <row r="6542" spans="2:4" ht="16" thickBot="1" x14ac:dyDescent="0.25">
      <c r="B6542" s="4">
        <v>6537</v>
      </c>
      <c r="C6542" s="10">
        <v>411.16636593268515</v>
      </c>
      <c r="D6542" s="42"/>
    </row>
    <row r="6543" spans="2:4" ht="16" thickBot="1" x14ac:dyDescent="0.25">
      <c r="B6543" s="5">
        <v>6538</v>
      </c>
      <c r="C6543" s="11">
        <v>207.17030718255816</v>
      </c>
      <c r="D6543" s="42"/>
    </row>
    <row r="6544" spans="2:4" ht="16" thickBot="1" x14ac:dyDescent="0.25">
      <c r="B6544" s="4">
        <v>6539</v>
      </c>
      <c r="C6544" s="10">
        <v>211.22654957258729</v>
      </c>
      <c r="D6544" s="42"/>
    </row>
    <row r="6545" spans="2:4" ht="16" thickBot="1" x14ac:dyDescent="0.25">
      <c r="B6545" s="5">
        <v>6540</v>
      </c>
      <c r="C6545" s="11">
        <v>381.40891184518165</v>
      </c>
      <c r="D6545" s="42"/>
    </row>
    <row r="6546" spans="2:4" ht="16" thickBot="1" x14ac:dyDescent="0.25">
      <c r="B6546" s="4">
        <v>6541</v>
      </c>
      <c r="C6546" s="10">
        <v>125.49219036029582</v>
      </c>
      <c r="D6546" s="42"/>
    </row>
    <row r="6547" spans="2:4" ht="16" thickBot="1" x14ac:dyDescent="0.25">
      <c r="B6547" s="5">
        <v>6542</v>
      </c>
      <c r="C6547" s="11">
        <v>238.64083514348116</v>
      </c>
      <c r="D6547" s="42"/>
    </row>
    <row r="6548" spans="2:4" ht="16" thickBot="1" x14ac:dyDescent="0.25">
      <c r="B6548" s="4">
        <v>6543</v>
      </c>
      <c r="C6548" s="10">
        <v>127.25701297297081</v>
      </c>
      <c r="D6548" s="42"/>
    </row>
    <row r="6549" spans="2:4" ht="16" thickBot="1" x14ac:dyDescent="0.25">
      <c r="B6549" s="5">
        <v>6544</v>
      </c>
      <c r="C6549" s="11">
        <v>431.45924982616452</v>
      </c>
      <c r="D6549" s="42"/>
    </row>
    <row r="6550" spans="2:4" ht="16" thickBot="1" x14ac:dyDescent="0.25">
      <c r="B6550" s="4">
        <v>6545</v>
      </c>
      <c r="C6550" s="10">
        <v>313.06254148091313</v>
      </c>
      <c r="D6550" s="42"/>
    </row>
    <row r="6551" spans="2:4" ht="16" thickBot="1" x14ac:dyDescent="0.25">
      <c r="B6551" s="5">
        <v>6546</v>
      </c>
      <c r="C6551" s="11">
        <v>142.05352570885358</v>
      </c>
      <c r="D6551" s="42"/>
    </row>
    <row r="6552" spans="2:4" ht="16" thickBot="1" x14ac:dyDescent="0.25">
      <c r="B6552" s="4">
        <v>6547</v>
      </c>
      <c r="C6552" s="10">
        <v>445.1449411765463</v>
      </c>
      <c r="D6552" s="42"/>
    </row>
    <row r="6553" spans="2:4" ht="16" thickBot="1" x14ac:dyDescent="0.25">
      <c r="B6553" s="5">
        <v>6548</v>
      </c>
      <c r="C6553" s="11">
        <v>361.18095975160719</v>
      </c>
      <c r="D6553" s="42"/>
    </row>
    <row r="6554" spans="2:4" ht="16" thickBot="1" x14ac:dyDescent="0.25">
      <c r="B6554" s="4">
        <v>6549</v>
      </c>
      <c r="C6554" s="10">
        <v>163.40929252214366</v>
      </c>
      <c r="D6554" s="42"/>
    </row>
    <row r="6555" spans="2:4" ht="16" thickBot="1" x14ac:dyDescent="0.25">
      <c r="B6555" s="5">
        <v>6550</v>
      </c>
      <c r="C6555" s="11">
        <v>46.81703290219312</v>
      </c>
      <c r="D6555" s="42"/>
    </row>
    <row r="6556" spans="2:4" ht="16" thickBot="1" x14ac:dyDescent="0.25">
      <c r="B6556" s="4">
        <v>6551</v>
      </c>
      <c r="C6556" s="10">
        <v>194.90937056272824</v>
      </c>
      <c r="D6556" s="42"/>
    </row>
    <row r="6557" spans="2:4" ht="16" thickBot="1" x14ac:dyDescent="0.25">
      <c r="B6557" s="5">
        <v>6552</v>
      </c>
      <c r="C6557" s="11">
        <v>154.75595063104683</v>
      </c>
      <c r="D6557" s="42"/>
    </row>
    <row r="6558" spans="2:4" ht="16" thickBot="1" x14ac:dyDescent="0.25">
      <c r="B6558" s="4">
        <v>6553</v>
      </c>
      <c r="C6558" s="10">
        <v>160.85026097932845</v>
      </c>
      <c r="D6558" s="42"/>
    </row>
    <row r="6559" spans="2:4" ht="16" thickBot="1" x14ac:dyDescent="0.25">
      <c r="B6559" s="5">
        <v>6554</v>
      </c>
      <c r="C6559" s="11">
        <v>498.54994942647471</v>
      </c>
      <c r="D6559" s="42"/>
    </row>
    <row r="6560" spans="2:4" ht="16" thickBot="1" x14ac:dyDescent="0.25">
      <c r="B6560" s="4">
        <v>6555</v>
      </c>
      <c r="C6560" s="10">
        <v>59.287555698855662</v>
      </c>
      <c r="D6560" s="42"/>
    </row>
    <row r="6561" spans="2:4" ht="16" thickBot="1" x14ac:dyDescent="0.25">
      <c r="B6561" s="5">
        <v>6556</v>
      </c>
      <c r="C6561" s="11">
        <v>544.57524502355068</v>
      </c>
      <c r="D6561" s="42"/>
    </row>
    <row r="6562" spans="2:4" ht="16" thickBot="1" x14ac:dyDescent="0.25">
      <c r="B6562" s="4">
        <v>6557</v>
      </c>
      <c r="C6562" s="10">
        <v>68.824870498582456</v>
      </c>
      <c r="D6562" s="42"/>
    </row>
    <row r="6563" spans="2:4" ht="16" thickBot="1" x14ac:dyDescent="0.25">
      <c r="B6563" s="5">
        <v>6558</v>
      </c>
      <c r="C6563" s="11">
        <v>247.07216989467634</v>
      </c>
      <c r="D6563" s="42"/>
    </row>
    <row r="6564" spans="2:4" ht="16" thickBot="1" x14ac:dyDescent="0.25">
      <c r="B6564" s="4">
        <v>6559</v>
      </c>
      <c r="C6564" s="10">
        <v>123.98020003450553</v>
      </c>
      <c r="D6564" s="42"/>
    </row>
    <row r="6565" spans="2:4" ht="16" thickBot="1" x14ac:dyDescent="0.25">
      <c r="B6565" s="5">
        <v>6560</v>
      </c>
      <c r="C6565" s="11">
        <v>75.628434194343299</v>
      </c>
      <c r="D6565" s="42"/>
    </row>
    <row r="6566" spans="2:4" ht="16" thickBot="1" x14ac:dyDescent="0.25">
      <c r="B6566" s="4">
        <v>6561</v>
      </c>
      <c r="C6566" s="10">
        <v>297.76036609409442</v>
      </c>
      <c r="D6566" s="42"/>
    </row>
    <row r="6567" spans="2:4" ht="16" thickBot="1" x14ac:dyDescent="0.25">
      <c r="B6567" s="5">
        <v>6562</v>
      </c>
      <c r="C6567" s="11">
        <v>444.24683486420685</v>
      </c>
      <c r="D6567" s="42"/>
    </row>
    <row r="6568" spans="2:4" ht="16" thickBot="1" x14ac:dyDescent="0.25">
      <c r="B6568" s="4">
        <v>6563</v>
      </c>
      <c r="C6568" s="10">
        <v>93.131282543409981</v>
      </c>
      <c r="D6568" s="42"/>
    </row>
    <row r="6569" spans="2:4" ht="16" thickBot="1" x14ac:dyDescent="0.25">
      <c r="B6569" s="5">
        <v>6564</v>
      </c>
      <c r="C6569" s="11">
        <v>1044.2853849861774</v>
      </c>
      <c r="D6569" s="42"/>
    </row>
    <row r="6570" spans="2:4" ht="16" thickBot="1" x14ac:dyDescent="0.25">
      <c r="B6570" s="4">
        <v>6565</v>
      </c>
      <c r="C6570" s="10">
        <v>491.80557127830525</v>
      </c>
      <c r="D6570" s="42"/>
    </row>
    <row r="6571" spans="2:4" ht="16" thickBot="1" x14ac:dyDescent="0.25">
      <c r="B6571" s="5">
        <v>6566</v>
      </c>
      <c r="C6571" s="11">
        <v>369.54545655410573</v>
      </c>
      <c r="D6571" s="42"/>
    </row>
    <row r="6572" spans="2:4" ht="16" thickBot="1" x14ac:dyDescent="0.25">
      <c r="B6572" s="4">
        <v>6567</v>
      </c>
      <c r="C6572" s="10">
        <v>110.46457442078979</v>
      </c>
      <c r="D6572" s="42"/>
    </row>
    <row r="6573" spans="2:4" ht="16" thickBot="1" x14ac:dyDescent="0.25">
      <c r="B6573" s="5">
        <v>6568</v>
      </c>
      <c r="C6573" s="11">
        <v>289.79742473272881</v>
      </c>
      <c r="D6573" s="42"/>
    </row>
    <row r="6574" spans="2:4" ht="16" thickBot="1" x14ac:dyDescent="0.25">
      <c r="B6574" s="4">
        <v>6569</v>
      </c>
      <c r="C6574" s="10">
        <v>286.17238291198657</v>
      </c>
      <c r="D6574" s="42"/>
    </row>
    <row r="6575" spans="2:4" ht="16" thickBot="1" x14ac:dyDescent="0.25">
      <c r="B6575" s="5">
        <v>6570</v>
      </c>
      <c r="C6575" s="11">
        <v>435.7128238568871</v>
      </c>
      <c r="D6575" s="42"/>
    </row>
    <row r="6576" spans="2:4" ht="16" thickBot="1" x14ac:dyDescent="0.25">
      <c r="B6576" s="4">
        <v>6571</v>
      </c>
      <c r="C6576" s="10">
        <v>321.56610485382163</v>
      </c>
      <c r="D6576" s="42"/>
    </row>
    <row r="6577" spans="2:4" ht="16" thickBot="1" x14ac:dyDescent="0.25">
      <c r="B6577" s="5">
        <v>6572</v>
      </c>
      <c r="C6577" s="11">
        <v>333.55718662887659</v>
      </c>
      <c r="D6577" s="42"/>
    </row>
    <row r="6578" spans="2:4" ht="16" thickBot="1" x14ac:dyDescent="0.25">
      <c r="B6578" s="4">
        <v>6573</v>
      </c>
      <c r="C6578" s="10">
        <v>209.81674757689339</v>
      </c>
      <c r="D6578" s="42"/>
    </row>
    <row r="6579" spans="2:4" ht="16" thickBot="1" x14ac:dyDescent="0.25">
      <c r="B6579" s="5">
        <v>6574</v>
      </c>
      <c r="C6579" s="11">
        <v>113.60379258779777</v>
      </c>
      <c r="D6579" s="42"/>
    </row>
    <row r="6580" spans="2:4" ht="16" thickBot="1" x14ac:dyDescent="0.25">
      <c r="B6580" s="4">
        <v>6575</v>
      </c>
      <c r="C6580" s="10">
        <v>117.07202339143828</v>
      </c>
      <c r="D6580" s="42"/>
    </row>
    <row r="6581" spans="2:4" ht="16" thickBot="1" x14ac:dyDescent="0.25">
      <c r="B6581" s="5">
        <v>6576</v>
      </c>
      <c r="C6581" s="11">
        <v>159.70170707008438</v>
      </c>
      <c r="D6581" s="42"/>
    </row>
    <row r="6582" spans="2:4" ht="16" thickBot="1" x14ac:dyDescent="0.25">
      <c r="B6582" s="4">
        <v>6577</v>
      </c>
      <c r="C6582" s="10">
        <v>106.3861694637082</v>
      </c>
      <c r="D6582" s="42"/>
    </row>
    <row r="6583" spans="2:4" ht="16" thickBot="1" x14ac:dyDescent="0.25">
      <c r="B6583" s="5">
        <v>6578</v>
      </c>
      <c r="C6583" s="11">
        <v>41.885943700950634</v>
      </c>
      <c r="D6583" s="42"/>
    </row>
    <row r="6584" spans="2:4" ht="16" thickBot="1" x14ac:dyDescent="0.25">
      <c r="B6584" s="4">
        <v>6579</v>
      </c>
      <c r="C6584" s="10">
        <v>110.89004727782802</v>
      </c>
      <c r="D6584" s="42"/>
    </row>
    <row r="6585" spans="2:4" ht="16" thickBot="1" x14ac:dyDescent="0.25">
      <c r="B6585" s="5">
        <v>6580</v>
      </c>
      <c r="C6585" s="11">
        <v>323.31086455285708</v>
      </c>
      <c r="D6585" s="42"/>
    </row>
    <row r="6586" spans="2:4" ht="16" thickBot="1" x14ac:dyDescent="0.25">
      <c r="B6586" s="4">
        <v>6581</v>
      </c>
      <c r="C6586" s="10">
        <v>703.09123686681005</v>
      </c>
      <c r="D6586" s="42"/>
    </row>
    <row r="6587" spans="2:4" ht="16" thickBot="1" x14ac:dyDescent="0.25">
      <c r="B6587" s="5">
        <v>6582</v>
      </c>
      <c r="C6587" s="11">
        <v>119.80615821277972</v>
      </c>
      <c r="D6587" s="42"/>
    </row>
    <row r="6588" spans="2:4" ht="16" thickBot="1" x14ac:dyDescent="0.25">
      <c r="B6588" s="4">
        <v>6583</v>
      </c>
      <c r="C6588" s="10">
        <v>210.6702956046239</v>
      </c>
      <c r="D6588" s="42"/>
    </row>
    <row r="6589" spans="2:4" ht="16" thickBot="1" x14ac:dyDescent="0.25">
      <c r="B6589" s="5">
        <v>6584</v>
      </c>
      <c r="C6589" s="11">
        <v>303.9711690804661</v>
      </c>
      <c r="D6589" s="42"/>
    </row>
    <row r="6590" spans="2:4" ht="16" thickBot="1" x14ac:dyDescent="0.25">
      <c r="B6590" s="4">
        <v>6585</v>
      </c>
      <c r="C6590" s="10">
        <v>313.58541533448908</v>
      </c>
      <c r="D6590" s="42"/>
    </row>
    <row r="6591" spans="2:4" ht="16" thickBot="1" x14ac:dyDescent="0.25">
      <c r="B6591" s="5">
        <v>6586</v>
      </c>
      <c r="C6591" s="11">
        <v>112.9365082641647</v>
      </c>
      <c r="D6591" s="42"/>
    </row>
    <row r="6592" spans="2:4" ht="16" thickBot="1" x14ac:dyDescent="0.25">
      <c r="B6592" s="4">
        <v>6587</v>
      </c>
      <c r="C6592" s="10">
        <v>44.703551190730828</v>
      </c>
      <c r="D6592" s="42"/>
    </row>
    <row r="6593" spans="2:4" ht="16" thickBot="1" x14ac:dyDescent="0.25">
      <c r="B6593" s="5">
        <v>6588</v>
      </c>
      <c r="C6593" s="11">
        <v>194.15026987924202</v>
      </c>
      <c r="D6593" s="42"/>
    </row>
    <row r="6594" spans="2:4" ht="16" thickBot="1" x14ac:dyDescent="0.25">
      <c r="B6594" s="4">
        <v>6589</v>
      </c>
      <c r="C6594" s="10">
        <v>308.7578672963125</v>
      </c>
      <c r="D6594" s="42"/>
    </row>
    <row r="6595" spans="2:4" ht="16" thickBot="1" x14ac:dyDescent="0.25">
      <c r="B6595" s="5">
        <v>6590</v>
      </c>
      <c r="C6595" s="11">
        <v>684.24259544643212</v>
      </c>
      <c r="D6595" s="42"/>
    </row>
    <row r="6596" spans="2:4" ht="16" thickBot="1" x14ac:dyDescent="0.25">
      <c r="B6596" s="4">
        <v>6591</v>
      </c>
      <c r="C6596" s="10">
        <v>174.10275666911593</v>
      </c>
      <c r="D6596" s="42"/>
    </row>
    <row r="6597" spans="2:4" ht="16" thickBot="1" x14ac:dyDescent="0.25">
      <c r="B6597" s="5">
        <v>6592</v>
      </c>
      <c r="C6597" s="11">
        <v>468.08161634717499</v>
      </c>
      <c r="D6597" s="42"/>
    </row>
    <row r="6598" spans="2:4" ht="16" thickBot="1" x14ac:dyDescent="0.25">
      <c r="B6598" s="4">
        <v>6593</v>
      </c>
      <c r="C6598" s="10">
        <v>148.5248218343055</v>
      </c>
      <c r="D6598" s="42"/>
    </row>
    <row r="6599" spans="2:4" ht="16" thickBot="1" x14ac:dyDescent="0.25">
      <c r="B6599" s="5">
        <v>6594</v>
      </c>
      <c r="C6599" s="11">
        <v>229.62235823765724</v>
      </c>
      <c r="D6599" s="42"/>
    </row>
    <row r="6600" spans="2:4" ht="16" thickBot="1" x14ac:dyDescent="0.25">
      <c r="B6600" s="4">
        <v>6595</v>
      </c>
      <c r="C6600" s="10">
        <v>291.37271173335563</v>
      </c>
      <c r="D6600" s="42"/>
    </row>
    <row r="6601" spans="2:4" ht="16" thickBot="1" x14ac:dyDescent="0.25">
      <c r="B6601" s="5">
        <v>6596</v>
      </c>
      <c r="C6601" s="11">
        <v>184.76589216325556</v>
      </c>
      <c r="D6601" s="42"/>
    </row>
    <row r="6602" spans="2:4" ht="16" thickBot="1" x14ac:dyDescent="0.25">
      <c r="B6602" s="4">
        <v>6597</v>
      </c>
      <c r="C6602" s="10">
        <v>203.36712947727398</v>
      </c>
      <c r="D6602" s="42"/>
    </row>
    <row r="6603" spans="2:4" ht="16" thickBot="1" x14ac:dyDescent="0.25">
      <c r="B6603" s="5">
        <v>6598</v>
      </c>
      <c r="C6603" s="11">
        <v>467.75125945128298</v>
      </c>
      <c r="D6603" s="42"/>
    </row>
    <row r="6604" spans="2:4" ht="16" thickBot="1" x14ac:dyDescent="0.25">
      <c r="B6604" s="4">
        <v>6599</v>
      </c>
      <c r="C6604" s="10">
        <v>484.49872939738458</v>
      </c>
      <c r="D6604" s="42"/>
    </row>
    <row r="6605" spans="2:4" ht="16" thickBot="1" x14ac:dyDescent="0.25">
      <c r="B6605" s="5">
        <v>6600</v>
      </c>
      <c r="C6605" s="11">
        <v>379.08782638297959</v>
      </c>
      <c r="D6605" s="42"/>
    </row>
    <row r="6606" spans="2:4" ht="16" thickBot="1" x14ac:dyDescent="0.25">
      <c r="B6606" s="4">
        <v>6601</v>
      </c>
      <c r="C6606" s="10">
        <v>365.79079746690405</v>
      </c>
      <c r="D6606" s="42"/>
    </row>
    <row r="6607" spans="2:4" ht="16" thickBot="1" x14ac:dyDescent="0.25">
      <c r="B6607" s="5">
        <v>6602</v>
      </c>
      <c r="C6607" s="11">
        <v>258.85645026325483</v>
      </c>
      <c r="D6607" s="42"/>
    </row>
    <row r="6608" spans="2:4" ht="16" thickBot="1" x14ac:dyDescent="0.25">
      <c r="B6608" s="4">
        <v>6603</v>
      </c>
      <c r="C6608" s="10">
        <v>94.266137400931157</v>
      </c>
      <c r="D6608" s="42"/>
    </row>
    <row r="6609" spans="2:4" ht="16" thickBot="1" x14ac:dyDescent="0.25">
      <c r="B6609" s="5">
        <v>6604</v>
      </c>
      <c r="C6609" s="11">
        <v>343.15256970522097</v>
      </c>
      <c r="D6609" s="42"/>
    </row>
    <row r="6610" spans="2:4" ht="16" thickBot="1" x14ac:dyDescent="0.25">
      <c r="B6610" s="4">
        <v>6605</v>
      </c>
      <c r="C6610" s="10">
        <v>217.60206151550926</v>
      </c>
      <c r="D6610" s="42"/>
    </row>
    <row r="6611" spans="2:4" ht="16" thickBot="1" x14ac:dyDescent="0.25">
      <c r="B6611" s="5">
        <v>6606</v>
      </c>
      <c r="C6611" s="11">
        <v>292.22136163090789</v>
      </c>
      <c r="D6611" s="42"/>
    </row>
    <row r="6612" spans="2:4" ht="16" thickBot="1" x14ac:dyDescent="0.25">
      <c r="B6612" s="4">
        <v>6607</v>
      </c>
      <c r="C6612" s="10">
        <v>211.15916925885895</v>
      </c>
      <c r="D6612" s="42"/>
    </row>
    <row r="6613" spans="2:4" ht="16" thickBot="1" x14ac:dyDescent="0.25">
      <c r="B6613" s="5">
        <v>6608</v>
      </c>
      <c r="C6613" s="11">
        <v>374.57131831749086</v>
      </c>
      <c r="D6613" s="42"/>
    </row>
    <row r="6614" spans="2:4" ht="16" thickBot="1" x14ac:dyDescent="0.25">
      <c r="B6614" s="4">
        <v>6609</v>
      </c>
      <c r="C6614" s="10">
        <v>234.8377265863372</v>
      </c>
      <c r="D6614" s="42"/>
    </row>
    <row r="6615" spans="2:4" ht="16" thickBot="1" x14ac:dyDescent="0.25">
      <c r="B6615" s="5">
        <v>6610</v>
      </c>
      <c r="C6615" s="11">
        <v>337.72084025301763</v>
      </c>
      <c r="D6615" s="42"/>
    </row>
    <row r="6616" spans="2:4" ht="16" thickBot="1" x14ac:dyDescent="0.25">
      <c r="B6616" s="4">
        <v>6611</v>
      </c>
      <c r="C6616" s="10">
        <v>496.46130844710581</v>
      </c>
      <c r="D6616" s="42"/>
    </row>
    <row r="6617" spans="2:4" ht="16" thickBot="1" x14ac:dyDescent="0.25">
      <c r="B6617" s="5">
        <v>6612</v>
      </c>
      <c r="C6617" s="11">
        <v>430.76766033618441</v>
      </c>
      <c r="D6617" s="42"/>
    </row>
    <row r="6618" spans="2:4" ht="16" thickBot="1" x14ac:dyDescent="0.25">
      <c r="B6618" s="4">
        <v>6613</v>
      </c>
      <c r="C6618" s="10">
        <v>679.44328084805613</v>
      </c>
      <c r="D6618" s="42"/>
    </row>
    <row r="6619" spans="2:4" ht="16" thickBot="1" x14ac:dyDescent="0.25">
      <c r="B6619" s="5">
        <v>6614</v>
      </c>
      <c r="C6619" s="11">
        <v>355.64257083504879</v>
      </c>
      <c r="D6619" s="42"/>
    </row>
    <row r="6620" spans="2:4" ht="16" thickBot="1" x14ac:dyDescent="0.25">
      <c r="B6620" s="4">
        <v>6615</v>
      </c>
      <c r="C6620" s="10">
        <v>157.20225431617561</v>
      </c>
      <c r="D6620" s="42"/>
    </row>
    <row r="6621" spans="2:4" ht="16" thickBot="1" x14ac:dyDescent="0.25">
      <c r="B6621" s="5">
        <v>6616</v>
      </c>
      <c r="C6621" s="11">
        <v>100.17519341204606</v>
      </c>
      <c r="D6621" s="42"/>
    </row>
    <row r="6622" spans="2:4" ht="16" thickBot="1" x14ac:dyDescent="0.25">
      <c r="B6622" s="4">
        <v>6617</v>
      </c>
      <c r="C6622" s="10">
        <v>119.08284337936088</v>
      </c>
      <c r="D6622" s="42"/>
    </row>
    <row r="6623" spans="2:4" ht="16" thickBot="1" x14ac:dyDescent="0.25">
      <c r="B6623" s="5">
        <v>6618</v>
      </c>
      <c r="C6623" s="11">
        <v>137.40944616483128</v>
      </c>
      <c r="D6623" s="42"/>
    </row>
    <row r="6624" spans="2:4" ht="16" thickBot="1" x14ac:dyDescent="0.25">
      <c r="B6624" s="4">
        <v>6619</v>
      </c>
      <c r="C6624" s="10">
        <v>110.02419984096582</v>
      </c>
      <c r="D6624" s="42"/>
    </row>
    <row r="6625" spans="2:4" ht="16" thickBot="1" x14ac:dyDescent="0.25">
      <c r="B6625" s="5">
        <v>6620</v>
      </c>
      <c r="C6625" s="11">
        <v>104.63898333432471</v>
      </c>
      <c r="D6625" s="42"/>
    </row>
    <row r="6626" spans="2:4" ht="16" thickBot="1" x14ac:dyDescent="0.25">
      <c r="B6626" s="4">
        <v>6621</v>
      </c>
      <c r="C6626" s="10">
        <v>368.69272783267002</v>
      </c>
      <c r="D6626" s="42"/>
    </row>
    <row r="6627" spans="2:4" ht="16" thickBot="1" x14ac:dyDescent="0.25">
      <c r="B6627" s="5">
        <v>6622</v>
      </c>
      <c r="C6627" s="11">
        <v>406.94083883206252</v>
      </c>
      <c r="D6627" s="42"/>
    </row>
    <row r="6628" spans="2:4" ht="16" thickBot="1" x14ac:dyDescent="0.25">
      <c r="B6628" s="4">
        <v>6623</v>
      </c>
      <c r="C6628" s="10">
        <v>37.169233694423653</v>
      </c>
      <c r="D6628" s="42"/>
    </row>
    <row r="6629" spans="2:4" ht="16" thickBot="1" x14ac:dyDescent="0.25">
      <c r="B6629" s="5">
        <v>6624</v>
      </c>
      <c r="C6629" s="11">
        <v>50.239538745238818</v>
      </c>
      <c r="D6629" s="42"/>
    </row>
    <row r="6630" spans="2:4" ht="16" thickBot="1" x14ac:dyDescent="0.25">
      <c r="B6630" s="4">
        <v>6625</v>
      </c>
      <c r="C6630" s="10">
        <v>192.61222629102812</v>
      </c>
      <c r="D6630" s="42"/>
    </row>
    <row r="6631" spans="2:4" ht="16" thickBot="1" x14ac:dyDescent="0.25">
      <c r="B6631" s="5">
        <v>6626</v>
      </c>
      <c r="C6631" s="11">
        <v>204.3927778761439</v>
      </c>
      <c r="D6631" s="42"/>
    </row>
    <row r="6632" spans="2:4" ht="16" thickBot="1" x14ac:dyDescent="0.25">
      <c r="B6632" s="4">
        <v>6627</v>
      </c>
      <c r="C6632" s="10">
        <v>216.5096085374671</v>
      </c>
      <c r="D6632" s="42"/>
    </row>
    <row r="6633" spans="2:4" ht="16" thickBot="1" x14ac:dyDescent="0.25">
      <c r="B6633" s="5">
        <v>6628</v>
      </c>
      <c r="C6633" s="11">
        <v>212.66236479536846</v>
      </c>
      <c r="D6633" s="42"/>
    </row>
    <row r="6634" spans="2:4" ht="16" thickBot="1" x14ac:dyDescent="0.25">
      <c r="B6634" s="4">
        <v>6629</v>
      </c>
      <c r="C6634" s="10">
        <v>77.380159926343453</v>
      </c>
      <c r="D6634" s="42"/>
    </row>
    <row r="6635" spans="2:4" ht="16" thickBot="1" x14ac:dyDescent="0.25">
      <c r="B6635" s="5">
        <v>6630</v>
      </c>
      <c r="C6635" s="11">
        <v>78.010020473989925</v>
      </c>
      <c r="D6635" s="42"/>
    </row>
    <row r="6636" spans="2:4" ht="16" thickBot="1" x14ac:dyDescent="0.25">
      <c r="B6636" s="4">
        <v>6631</v>
      </c>
      <c r="C6636" s="10">
        <v>196.99295460094231</v>
      </c>
      <c r="D6636" s="42"/>
    </row>
    <row r="6637" spans="2:4" ht="16" thickBot="1" x14ac:dyDescent="0.25">
      <c r="B6637" s="5">
        <v>6632</v>
      </c>
      <c r="C6637" s="11">
        <v>67.249928275285242</v>
      </c>
      <c r="D6637" s="42"/>
    </row>
    <row r="6638" spans="2:4" ht="16" thickBot="1" x14ac:dyDescent="0.25">
      <c r="B6638" s="4">
        <v>6633</v>
      </c>
      <c r="C6638" s="10">
        <v>323.44311681696149</v>
      </c>
      <c r="D6638" s="42"/>
    </row>
    <row r="6639" spans="2:4" ht="16" thickBot="1" x14ac:dyDescent="0.25">
      <c r="B6639" s="5">
        <v>6634</v>
      </c>
      <c r="C6639" s="11">
        <v>287.03051971572563</v>
      </c>
      <c r="D6639" s="42"/>
    </row>
    <row r="6640" spans="2:4" ht="16" thickBot="1" x14ac:dyDescent="0.25">
      <c r="B6640" s="4">
        <v>6635</v>
      </c>
      <c r="C6640" s="10">
        <v>101.43893278545822</v>
      </c>
      <c r="D6640" s="42"/>
    </row>
    <row r="6641" spans="2:4" ht="16" thickBot="1" x14ac:dyDescent="0.25">
      <c r="B6641" s="5">
        <v>6636</v>
      </c>
      <c r="C6641" s="11">
        <v>39.267729580900394</v>
      </c>
      <c r="D6641" s="42"/>
    </row>
    <row r="6642" spans="2:4" ht="16" thickBot="1" x14ac:dyDescent="0.25">
      <c r="B6642" s="4">
        <v>6637</v>
      </c>
      <c r="C6642" s="10">
        <v>423.74338051005577</v>
      </c>
      <c r="D6642" s="42"/>
    </row>
    <row r="6643" spans="2:4" ht="16" thickBot="1" x14ac:dyDescent="0.25">
      <c r="B6643" s="5">
        <v>6638</v>
      </c>
      <c r="C6643" s="11">
        <v>332.48277303815615</v>
      </c>
      <c r="D6643" s="42"/>
    </row>
    <row r="6644" spans="2:4" ht="16" thickBot="1" x14ac:dyDescent="0.25">
      <c r="B6644" s="4">
        <v>6639</v>
      </c>
      <c r="C6644" s="10">
        <v>452.78789356513482</v>
      </c>
      <c r="D6644" s="42"/>
    </row>
    <row r="6645" spans="2:4" ht="16" thickBot="1" x14ac:dyDescent="0.25">
      <c r="B6645" s="5">
        <v>6640</v>
      </c>
      <c r="C6645" s="11">
        <v>194.07537678021239</v>
      </c>
      <c r="D6645" s="42"/>
    </row>
    <row r="6646" spans="2:4" ht="16" thickBot="1" x14ac:dyDescent="0.25">
      <c r="B6646" s="4">
        <v>6641</v>
      </c>
      <c r="C6646" s="10">
        <v>171.92185953118053</v>
      </c>
      <c r="D6646" s="42"/>
    </row>
    <row r="6647" spans="2:4" ht="16" thickBot="1" x14ac:dyDescent="0.25">
      <c r="B6647" s="5">
        <v>6642</v>
      </c>
      <c r="C6647" s="11">
        <v>596.96016077909292</v>
      </c>
      <c r="D6647" s="42"/>
    </row>
    <row r="6648" spans="2:4" ht="16" thickBot="1" x14ac:dyDescent="0.25">
      <c r="B6648" s="4">
        <v>6643</v>
      </c>
      <c r="C6648" s="10">
        <v>337.14068630688377</v>
      </c>
      <c r="D6648" s="42"/>
    </row>
    <row r="6649" spans="2:4" ht="16" thickBot="1" x14ac:dyDescent="0.25">
      <c r="B6649" s="5">
        <v>6644</v>
      </c>
      <c r="C6649" s="11">
        <v>229.09633340351809</v>
      </c>
      <c r="D6649" s="42"/>
    </row>
    <row r="6650" spans="2:4" ht="16" thickBot="1" x14ac:dyDescent="0.25">
      <c r="B6650" s="4">
        <v>6645</v>
      </c>
      <c r="C6650" s="10">
        <v>173.88116946436898</v>
      </c>
      <c r="D6650" s="42"/>
    </row>
    <row r="6651" spans="2:4" ht="16" thickBot="1" x14ac:dyDescent="0.25">
      <c r="B6651" s="5">
        <v>6646</v>
      </c>
      <c r="C6651" s="11">
        <v>169.11597849358111</v>
      </c>
      <c r="D6651" s="42"/>
    </row>
    <row r="6652" spans="2:4" ht="16" thickBot="1" x14ac:dyDescent="0.25">
      <c r="B6652" s="4">
        <v>6647</v>
      </c>
      <c r="C6652" s="10">
        <v>106.46180702155223</v>
      </c>
      <c r="D6652" s="42"/>
    </row>
    <row r="6653" spans="2:4" ht="16" thickBot="1" x14ac:dyDescent="0.25">
      <c r="B6653" s="5">
        <v>6648</v>
      </c>
      <c r="C6653" s="11">
        <v>257.75401868195064</v>
      </c>
      <c r="D6653" s="42"/>
    </row>
    <row r="6654" spans="2:4" ht="16" thickBot="1" x14ac:dyDescent="0.25">
      <c r="B6654" s="4">
        <v>6649</v>
      </c>
      <c r="C6654" s="10">
        <v>212.79412242492469</v>
      </c>
      <c r="D6654" s="42"/>
    </row>
    <row r="6655" spans="2:4" ht="16" thickBot="1" x14ac:dyDescent="0.25">
      <c r="B6655" s="5">
        <v>6650</v>
      </c>
      <c r="C6655" s="11">
        <v>254.18080832780518</v>
      </c>
      <c r="D6655" s="42"/>
    </row>
    <row r="6656" spans="2:4" ht="16" thickBot="1" x14ac:dyDescent="0.25">
      <c r="B6656" s="4">
        <v>6651</v>
      </c>
      <c r="C6656" s="10">
        <v>148.7549048946488</v>
      </c>
      <c r="D6656" s="42"/>
    </row>
    <row r="6657" spans="2:4" ht="16" thickBot="1" x14ac:dyDescent="0.25">
      <c r="B6657" s="5">
        <v>6652</v>
      </c>
      <c r="C6657" s="11">
        <v>200.65297409372346</v>
      </c>
      <c r="D6657" s="42"/>
    </row>
    <row r="6658" spans="2:4" ht="16" thickBot="1" x14ac:dyDescent="0.25">
      <c r="B6658" s="4">
        <v>6653</v>
      </c>
      <c r="C6658" s="10">
        <v>314.76417353053762</v>
      </c>
      <c r="D6658" s="42"/>
    </row>
    <row r="6659" spans="2:4" ht="16" thickBot="1" x14ac:dyDescent="0.25">
      <c r="B6659" s="5">
        <v>6654</v>
      </c>
      <c r="C6659" s="11">
        <v>453.91196508661795</v>
      </c>
      <c r="D6659" s="42"/>
    </row>
    <row r="6660" spans="2:4" ht="16" thickBot="1" x14ac:dyDescent="0.25">
      <c r="B6660" s="4">
        <v>6655</v>
      </c>
      <c r="C6660" s="10">
        <v>495.59778170393531</v>
      </c>
      <c r="D6660" s="42"/>
    </row>
    <row r="6661" spans="2:4" ht="16" thickBot="1" x14ac:dyDescent="0.25">
      <c r="B6661" s="5">
        <v>6656</v>
      </c>
      <c r="C6661" s="11">
        <v>561.51962383602461</v>
      </c>
      <c r="D6661" s="42"/>
    </row>
    <row r="6662" spans="2:4" ht="16" thickBot="1" x14ac:dyDescent="0.25">
      <c r="B6662" s="4">
        <v>6657</v>
      </c>
      <c r="C6662" s="10">
        <v>224.87401337188444</v>
      </c>
      <c r="D6662" s="42"/>
    </row>
    <row r="6663" spans="2:4" ht="16" thickBot="1" x14ac:dyDescent="0.25">
      <c r="B6663" s="5">
        <v>6658</v>
      </c>
      <c r="C6663" s="11">
        <v>390.93635151248361</v>
      </c>
      <c r="D6663" s="42"/>
    </row>
    <row r="6664" spans="2:4" ht="16" thickBot="1" x14ac:dyDescent="0.25">
      <c r="B6664" s="4">
        <v>6659</v>
      </c>
      <c r="C6664" s="10">
        <v>372.59099161809252</v>
      </c>
      <c r="D6664" s="42"/>
    </row>
    <row r="6665" spans="2:4" ht="16" thickBot="1" x14ac:dyDescent="0.25">
      <c r="B6665" s="5">
        <v>6660</v>
      </c>
      <c r="C6665" s="11">
        <v>259.28746478829487</v>
      </c>
      <c r="D6665" s="42"/>
    </row>
    <row r="6666" spans="2:4" ht="16" thickBot="1" x14ac:dyDescent="0.25">
      <c r="B6666" s="4">
        <v>6661</v>
      </c>
      <c r="C6666" s="10">
        <v>99.613138221851997</v>
      </c>
      <c r="D6666" s="42"/>
    </row>
    <row r="6667" spans="2:4" ht="16" thickBot="1" x14ac:dyDescent="0.25">
      <c r="B6667" s="5">
        <v>6662</v>
      </c>
      <c r="C6667" s="11">
        <v>251.71815368950115</v>
      </c>
      <c r="D6667" s="42"/>
    </row>
    <row r="6668" spans="2:4" ht="16" thickBot="1" x14ac:dyDescent="0.25">
      <c r="B6668" s="4">
        <v>6663</v>
      </c>
      <c r="C6668" s="10">
        <v>292.32253624946156</v>
      </c>
      <c r="D6668" s="42"/>
    </row>
    <row r="6669" spans="2:4" ht="16" thickBot="1" x14ac:dyDescent="0.25">
      <c r="B6669" s="5">
        <v>6664</v>
      </c>
      <c r="C6669" s="11">
        <v>146.47305739806717</v>
      </c>
      <c r="D6669" s="42"/>
    </row>
    <row r="6670" spans="2:4" ht="16" thickBot="1" x14ac:dyDescent="0.25">
      <c r="B6670" s="4">
        <v>6665</v>
      </c>
      <c r="C6670" s="10">
        <v>438.92645732151891</v>
      </c>
      <c r="D6670" s="42"/>
    </row>
    <row r="6671" spans="2:4" ht="16" thickBot="1" x14ac:dyDescent="0.25">
      <c r="B6671" s="5">
        <v>6666</v>
      </c>
      <c r="C6671" s="11">
        <v>130.50713430816236</v>
      </c>
      <c r="D6671" s="42"/>
    </row>
    <row r="6672" spans="2:4" ht="16" thickBot="1" x14ac:dyDescent="0.25">
      <c r="B6672" s="4">
        <v>6667</v>
      </c>
      <c r="C6672" s="10">
        <v>23.455811201124554</v>
      </c>
      <c r="D6672" s="42"/>
    </row>
    <row r="6673" spans="2:4" ht="16" thickBot="1" x14ac:dyDescent="0.25">
      <c r="B6673" s="5">
        <v>6668</v>
      </c>
      <c r="C6673" s="11">
        <v>228.69202834822872</v>
      </c>
      <c r="D6673" s="42"/>
    </row>
    <row r="6674" spans="2:4" ht="16" thickBot="1" x14ac:dyDescent="0.25">
      <c r="B6674" s="4">
        <v>6669</v>
      </c>
      <c r="C6674" s="10">
        <v>375.9440513323724</v>
      </c>
      <c r="D6674" s="42"/>
    </row>
    <row r="6675" spans="2:4" ht="16" thickBot="1" x14ac:dyDescent="0.25">
      <c r="B6675" s="5">
        <v>6670</v>
      </c>
      <c r="C6675" s="11">
        <v>226.70866685558522</v>
      </c>
      <c r="D6675" s="42"/>
    </row>
    <row r="6676" spans="2:4" ht="16" thickBot="1" x14ac:dyDescent="0.25">
      <c r="B6676" s="4">
        <v>6671</v>
      </c>
      <c r="C6676" s="10">
        <v>161.12566251444554</v>
      </c>
      <c r="D6676" s="42"/>
    </row>
    <row r="6677" spans="2:4" ht="16" thickBot="1" x14ac:dyDescent="0.25">
      <c r="B6677" s="5">
        <v>6672</v>
      </c>
      <c r="C6677" s="11">
        <v>188.53751018328524</v>
      </c>
      <c r="D6677" s="42"/>
    </row>
    <row r="6678" spans="2:4" ht="16" thickBot="1" x14ac:dyDescent="0.25">
      <c r="B6678" s="4">
        <v>6673</v>
      </c>
      <c r="C6678" s="10">
        <v>32.399100492200638</v>
      </c>
      <c r="D6678" s="42"/>
    </row>
    <row r="6679" spans="2:4" ht="16" thickBot="1" x14ac:dyDescent="0.25">
      <c r="B6679" s="5">
        <v>6674</v>
      </c>
      <c r="C6679" s="11">
        <v>1027.0114519745312</v>
      </c>
      <c r="D6679" s="42"/>
    </row>
    <row r="6680" spans="2:4" ht="16" thickBot="1" x14ac:dyDescent="0.25">
      <c r="B6680" s="4">
        <v>6675</v>
      </c>
      <c r="C6680" s="10">
        <v>370.66370271461187</v>
      </c>
      <c r="D6680" s="42"/>
    </row>
    <row r="6681" spans="2:4" ht="16" thickBot="1" x14ac:dyDescent="0.25">
      <c r="B6681" s="5">
        <v>6676</v>
      </c>
      <c r="C6681" s="11">
        <v>308.30967084099814</v>
      </c>
      <c r="D6681" s="42"/>
    </row>
    <row r="6682" spans="2:4" ht="16" thickBot="1" x14ac:dyDescent="0.25">
      <c r="B6682" s="4">
        <v>6677</v>
      </c>
      <c r="C6682" s="10">
        <v>354.18558615739954</v>
      </c>
      <c r="D6682" s="42"/>
    </row>
    <row r="6683" spans="2:4" ht="16" thickBot="1" x14ac:dyDescent="0.25">
      <c r="B6683" s="5">
        <v>6678</v>
      </c>
      <c r="C6683" s="11">
        <v>132.42893006739229</v>
      </c>
      <c r="D6683" s="42"/>
    </row>
    <row r="6684" spans="2:4" ht="16" thickBot="1" x14ac:dyDescent="0.25">
      <c r="B6684" s="4">
        <v>6679</v>
      </c>
      <c r="C6684" s="10">
        <v>146.23524518353267</v>
      </c>
      <c r="D6684" s="42"/>
    </row>
    <row r="6685" spans="2:4" ht="16" thickBot="1" x14ac:dyDescent="0.25">
      <c r="B6685" s="5">
        <v>6680</v>
      </c>
      <c r="C6685" s="11">
        <v>121.43073942748853</v>
      </c>
      <c r="D6685" s="42"/>
    </row>
    <row r="6686" spans="2:4" ht="16" thickBot="1" x14ac:dyDescent="0.25">
      <c r="B6686" s="4">
        <v>6681</v>
      </c>
      <c r="C6686" s="10">
        <v>280.08990643806658</v>
      </c>
      <c r="D6686" s="42"/>
    </row>
    <row r="6687" spans="2:4" ht="16" thickBot="1" x14ac:dyDescent="0.25">
      <c r="B6687" s="5">
        <v>6682</v>
      </c>
      <c r="C6687" s="11">
        <v>167.05278747472249</v>
      </c>
      <c r="D6687" s="42"/>
    </row>
    <row r="6688" spans="2:4" ht="16" thickBot="1" x14ac:dyDescent="0.25">
      <c r="B6688" s="4">
        <v>6683</v>
      </c>
      <c r="C6688" s="10">
        <v>186.23665915654578</v>
      </c>
      <c r="D6688" s="42"/>
    </row>
    <row r="6689" spans="2:4" ht="16" thickBot="1" x14ac:dyDescent="0.25">
      <c r="B6689" s="5">
        <v>6684</v>
      </c>
      <c r="C6689" s="11">
        <v>431.87108888406749</v>
      </c>
      <c r="D6689" s="42"/>
    </row>
    <row r="6690" spans="2:4" ht="16" thickBot="1" x14ac:dyDescent="0.25">
      <c r="B6690" s="4">
        <v>6685</v>
      </c>
      <c r="C6690" s="10">
        <v>192.4731023036413</v>
      </c>
      <c r="D6690" s="42"/>
    </row>
    <row r="6691" spans="2:4" ht="16" thickBot="1" x14ac:dyDescent="0.25">
      <c r="B6691" s="5">
        <v>6686</v>
      </c>
      <c r="C6691" s="11">
        <v>341.95326310896223</v>
      </c>
      <c r="D6691" s="42"/>
    </row>
    <row r="6692" spans="2:4" ht="16" thickBot="1" x14ac:dyDescent="0.25">
      <c r="B6692" s="4">
        <v>6687</v>
      </c>
      <c r="C6692" s="10">
        <v>194.08905812856045</v>
      </c>
      <c r="D6692" s="42"/>
    </row>
    <row r="6693" spans="2:4" ht="16" thickBot="1" x14ac:dyDescent="0.25">
      <c r="B6693" s="5">
        <v>6688</v>
      </c>
      <c r="C6693" s="11">
        <v>142.63162409783106</v>
      </c>
      <c r="D6693" s="42"/>
    </row>
    <row r="6694" spans="2:4" ht="16" thickBot="1" x14ac:dyDescent="0.25">
      <c r="B6694" s="4">
        <v>6689</v>
      </c>
      <c r="C6694" s="10">
        <v>248.72664046251634</v>
      </c>
      <c r="D6694" s="42"/>
    </row>
    <row r="6695" spans="2:4" ht="16" thickBot="1" x14ac:dyDescent="0.25">
      <c r="B6695" s="5">
        <v>6690</v>
      </c>
      <c r="C6695" s="11">
        <v>294.89306094570111</v>
      </c>
      <c r="D6695" s="42"/>
    </row>
    <row r="6696" spans="2:4" ht="16" thickBot="1" x14ac:dyDescent="0.25">
      <c r="B6696" s="4">
        <v>6691</v>
      </c>
      <c r="C6696" s="10">
        <v>159.62279525070039</v>
      </c>
      <c r="D6696" s="42"/>
    </row>
    <row r="6697" spans="2:4" ht="16" thickBot="1" x14ac:dyDescent="0.25">
      <c r="B6697" s="5">
        <v>6692</v>
      </c>
      <c r="C6697" s="11">
        <v>512.88100137633523</v>
      </c>
      <c r="D6697" s="42"/>
    </row>
    <row r="6698" spans="2:4" ht="16" thickBot="1" x14ac:dyDescent="0.25">
      <c r="B6698" s="4">
        <v>6693</v>
      </c>
      <c r="C6698" s="10">
        <v>177.8834624661495</v>
      </c>
      <c r="D6698" s="42"/>
    </row>
    <row r="6699" spans="2:4" ht="16" thickBot="1" x14ac:dyDescent="0.25">
      <c r="B6699" s="5">
        <v>6694</v>
      </c>
      <c r="C6699" s="11">
        <v>67.635616731148787</v>
      </c>
      <c r="D6699" s="42"/>
    </row>
    <row r="6700" spans="2:4" ht="16" thickBot="1" x14ac:dyDescent="0.25">
      <c r="B6700" s="4">
        <v>6695</v>
      </c>
      <c r="C6700" s="10">
        <v>183.07027896419467</v>
      </c>
      <c r="D6700" s="42"/>
    </row>
    <row r="6701" spans="2:4" ht="16" thickBot="1" x14ac:dyDescent="0.25">
      <c r="B6701" s="5">
        <v>6696</v>
      </c>
      <c r="C6701" s="11">
        <v>284.67981945616248</v>
      </c>
      <c r="D6701" s="42"/>
    </row>
    <row r="6702" spans="2:4" ht="16" thickBot="1" x14ac:dyDescent="0.25">
      <c r="B6702" s="4">
        <v>6697</v>
      </c>
      <c r="C6702" s="10">
        <v>99.729360149043941</v>
      </c>
      <c r="D6702" s="42"/>
    </row>
    <row r="6703" spans="2:4" ht="16" thickBot="1" x14ac:dyDescent="0.25">
      <c r="B6703" s="5">
        <v>6698</v>
      </c>
      <c r="C6703" s="11">
        <v>272.85811759912775</v>
      </c>
      <c r="D6703" s="42"/>
    </row>
    <row r="6704" spans="2:4" ht="16" thickBot="1" x14ac:dyDescent="0.25">
      <c r="B6704" s="4">
        <v>6699</v>
      </c>
      <c r="C6704" s="10">
        <v>312.08793346618796</v>
      </c>
      <c r="D6704" s="42"/>
    </row>
    <row r="6705" spans="2:4" ht="16" thickBot="1" x14ac:dyDescent="0.25">
      <c r="B6705" s="5">
        <v>6700</v>
      </c>
      <c r="C6705" s="11">
        <v>285.43372712628411</v>
      </c>
      <c r="D6705" s="42"/>
    </row>
    <row r="6706" spans="2:4" ht="16" thickBot="1" x14ac:dyDescent="0.25">
      <c r="B6706" s="4">
        <v>6701</v>
      </c>
      <c r="C6706" s="10">
        <v>82.29590555784236</v>
      </c>
      <c r="D6706" s="42"/>
    </row>
    <row r="6707" spans="2:4" ht="16" thickBot="1" x14ac:dyDescent="0.25">
      <c r="B6707" s="5">
        <v>6702</v>
      </c>
      <c r="C6707" s="11">
        <v>222.49083866608797</v>
      </c>
      <c r="D6707" s="42"/>
    </row>
    <row r="6708" spans="2:4" ht="16" thickBot="1" x14ac:dyDescent="0.25">
      <c r="B6708" s="4">
        <v>6703</v>
      </c>
      <c r="C6708" s="10">
        <v>382.54367930030315</v>
      </c>
      <c r="D6708" s="42"/>
    </row>
    <row r="6709" spans="2:4" ht="16" thickBot="1" x14ac:dyDescent="0.25">
      <c r="B6709" s="5">
        <v>6704</v>
      </c>
      <c r="C6709" s="11">
        <v>215.86578664704513</v>
      </c>
      <c r="D6709" s="42"/>
    </row>
    <row r="6710" spans="2:4" ht="16" thickBot="1" x14ac:dyDescent="0.25">
      <c r="B6710" s="4">
        <v>6705</v>
      </c>
      <c r="C6710" s="10">
        <v>319.40564153500026</v>
      </c>
      <c r="D6710" s="42"/>
    </row>
    <row r="6711" spans="2:4" ht="16" thickBot="1" x14ac:dyDescent="0.25">
      <c r="B6711" s="5">
        <v>6706</v>
      </c>
      <c r="C6711" s="11">
        <v>473.77927832582219</v>
      </c>
      <c r="D6711" s="42"/>
    </row>
    <row r="6712" spans="2:4" ht="16" thickBot="1" x14ac:dyDescent="0.25">
      <c r="B6712" s="4">
        <v>6707</v>
      </c>
      <c r="C6712" s="10">
        <v>113.10822341893387</v>
      </c>
      <c r="D6712" s="42"/>
    </row>
    <row r="6713" spans="2:4" ht="16" thickBot="1" x14ac:dyDescent="0.25">
      <c r="B6713" s="5">
        <v>6708</v>
      </c>
      <c r="C6713" s="11">
        <v>544.79000097305163</v>
      </c>
      <c r="D6713" s="42"/>
    </row>
    <row r="6714" spans="2:4" ht="16" thickBot="1" x14ac:dyDescent="0.25">
      <c r="B6714" s="4">
        <v>6709</v>
      </c>
      <c r="C6714" s="10">
        <v>170.6428288881655</v>
      </c>
      <c r="D6714" s="42"/>
    </row>
    <row r="6715" spans="2:4" ht="16" thickBot="1" x14ac:dyDescent="0.25">
      <c r="B6715" s="5">
        <v>6710</v>
      </c>
      <c r="C6715" s="11">
        <v>708.37991858211024</v>
      </c>
      <c r="D6715" s="42"/>
    </row>
    <row r="6716" spans="2:4" ht="16" thickBot="1" x14ac:dyDescent="0.25">
      <c r="B6716" s="4">
        <v>6711</v>
      </c>
      <c r="C6716" s="10">
        <v>36.225782439964021</v>
      </c>
      <c r="D6716" s="42"/>
    </row>
    <row r="6717" spans="2:4" ht="16" thickBot="1" x14ac:dyDescent="0.25">
      <c r="B6717" s="5">
        <v>6712</v>
      </c>
      <c r="C6717" s="11">
        <v>121.50377391687655</v>
      </c>
      <c r="D6717" s="42"/>
    </row>
    <row r="6718" spans="2:4" ht="16" thickBot="1" x14ac:dyDescent="0.25">
      <c r="B6718" s="4">
        <v>6713</v>
      </c>
      <c r="C6718" s="10">
        <v>299.56082679676751</v>
      </c>
      <c r="D6718" s="42"/>
    </row>
    <row r="6719" spans="2:4" ht="16" thickBot="1" x14ac:dyDescent="0.25">
      <c r="B6719" s="5">
        <v>6714</v>
      </c>
      <c r="C6719" s="11">
        <v>306.54758472780549</v>
      </c>
      <c r="D6719" s="42"/>
    </row>
    <row r="6720" spans="2:4" ht="16" thickBot="1" x14ac:dyDescent="0.25">
      <c r="B6720" s="4">
        <v>6715</v>
      </c>
      <c r="C6720" s="10">
        <v>199.22122919831355</v>
      </c>
      <c r="D6720" s="42"/>
    </row>
    <row r="6721" spans="2:4" ht="16" thickBot="1" x14ac:dyDescent="0.25">
      <c r="B6721" s="5">
        <v>6716</v>
      </c>
      <c r="C6721" s="11">
        <v>201.88649255769405</v>
      </c>
      <c r="D6721" s="42"/>
    </row>
    <row r="6722" spans="2:4" ht="16" thickBot="1" x14ac:dyDescent="0.25">
      <c r="B6722" s="4">
        <v>6717</v>
      </c>
      <c r="C6722" s="10">
        <v>250.36301470652802</v>
      </c>
      <c r="D6722" s="42"/>
    </row>
    <row r="6723" spans="2:4" ht="16" thickBot="1" x14ac:dyDescent="0.25">
      <c r="B6723" s="5">
        <v>6718</v>
      </c>
      <c r="C6723" s="11">
        <v>78.066558898172346</v>
      </c>
      <c r="D6723" s="42"/>
    </row>
    <row r="6724" spans="2:4" ht="16" thickBot="1" x14ac:dyDescent="0.25">
      <c r="B6724" s="4">
        <v>6719</v>
      </c>
      <c r="C6724" s="10">
        <v>124.47240085947459</v>
      </c>
      <c r="D6724" s="42"/>
    </row>
    <row r="6725" spans="2:4" ht="16" thickBot="1" x14ac:dyDescent="0.25">
      <c r="B6725" s="5">
        <v>6720</v>
      </c>
      <c r="C6725" s="11">
        <v>464.65752408935259</v>
      </c>
      <c r="D6725" s="42"/>
    </row>
    <row r="6726" spans="2:4" ht="16" thickBot="1" x14ac:dyDescent="0.25">
      <c r="B6726" s="4">
        <v>6721</v>
      </c>
      <c r="C6726" s="10">
        <v>53.321840166416976</v>
      </c>
      <c r="D6726" s="42"/>
    </row>
    <row r="6727" spans="2:4" ht="16" thickBot="1" x14ac:dyDescent="0.25">
      <c r="B6727" s="5">
        <v>6722</v>
      </c>
      <c r="C6727" s="11">
        <v>162.15772861338525</v>
      </c>
      <c r="D6727" s="42"/>
    </row>
    <row r="6728" spans="2:4" ht="16" thickBot="1" x14ac:dyDescent="0.25">
      <c r="B6728" s="4">
        <v>6723</v>
      </c>
      <c r="C6728" s="10">
        <v>171.37413202791248</v>
      </c>
      <c r="D6728" s="42"/>
    </row>
    <row r="6729" spans="2:4" ht="16" thickBot="1" x14ac:dyDescent="0.25">
      <c r="B6729" s="5">
        <v>6724</v>
      </c>
      <c r="C6729" s="11">
        <v>209.27689272436311</v>
      </c>
      <c r="D6729" s="42"/>
    </row>
    <row r="6730" spans="2:4" ht="16" thickBot="1" x14ac:dyDescent="0.25">
      <c r="B6730" s="4">
        <v>6725</v>
      </c>
      <c r="C6730" s="10">
        <v>354.31343117991514</v>
      </c>
      <c r="D6730" s="42"/>
    </row>
    <row r="6731" spans="2:4" ht="16" thickBot="1" x14ac:dyDescent="0.25">
      <c r="B6731" s="5">
        <v>6726</v>
      </c>
      <c r="C6731" s="11">
        <v>205.90328205586943</v>
      </c>
      <c r="D6731" s="42"/>
    </row>
    <row r="6732" spans="2:4" ht="16" thickBot="1" x14ac:dyDescent="0.25">
      <c r="B6732" s="4">
        <v>6727</v>
      </c>
      <c r="C6732" s="10">
        <v>344.05173310013078</v>
      </c>
      <c r="D6732" s="42"/>
    </row>
    <row r="6733" spans="2:4" ht="16" thickBot="1" x14ac:dyDescent="0.25">
      <c r="B6733" s="5">
        <v>6728</v>
      </c>
      <c r="C6733" s="11">
        <v>299.03842324718994</v>
      </c>
      <c r="D6733" s="42"/>
    </row>
    <row r="6734" spans="2:4" ht="16" thickBot="1" x14ac:dyDescent="0.25">
      <c r="B6734" s="4">
        <v>6729</v>
      </c>
      <c r="C6734" s="10">
        <v>502.33213528131671</v>
      </c>
      <c r="D6734" s="42"/>
    </row>
    <row r="6735" spans="2:4" ht="16" thickBot="1" x14ac:dyDescent="0.25">
      <c r="B6735" s="5">
        <v>6730</v>
      </c>
      <c r="C6735" s="11">
        <v>103.59410822689631</v>
      </c>
      <c r="D6735" s="42"/>
    </row>
    <row r="6736" spans="2:4" ht="16" thickBot="1" x14ac:dyDescent="0.25">
      <c r="B6736" s="4">
        <v>6731</v>
      </c>
      <c r="C6736" s="10">
        <v>358.23919352451162</v>
      </c>
      <c r="D6736" s="42"/>
    </row>
    <row r="6737" spans="2:4" ht="16" thickBot="1" x14ac:dyDescent="0.25">
      <c r="B6737" s="5">
        <v>6732</v>
      </c>
      <c r="C6737" s="11">
        <v>318.16350995970203</v>
      </c>
      <c r="D6737" s="42"/>
    </row>
    <row r="6738" spans="2:4" ht="16" thickBot="1" x14ac:dyDescent="0.25">
      <c r="B6738" s="4">
        <v>6733</v>
      </c>
      <c r="C6738" s="10">
        <v>150.69435296549685</v>
      </c>
      <c r="D6738" s="42"/>
    </row>
    <row r="6739" spans="2:4" ht="16" thickBot="1" x14ac:dyDescent="0.25">
      <c r="B6739" s="5">
        <v>6734</v>
      </c>
      <c r="C6739" s="11">
        <v>336.41621003140898</v>
      </c>
      <c r="D6739" s="42"/>
    </row>
    <row r="6740" spans="2:4" ht="16" thickBot="1" x14ac:dyDescent="0.25">
      <c r="B6740" s="4">
        <v>6735</v>
      </c>
      <c r="C6740" s="10">
        <v>115.43411941973052</v>
      </c>
      <c r="D6740" s="42"/>
    </row>
    <row r="6741" spans="2:4" ht="16" thickBot="1" x14ac:dyDescent="0.25">
      <c r="B6741" s="5">
        <v>6736</v>
      </c>
      <c r="C6741" s="11">
        <v>131.90040322950031</v>
      </c>
      <c r="D6741" s="42"/>
    </row>
    <row r="6742" spans="2:4" ht="16" thickBot="1" x14ac:dyDescent="0.25">
      <c r="B6742" s="4">
        <v>6737</v>
      </c>
      <c r="C6742" s="10">
        <v>332.27556477447303</v>
      </c>
      <c r="D6742" s="42"/>
    </row>
    <row r="6743" spans="2:4" ht="16" thickBot="1" x14ac:dyDescent="0.25">
      <c r="B6743" s="5">
        <v>6738</v>
      </c>
      <c r="C6743" s="11">
        <v>83.798951612705196</v>
      </c>
      <c r="D6743" s="42"/>
    </row>
    <row r="6744" spans="2:4" ht="16" thickBot="1" x14ac:dyDescent="0.25">
      <c r="B6744" s="4">
        <v>6739</v>
      </c>
      <c r="C6744" s="10">
        <v>155.72985925102375</v>
      </c>
      <c r="D6744" s="42"/>
    </row>
    <row r="6745" spans="2:4" ht="16" thickBot="1" x14ac:dyDescent="0.25">
      <c r="B6745" s="5">
        <v>6740</v>
      </c>
      <c r="C6745" s="11">
        <v>170.74810598368074</v>
      </c>
      <c r="D6745" s="42"/>
    </row>
    <row r="6746" spans="2:4" ht="16" thickBot="1" x14ac:dyDescent="0.25">
      <c r="B6746" s="4">
        <v>6741</v>
      </c>
      <c r="C6746" s="10">
        <v>154.00876019426534</v>
      </c>
      <c r="D6746" s="42"/>
    </row>
    <row r="6747" spans="2:4" ht="16" thickBot="1" x14ac:dyDescent="0.25">
      <c r="B6747" s="5">
        <v>6742</v>
      </c>
      <c r="C6747" s="11">
        <v>461.85815110373761</v>
      </c>
      <c r="D6747" s="42"/>
    </row>
    <row r="6748" spans="2:4" ht="16" thickBot="1" x14ac:dyDescent="0.25">
      <c r="B6748" s="4">
        <v>6743</v>
      </c>
      <c r="C6748" s="10">
        <v>114.22079787732184</v>
      </c>
      <c r="D6748" s="42"/>
    </row>
    <row r="6749" spans="2:4" ht="16" thickBot="1" x14ac:dyDescent="0.25">
      <c r="B6749" s="5">
        <v>6744</v>
      </c>
      <c r="C6749" s="11">
        <v>306.17737937252673</v>
      </c>
      <c r="D6749" s="42"/>
    </row>
    <row r="6750" spans="2:4" ht="16" thickBot="1" x14ac:dyDescent="0.25">
      <c r="B6750" s="4">
        <v>6745</v>
      </c>
      <c r="C6750" s="10">
        <v>310.27387516784603</v>
      </c>
      <c r="D6750" s="42"/>
    </row>
    <row r="6751" spans="2:4" ht="16" thickBot="1" x14ac:dyDescent="0.25">
      <c r="B6751" s="5">
        <v>6746</v>
      </c>
      <c r="C6751" s="11">
        <v>247.12965447329108</v>
      </c>
      <c r="D6751" s="42"/>
    </row>
    <row r="6752" spans="2:4" ht="16" thickBot="1" x14ac:dyDescent="0.25">
      <c r="B6752" s="4">
        <v>6747</v>
      </c>
      <c r="C6752" s="10">
        <v>303.9241985664155</v>
      </c>
      <c r="D6752" s="42"/>
    </row>
    <row r="6753" spans="2:4" ht="16" thickBot="1" x14ac:dyDescent="0.25">
      <c r="B6753" s="5">
        <v>6748</v>
      </c>
      <c r="C6753" s="11">
        <v>244.87973049915925</v>
      </c>
      <c r="D6753" s="42"/>
    </row>
    <row r="6754" spans="2:4" ht="16" thickBot="1" x14ac:dyDescent="0.25">
      <c r="B6754" s="4">
        <v>6749</v>
      </c>
      <c r="C6754" s="10">
        <v>302.95226704562265</v>
      </c>
      <c r="D6754" s="42"/>
    </row>
    <row r="6755" spans="2:4" ht="16" thickBot="1" x14ac:dyDescent="0.25">
      <c r="B6755" s="5">
        <v>6750</v>
      </c>
      <c r="C6755" s="11">
        <v>457.39344421571565</v>
      </c>
      <c r="D6755" s="42"/>
    </row>
    <row r="6756" spans="2:4" ht="16" thickBot="1" x14ac:dyDescent="0.25">
      <c r="B6756" s="4">
        <v>6751</v>
      </c>
      <c r="C6756" s="10">
        <v>443.79356494832524</v>
      </c>
      <c r="D6756" s="42"/>
    </row>
    <row r="6757" spans="2:4" ht="16" thickBot="1" x14ac:dyDescent="0.25">
      <c r="B6757" s="5">
        <v>6752</v>
      </c>
      <c r="C6757" s="11">
        <v>22.238649895918741</v>
      </c>
      <c r="D6757" s="42"/>
    </row>
    <row r="6758" spans="2:4" ht="16" thickBot="1" x14ac:dyDescent="0.25">
      <c r="B6758" s="4">
        <v>6753</v>
      </c>
      <c r="C6758" s="10">
        <v>208.72288672628676</v>
      </c>
      <c r="D6758" s="42"/>
    </row>
    <row r="6759" spans="2:4" ht="16" thickBot="1" x14ac:dyDescent="0.25">
      <c r="B6759" s="5">
        <v>6754</v>
      </c>
      <c r="C6759" s="11">
        <v>96.78232274371787</v>
      </c>
      <c r="D6759" s="42"/>
    </row>
    <row r="6760" spans="2:4" ht="16" thickBot="1" x14ac:dyDescent="0.25">
      <c r="B6760" s="4">
        <v>6755</v>
      </c>
      <c r="C6760" s="10">
        <v>271.87546124974506</v>
      </c>
      <c r="D6760" s="42"/>
    </row>
    <row r="6761" spans="2:4" ht="16" thickBot="1" x14ac:dyDescent="0.25">
      <c r="B6761" s="5">
        <v>6756</v>
      </c>
      <c r="C6761" s="11">
        <v>501.31899651916621</v>
      </c>
      <c r="D6761" s="42"/>
    </row>
    <row r="6762" spans="2:4" ht="16" thickBot="1" x14ac:dyDescent="0.25">
      <c r="B6762" s="4">
        <v>6757</v>
      </c>
      <c r="C6762" s="10">
        <v>438.18265903349584</v>
      </c>
      <c r="D6762" s="42"/>
    </row>
    <row r="6763" spans="2:4" ht="16" thickBot="1" x14ac:dyDescent="0.25">
      <c r="B6763" s="5">
        <v>6758</v>
      </c>
      <c r="C6763" s="11">
        <v>209.84092695784</v>
      </c>
      <c r="D6763" s="42"/>
    </row>
    <row r="6764" spans="2:4" ht="16" thickBot="1" x14ac:dyDescent="0.25">
      <c r="B6764" s="4">
        <v>6759</v>
      </c>
      <c r="C6764" s="10">
        <v>335.14508553633641</v>
      </c>
      <c r="D6764" s="42"/>
    </row>
    <row r="6765" spans="2:4" ht="16" thickBot="1" x14ac:dyDescent="0.25">
      <c r="B6765" s="5">
        <v>6760</v>
      </c>
      <c r="C6765" s="11">
        <v>251.23808016122348</v>
      </c>
      <c r="D6765" s="42"/>
    </row>
    <row r="6766" spans="2:4" ht="16" thickBot="1" x14ac:dyDescent="0.25">
      <c r="B6766" s="4">
        <v>6761</v>
      </c>
      <c r="C6766" s="10">
        <v>311.56996113997593</v>
      </c>
      <c r="D6766" s="42"/>
    </row>
    <row r="6767" spans="2:4" ht="16" thickBot="1" x14ac:dyDescent="0.25">
      <c r="B6767" s="5">
        <v>6762</v>
      </c>
      <c r="C6767" s="11">
        <v>456.03139013308544</v>
      </c>
      <c r="D6767" s="42"/>
    </row>
    <row r="6768" spans="2:4" ht="16" thickBot="1" x14ac:dyDescent="0.25">
      <c r="B6768" s="4">
        <v>6763</v>
      </c>
      <c r="C6768" s="10">
        <v>298.80356180559409</v>
      </c>
      <c r="D6768" s="42"/>
    </row>
    <row r="6769" spans="2:4" ht="16" thickBot="1" x14ac:dyDescent="0.25">
      <c r="B6769" s="5">
        <v>6764</v>
      </c>
      <c r="C6769" s="11">
        <v>181.57283996054545</v>
      </c>
      <c r="D6769" s="42"/>
    </row>
    <row r="6770" spans="2:4" ht="16" thickBot="1" x14ac:dyDescent="0.25">
      <c r="B6770" s="4">
        <v>6765</v>
      </c>
      <c r="C6770" s="10">
        <v>148.86633835942141</v>
      </c>
      <c r="D6770" s="42"/>
    </row>
    <row r="6771" spans="2:4" ht="16" thickBot="1" x14ac:dyDescent="0.25">
      <c r="B6771" s="5">
        <v>6766</v>
      </c>
      <c r="C6771" s="11">
        <v>138.8900733462051</v>
      </c>
      <c r="D6771" s="42"/>
    </row>
    <row r="6772" spans="2:4" ht="16" thickBot="1" x14ac:dyDescent="0.25">
      <c r="B6772" s="4">
        <v>6767</v>
      </c>
      <c r="C6772" s="10">
        <v>562.80024179547877</v>
      </c>
      <c r="D6772" s="42"/>
    </row>
    <row r="6773" spans="2:4" ht="16" thickBot="1" x14ac:dyDescent="0.25">
      <c r="B6773" s="5">
        <v>6768</v>
      </c>
      <c r="C6773" s="11">
        <v>351.94276625005386</v>
      </c>
      <c r="D6773" s="42"/>
    </row>
    <row r="6774" spans="2:4" ht="16" thickBot="1" x14ac:dyDescent="0.25">
      <c r="B6774" s="4">
        <v>6769</v>
      </c>
      <c r="C6774" s="10">
        <v>281.41534607066069</v>
      </c>
      <c r="D6774" s="42"/>
    </row>
    <row r="6775" spans="2:4" ht="16" thickBot="1" x14ac:dyDescent="0.25">
      <c r="B6775" s="5">
        <v>6770</v>
      </c>
      <c r="C6775" s="11">
        <v>122.4930844911853</v>
      </c>
      <c r="D6775" s="42"/>
    </row>
    <row r="6776" spans="2:4" ht="16" thickBot="1" x14ac:dyDescent="0.25">
      <c r="B6776" s="4">
        <v>6771</v>
      </c>
      <c r="C6776" s="10">
        <v>317.09622097548663</v>
      </c>
      <c r="D6776" s="42"/>
    </row>
    <row r="6777" spans="2:4" ht="16" thickBot="1" x14ac:dyDescent="0.25">
      <c r="B6777" s="5">
        <v>6772</v>
      </c>
      <c r="C6777" s="11">
        <v>292.8173924409403</v>
      </c>
      <c r="D6777" s="42"/>
    </row>
    <row r="6778" spans="2:4" ht="16" thickBot="1" x14ac:dyDescent="0.25">
      <c r="B6778" s="4">
        <v>6773</v>
      </c>
      <c r="C6778" s="10">
        <v>142.75127768956551</v>
      </c>
      <c r="D6778" s="42"/>
    </row>
    <row r="6779" spans="2:4" ht="16" thickBot="1" x14ac:dyDescent="0.25">
      <c r="B6779" s="5">
        <v>6774</v>
      </c>
      <c r="C6779" s="11">
        <v>189.29195072886426</v>
      </c>
      <c r="D6779" s="42"/>
    </row>
    <row r="6780" spans="2:4" ht="16" thickBot="1" x14ac:dyDescent="0.25">
      <c r="B6780" s="4">
        <v>6775</v>
      </c>
      <c r="C6780" s="10">
        <v>141.50666725232352</v>
      </c>
      <c r="D6780" s="42"/>
    </row>
    <row r="6781" spans="2:4" ht="16" thickBot="1" x14ac:dyDescent="0.25">
      <c r="B6781" s="5">
        <v>6776</v>
      </c>
      <c r="C6781" s="11">
        <v>204.76730278466911</v>
      </c>
      <c r="D6781" s="42"/>
    </row>
    <row r="6782" spans="2:4" ht="16" thickBot="1" x14ac:dyDescent="0.25">
      <c r="B6782" s="4">
        <v>6777</v>
      </c>
      <c r="C6782" s="10">
        <v>200.87986049645278</v>
      </c>
      <c r="D6782" s="42"/>
    </row>
    <row r="6783" spans="2:4" ht="16" thickBot="1" x14ac:dyDescent="0.25">
      <c r="B6783" s="5">
        <v>6778</v>
      </c>
      <c r="C6783" s="11">
        <v>252.48318062122792</v>
      </c>
      <c r="D6783" s="42"/>
    </row>
    <row r="6784" spans="2:4" ht="16" thickBot="1" x14ac:dyDescent="0.25">
      <c r="B6784" s="4">
        <v>6779</v>
      </c>
      <c r="C6784" s="10">
        <v>199.29887043117242</v>
      </c>
      <c r="D6784" s="42"/>
    </row>
    <row r="6785" spans="2:4" ht="16" thickBot="1" x14ac:dyDescent="0.25">
      <c r="B6785" s="5">
        <v>6780</v>
      </c>
      <c r="C6785" s="11">
        <v>350.37788935782419</v>
      </c>
      <c r="D6785" s="42"/>
    </row>
    <row r="6786" spans="2:4" ht="16" thickBot="1" x14ac:dyDescent="0.25">
      <c r="B6786" s="4">
        <v>6781</v>
      </c>
      <c r="C6786" s="10">
        <v>198.17540091607518</v>
      </c>
      <c r="D6786" s="42"/>
    </row>
    <row r="6787" spans="2:4" ht="16" thickBot="1" x14ac:dyDescent="0.25">
      <c r="B6787" s="5">
        <v>6782</v>
      </c>
      <c r="C6787" s="11">
        <v>290.26962045408595</v>
      </c>
      <c r="D6787" s="42"/>
    </row>
    <row r="6788" spans="2:4" ht="16" thickBot="1" x14ac:dyDescent="0.25">
      <c r="B6788" s="4">
        <v>6783</v>
      </c>
      <c r="C6788" s="10">
        <v>229.72030457527367</v>
      </c>
      <c r="D6788" s="42"/>
    </row>
    <row r="6789" spans="2:4" ht="16" thickBot="1" x14ac:dyDescent="0.25">
      <c r="B6789" s="5">
        <v>6784</v>
      </c>
      <c r="C6789" s="11">
        <v>293.16204395544628</v>
      </c>
      <c r="D6789" s="42"/>
    </row>
    <row r="6790" spans="2:4" ht="16" thickBot="1" x14ac:dyDescent="0.25">
      <c r="B6790" s="4">
        <v>6785</v>
      </c>
      <c r="C6790" s="10">
        <v>624.41639739515108</v>
      </c>
      <c r="D6790" s="42"/>
    </row>
    <row r="6791" spans="2:4" ht="16" thickBot="1" x14ac:dyDescent="0.25">
      <c r="B6791" s="5">
        <v>6786</v>
      </c>
      <c r="C6791" s="11">
        <v>125.83511080498731</v>
      </c>
      <c r="D6791" s="42"/>
    </row>
    <row r="6792" spans="2:4" ht="16" thickBot="1" x14ac:dyDescent="0.25">
      <c r="B6792" s="4">
        <v>6787</v>
      </c>
      <c r="C6792" s="10">
        <v>141.1961854082065</v>
      </c>
      <c r="D6792" s="42"/>
    </row>
    <row r="6793" spans="2:4" ht="16" thickBot="1" x14ac:dyDescent="0.25">
      <c r="B6793" s="5">
        <v>6788</v>
      </c>
      <c r="C6793" s="11">
        <v>529.90173351837529</v>
      </c>
      <c r="D6793" s="42"/>
    </row>
    <row r="6794" spans="2:4" ht="16" thickBot="1" x14ac:dyDescent="0.25">
      <c r="B6794" s="4">
        <v>6789</v>
      </c>
      <c r="C6794" s="10">
        <v>41.761747597754145</v>
      </c>
      <c r="D6794" s="42"/>
    </row>
    <row r="6795" spans="2:4" ht="16" thickBot="1" x14ac:dyDescent="0.25">
      <c r="B6795" s="5">
        <v>6790</v>
      </c>
      <c r="C6795" s="11">
        <v>152.44379675355762</v>
      </c>
      <c r="D6795" s="42"/>
    </row>
    <row r="6796" spans="2:4" ht="16" thickBot="1" x14ac:dyDescent="0.25">
      <c r="B6796" s="4">
        <v>6791</v>
      </c>
      <c r="C6796" s="10">
        <v>76.678240431442774</v>
      </c>
      <c r="D6796" s="42"/>
    </row>
    <row r="6797" spans="2:4" ht="16" thickBot="1" x14ac:dyDescent="0.25">
      <c r="B6797" s="5">
        <v>6792</v>
      </c>
      <c r="C6797" s="11">
        <v>179.66432836094583</v>
      </c>
      <c r="D6797" s="42"/>
    </row>
    <row r="6798" spans="2:4" ht="16" thickBot="1" x14ac:dyDescent="0.25">
      <c r="B6798" s="4">
        <v>6793</v>
      </c>
      <c r="C6798" s="10">
        <v>333.87958537587315</v>
      </c>
      <c r="D6798" s="42"/>
    </row>
    <row r="6799" spans="2:4" ht="16" thickBot="1" x14ac:dyDescent="0.25">
      <c r="B6799" s="5">
        <v>6794</v>
      </c>
      <c r="C6799" s="11">
        <v>289.36200731559381</v>
      </c>
      <c r="D6799" s="42"/>
    </row>
    <row r="6800" spans="2:4" ht="16" thickBot="1" x14ac:dyDescent="0.25">
      <c r="B6800" s="4">
        <v>6795</v>
      </c>
      <c r="C6800" s="10">
        <v>218.54062974401967</v>
      </c>
      <c r="D6800" s="42"/>
    </row>
    <row r="6801" spans="2:4" ht="16" thickBot="1" x14ac:dyDescent="0.25">
      <c r="B6801" s="5">
        <v>6796</v>
      </c>
      <c r="C6801" s="11">
        <v>148.14147960610464</v>
      </c>
      <c r="D6801" s="42"/>
    </row>
    <row r="6802" spans="2:4" ht="16" thickBot="1" x14ac:dyDescent="0.25">
      <c r="B6802" s="4">
        <v>6797</v>
      </c>
      <c r="C6802" s="10">
        <v>289.96520104222918</v>
      </c>
      <c r="D6802" s="42"/>
    </row>
    <row r="6803" spans="2:4" ht="16" thickBot="1" x14ac:dyDescent="0.25">
      <c r="B6803" s="5">
        <v>6798</v>
      </c>
      <c r="C6803" s="11">
        <v>833.82778351529362</v>
      </c>
      <c r="D6803" s="42"/>
    </row>
    <row r="6804" spans="2:4" ht="16" thickBot="1" x14ac:dyDescent="0.25">
      <c r="B6804" s="4">
        <v>6799</v>
      </c>
      <c r="C6804" s="10">
        <v>337.02260153891029</v>
      </c>
      <c r="D6804" s="42"/>
    </row>
    <row r="6805" spans="2:4" ht="16" thickBot="1" x14ac:dyDescent="0.25">
      <c r="B6805" s="5">
        <v>6800</v>
      </c>
      <c r="C6805" s="11">
        <v>152.06187786675662</v>
      </c>
      <c r="D6805" s="42"/>
    </row>
    <row r="6806" spans="2:4" ht="16" thickBot="1" x14ac:dyDescent="0.25">
      <c r="B6806" s="4">
        <v>6801</v>
      </c>
      <c r="C6806" s="10">
        <v>146.12159600846906</v>
      </c>
      <c r="D6806" s="42"/>
    </row>
    <row r="6807" spans="2:4" ht="16" thickBot="1" x14ac:dyDescent="0.25">
      <c r="B6807" s="5">
        <v>6802</v>
      </c>
      <c r="C6807" s="11">
        <v>215.29094836283079</v>
      </c>
      <c r="D6807" s="42"/>
    </row>
    <row r="6808" spans="2:4" ht="16" thickBot="1" x14ac:dyDescent="0.25">
      <c r="B6808" s="4">
        <v>6803</v>
      </c>
      <c r="C6808" s="10">
        <v>126.23770039175326</v>
      </c>
      <c r="D6808" s="42"/>
    </row>
    <row r="6809" spans="2:4" ht="16" thickBot="1" x14ac:dyDescent="0.25">
      <c r="B6809" s="5">
        <v>6804</v>
      </c>
      <c r="C6809" s="11">
        <v>22.475028453890197</v>
      </c>
      <c r="D6809" s="42"/>
    </row>
    <row r="6810" spans="2:4" ht="16" thickBot="1" x14ac:dyDescent="0.25">
      <c r="B6810" s="4">
        <v>6805</v>
      </c>
      <c r="C6810" s="10">
        <v>148.00394058109964</v>
      </c>
      <c r="D6810" s="42"/>
    </row>
    <row r="6811" spans="2:4" ht="16" thickBot="1" x14ac:dyDescent="0.25">
      <c r="B6811" s="5">
        <v>6806</v>
      </c>
      <c r="C6811" s="11">
        <v>80.684193244446959</v>
      </c>
      <c r="D6811" s="42"/>
    </row>
    <row r="6812" spans="2:4" ht="16" thickBot="1" x14ac:dyDescent="0.25">
      <c r="B6812" s="4">
        <v>6807</v>
      </c>
      <c r="C6812" s="10">
        <v>157.79434908469955</v>
      </c>
      <c r="D6812" s="42"/>
    </row>
    <row r="6813" spans="2:4" ht="16" thickBot="1" x14ac:dyDescent="0.25">
      <c r="B6813" s="5">
        <v>6808</v>
      </c>
      <c r="C6813" s="11">
        <v>301.55356606961811</v>
      </c>
      <c r="D6813" s="42"/>
    </row>
    <row r="6814" spans="2:4" ht="16" thickBot="1" x14ac:dyDescent="0.25">
      <c r="B6814" s="4">
        <v>6809</v>
      </c>
      <c r="C6814" s="10">
        <v>106.47323679873101</v>
      </c>
      <c r="D6814" s="42"/>
    </row>
    <row r="6815" spans="2:4" ht="16" thickBot="1" x14ac:dyDescent="0.25">
      <c r="B6815" s="5">
        <v>6810</v>
      </c>
      <c r="C6815" s="11">
        <v>248.02398937107043</v>
      </c>
      <c r="D6815" s="42"/>
    </row>
    <row r="6816" spans="2:4" ht="16" thickBot="1" x14ac:dyDescent="0.25">
      <c r="B6816" s="4">
        <v>6811</v>
      </c>
      <c r="C6816" s="10">
        <v>488.30737590258752</v>
      </c>
      <c r="D6816" s="42"/>
    </row>
    <row r="6817" spans="2:4" ht="16" thickBot="1" x14ac:dyDescent="0.25">
      <c r="B6817" s="5">
        <v>6812</v>
      </c>
      <c r="C6817" s="11">
        <v>185.23556498620647</v>
      </c>
      <c r="D6817" s="42"/>
    </row>
    <row r="6818" spans="2:4" ht="16" thickBot="1" x14ac:dyDescent="0.25">
      <c r="B6818" s="4">
        <v>6813</v>
      </c>
      <c r="C6818" s="10">
        <v>163.17130470429251</v>
      </c>
      <c r="D6818" s="42"/>
    </row>
    <row r="6819" spans="2:4" ht="16" thickBot="1" x14ac:dyDescent="0.25">
      <c r="B6819" s="5">
        <v>6814</v>
      </c>
      <c r="C6819" s="11">
        <v>391.93689067143072</v>
      </c>
      <c r="D6819" s="42"/>
    </row>
    <row r="6820" spans="2:4" ht="16" thickBot="1" x14ac:dyDescent="0.25">
      <c r="B6820" s="4">
        <v>6815</v>
      </c>
      <c r="C6820" s="10">
        <v>215.19608342350526</v>
      </c>
      <c r="D6820" s="42"/>
    </row>
    <row r="6821" spans="2:4" ht="16" thickBot="1" x14ac:dyDescent="0.25">
      <c r="B6821" s="5">
        <v>6816</v>
      </c>
      <c r="C6821" s="11">
        <v>376.37411725788934</v>
      </c>
      <c r="D6821" s="42"/>
    </row>
    <row r="6822" spans="2:4" ht="16" thickBot="1" x14ac:dyDescent="0.25">
      <c r="B6822" s="4">
        <v>6817</v>
      </c>
      <c r="C6822" s="10">
        <v>300.78253939464514</v>
      </c>
      <c r="D6822" s="42"/>
    </row>
    <row r="6823" spans="2:4" ht="16" thickBot="1" x14ac:dyDescent="0.25">
      <c r="B6823" s="5">
        <v>6818</v>
      </c>
      <c r="C6823" s="11">
        <v>210.80472940905267</v>
      </c>
      <c r="D6823" s="42"/>
    </row>
    <row r="6824" spans="2:4" ht="16" thickBot="1" x14ac:dyDescent="0.25">
      <c r="B6824" s="4">
        <v>6819</v>
      </c>
      <c r="C6824" s="10">
        <v>249.46612749142309</v>
      </c>
      <c r="D6824" s="42"/>
    </row>
    <row r="6825" spans="2:4" ht="16" thickBot="1" x14ac:dyDescent="0.25">
      <c r="B6825" s="5">
        <v>6820</v>
      </c>
      <c r="C6825" s="11">
        <v>351.73641741132082</v>
      </c>
      <c r="D6825" s="42"/>
    </row>
    <row r="6826" spans="2:4" ht="16" thickBot="1" x14ac:dyDescent="0.25">
      <c r="B6826" s="4">
        <v>6821</v>
      </c>
      <c r="C6826" s="10">
        <v>94.640751911912929</v>
      </c>
      <c r="D6826" s="42"/>
    </row>
    <row r="6827" spans="2:4" ht="16" thickBot="1" x14ac:dyDescent="0.25">
      <c r="B6827" s="5">
        <v>6822</v>
      </c>
      <c r="C6827" s="11">
        <v>317.98715507498935</v>
      </c>
      <c r="D6827" s="42"/>
    </row>
    <row r="6828" spans="2:4" ht="16" thickBot="1" x14ac:dyDescent="0.25">
      <c r="B6828" s="4">
        <v>6823</v>
      </c>
      <c r="C6828" s="10">
        <v>377.17369429479703</v>
      </c>
      <c r="D6828" s="42"/>
    </row>
    <row r="6829" spans="2:4" ht="16" thickBot="1" x14ac:dyDescent="0.25">
      <c r="B6829" s="5">
        <v>6824</v>
      </c>
      <c r="C6829" s="11">
        <v>263.07671334374925</v>
      </c>
      <c r="D6829" s="42"/>
    </row>
    <row r="6830" spans="2:4" ht="16" thickBot="1" x14ac:dyDescent="0.25">
      <c r="B6830" s="4">
        <v>6825</v>
      </c>
      <c r="C6830" s="10">
        <v>158.05494941113002</v>
      </c>
      <c r="D6830" s="42"/>
    </row>
    <row r="6831" spans="2:4" ht="16" thickBot="1" x14ac:dyDescent="0.25">
      <c r="B6831" s="5">
        <v>6826</v>
      </c>
      <c r="C6831" s="11">
        <v>216.47339801788056</v>
      </c>
      <c r="D6831" s="42"/>
    </row>
    <row r="6832" spans="2:4" ht="16" thickBot="1" x14ac:dyDescent="0.25">
      <c r="B6832" s="4">
        <v>6827</v>
      </c>
      <c r="C6832" s="10">
        <v>369.12024891797603</v>
      </c>
      <c r="D6832" s="42"/>
    </row>
    <row r="6833" spans="2:4" ht="16" thickBot="1" x14ac:dyDescent="0.25">
      <c r="B6833" s="5">
        <v>6828</v>
      </c>
      <c r="C6833" s="11">
        <v>532.76655925518116</v>
      </c>
      <c r="D6833" s="42"/>
    </row>
    <row r="6834" spans="2:4" ht="16" thickBot="1" x14ac:dyDescent="0.25">
      <c r="B6834" s="4">
        <v>6829</v>
      </c>
      <c r="C6834" s="10">
        <v>447.2970136863749</v>
      </c>
      <c r="D6834" s="42"/>
    </row>
    <row r="6835" spans="2:4" ht="16" thickBot="1" x14ac:dyDescent="0.25">
      <c r="B6835" s="5">
        <v>6830</v>
      </c>
      <c r="C6835" s="11">
        <v>196.03587439507709</v>
      </c>
      <c r="D6835" s="42"/>
    </row>
    <row r="6836" spans="2:4" ht="16" thickBot="1" x14ac:dyDescent="0.25">
      <c r="B6836" s="4">
        <v>6831</v>
      </c>
      <c r="C6836" s="10">
        <v>479.14206958877782</v>
      </c>
      <c r="D6836" s="42"/>
    </row>
    <row r="6837" spans="2:4" ht="16" thickBot="1" x14ac:dyDescent="0.25">
      <c r="B6837" s="5">
        <v>6832</v>
      </c>
      <c r="C6837" s="11">
        <v>474.93000802030269</v>
      </c>
      <c r="D6837" s="42"/>
    </row>
    <row r="6838" spans="2:4" ht="16" thickBot="1" x14ac:dyDescent="0.25">
      <c r="B6838" s="4">
        <v>6833</v>
      </c>
      <c r="C6838" s="10">
        <v>67.689090812750564</v>
      </c>
      <c r="D6838" s="42"/>
    </row>
    <row r="6839" spans="2:4" ht="16" thickBot="1" x14ac:dyDescent="0.25">
      <c r="B6839" s="5">
        <v>6834</v>
      </c>
      <c r="C6839" s="11">
        <v>167.04402604051447</v>
      </c>
      <c r="D6839" s="42"/>
    </row>
    <row r="6840" spans="2:4" ht="16" thickBot="1" x14ac:dyDescent="0.25">
      <c r="B6840" s="4">
        <v>6835</v>
      </c>
      <c r="C6840" s="10">
        <v>331.03990535876954</v>
      </c>
      <c r="D6840" s="42"/>
    </row>
    <row r="6841" spans="2:4" ht="16" thickBot="1" x14ac:dyDescent="0.25">
      <c r="B6841" s="5">
        <v>6836</v>
      </c>
      <c r="C6841" s="11">
        <v>138.78704416659255</v>
      </c>
      <c r="D6841" s="42"/>
    </row>
    <row r="6842" spans="2:4" ht="16" thickBot="1" x14ac:dyDescent="0.25">
      <c r="B6842" s="4">
        <v>6837</v>
      </c>
      <c r="C6842" s="10">
        <v>506.01279588803664</v>
      </c>
      <c r="D6842" s="42"/>
    </row>
    <row r="6843" spans="2:4" ht="16" thickBot="1" x14ac:dyDescent="0.25">
      <c r="B6843" s="5">
        <v>6838</v>
      </c>
      <c r="C6843" s="11">
        <v>122.74760821373971</v>
      </c>
      <c r="D6843" s="42"/>
    </row>
    <row r="6844" spans="2:4" ht="16" thickBot="1" x14ac:dyDescent="0.25">
      <c r="B6844" s="4">
        <v>6839</v>
      </c>
      <c r="C6844" s="10">
        <v>1077.0996048056682</v>
      </c>
      <c r="D6844" s="42"/>
    </row>
    <row r="6845" spans="2:4" ht="16" thickBot="1" x14ac:dyDescent="0.25">
      <c r="B6845" s="5">
        <v>6840</v>
      </c>
      <c r="C6845" s="11">
        <v>356.04882855081877</v>
      </c>
      <c r="D6845" s="42"/>
    </row>
    <row r="6846" spans="2:4" ht="16" thickBot="1" x14ac:dyDescent="0.25">
      <c r="B6846" s="4">
        <v>6841</v>
      </c>
      <c r="C6846" s="10">
        <v>258.40831539791134</v>
      </c>
      <c r="D6846" s="42"/>
    </row>
    <row r="6847" spans="2:4" ht="16" thickBot="1" x14ac:dyDescent="0.25">
      <c r="B6847" s="5">
        <v>6842</v>
      </c>
      <c r="C6847" s="11">
        <v>205.47921812416715</v>
      </c>
      <c r="D6847" s="42"/>
    </row>
    <row r="6848" spans="2:4" ht="16" thickBot="1" x14ac:dyDescent="0.25">
      <c r="B6848" s="4">
        <v>6843</v>
      </c>
      <c r="C6848" s="10">
        <v>1057.1664952008625</v>
      </c>
      <c r="D6848" s="42"/>
    </row>
    <row r="6849" spans="2:4" ht="16" thickBot="1" x14ac:dyDescent="0.25">
      <c r="B6849" s="5">
        <v>6844</v>
      </c>
      <c r="C6849" s="11">
        <v>309.2515574914114</v>
      </c>
      <c r="D6849" s="42"/>
    </row>
    <row r="6850" spans="2:4" ht="16" thickBot="1" x14ac:dyDescent="0.25">
      <c r="B6850" s="4">
        <v>6845</v>
      </c>
      <c r="C6850" s="10">
        <v>350.13471735975287</v>
      </c>
      <c r="D6850" s="42"/>
    </row>
    <row r="6851" spans="2:4" ht="16" thickBot="1" x14ac:dyDescent="0.25">
      <c r="B6851" s="5">
        <v>6846</v>
      </c>
      <c r="C6851" s="11">
        <v>267.44188508959803</v>
      </c>
      <c r="D6851" s="42"/>
    </row>
    <row r="6852" spans="2:4" ht="16" thickBot="1" x14ac:dyDescent="0.25">
      <c r="B6852" s="4">
        <v>6847</v>
      </c>
      <c r="C6852" s="10">
        <v>323.52022304827716</v>
      </c>
      <c r="D6852" s="42"/>
    </row>
    <row r="6853" spans="2:4" ht="16" thickBot="1" x14ac:dyDescent="0.25">
      <c r="B6853" s="5">
        <v>6848</v>
      </c>
      <c r="C6853" s="11">
        <v>137.04414972051077</v>
      </c>
      <c r="D6853" s="42"/>
    </row>
    <row r="6854" spans="2:4" ht="16" thickBot="1" x14ac:dyDescent="0.25">
      <c r="B6854" s="4">
        <v>6849</v>
      </c>
      <c r="C6854" s="10">
        <v>156.23831076875464</v>
      </c>
      <c r="D6854" s="42"/>
    </row>
    <row r="6855" spans="2:4" ht="16" thickBot="1" x14ac:dyDescent="0.25">
      <c r="B6855" s="5">
        <v>6850</v>
      </c>
      <c r="C6855" s="11">
        <v>249.59252510863641</v>
      </c>
      <c r="D6855" s="42"/>
    </row>
    <row r="6856" spans="2:4" ht="16" thickBot="1" x14ac:dyDescent="0.25">
      <c r="B6856" s="4">
        <v>6851</v>
      </c>
      <c r="C6856" s="10">
        <v>194.6719590486901</v>
      </c>
      <c r="D6856" s="42"/>
    </row>
    <row r="6857" spans="2:4" ht="16" thickBot="1" x14ac:dyDescent="0.25">
      <c r="B6857" s="5">
        <v>6852</v>
      </c>
      <c r="C6857" s="11">
        <v>341.59041628319409</v>
      </c>
      <c r="D6857" s="42"/>
    </row>
    <row r="6858" spans="2:4" ht="16" thickBot="1" x14ac:dyDescent="0.25">
      <c r="B6858" s="4">
        <v>6853</v>
      </c>
      <c r="C6858" s="10">
        <v>322.94569804872407</v>
      </c>
      <c r="D6858" s="42"/>
    </row>
    <row r="6859" spans="2:4" ht="16" thickBot="1" x14ac:dyDescent="0.25">
      <c r="B6859" s="5">
        <v>6854</v>
      </c>
      <c r="C6859" s="11">
        <v>503.76917280093107</v>
      </c>
      <c r="D6859" s="42"/>
    </row>
    <row r="6860" spans="2:4" ht="16" thickBot="1" x14ac:dyDescent="0.25">
      <c r="B6860" s="4">
        <v>6855</v>
      </c>
      <c r="C6860" s="10">
        <v>205.89380267073776</v>
      </c>
      <c r="D6860" s="42"/>
    </row>
    <row r="6861" spans="2:4" ht="16" thickBot="1" x14ac:dyDescent="0.25">
      <c r="B6861" s="5">
        <v>6856</v>
      </c>
      <c r="C6861" s="11">
        <v>142.46115973880535</v>
      </c>
      <c r="D6861" s="42"/>
    </row>
    <row r="6862" spans="2:4" ht="16" thickBot="1" x14ac:dyDescent="0.25">
      <c r="B6862" s="4">
        <v>6857</v>
      </c>
      <c r="C6862" s="10">
        <v>308.60235768548642</v>
      </c>
      <c r="D6862" s="42"/>
    </row>
    <row r="6863" spans="2:4" ht="16" thickBot="1" x14ac:dyDescent="0.25">
      <c r="B6863" s="5">
        <v>6858</v>
      </c>
      <c r="C6863" s="11">
        <v>495.45714318082668</v>
      </c>
      <c r="D6863" s="42"/>
    </row>
    <row r="6864" spans="2:4" ht="16" thickBot="1" x14ac:dyDescent="0.25">
      <c r="B6864" s="4">
        <v>6859</v>
      </c>
      <c r="C6864" s="10">
        <v>296.97007811469075</v>
      </c>
      <c r="D6864" s="42"/>
    </row>
    <row r="6865" spans="2:4" ht="16" thickBot="1" x14ac:dyDescent="0.25">
      <c r="B6865" s="5">
        <v>6860</v>
      </c>
      <c r="C6865" s="11">
        <v>131.32816052020311</v>
      </c>
      <c r="D6865" s="42"/>
    </row>
    <row r="6866" spans="2:4" ht="16" thickBot="1" x14ac:dyDescent="0.25">
      <c r="B6866" s="4">
        <v>6861</v>
      </c>
      <c r="C6866" s="10">
        <v>596.5349693720226</v>
      </c>
      <c r="D6866" s="42"/>
    </row>
    <row r="6867" spans="2:4" ht="16" thickBot="1" x14ac:dyDescent="0.25">
      <c r="B6867" s="5">
        <v>6862</v>
      </c>
      <c r="C6867" s="11">
        <v>241.16496936804944</v>
      </c>
      <c r="D6867" s="42"/>
    </row>
    <row r="6868" spans="2:4" ht="16" thickBot="1" x14ac:dyDescent="0.25">
      <c r="B6868" s="4">
        <v>6863</v>
      </c>
      <c r="C6868" s="10">
        <v>235.03937185865226</v>
      </c>
      <c r="D6868" s="42"/>
    </row>
    <row r="6869" spans="2:4" ht="16" thickBot="1" x14ac:dyDescent="0.25">
      <c r="B6869" s="5">
        <v>6864</v>
      </c>
      <c r="C6869" s="11">
        <v>334.05399064364633</v>
      </c>
      <c r="D6869" s="42"/>
    </row>
    <row r="6870" spans="2:4" ht="16" thickBot="1" x14ac:dyDescent="0.25">
      <c r="B6870" s="4">
        <v>6865</v>
      </c>
      <c r="C6870" s="10">
        <v>365.62485626930658</v>
      </c>
      <c r="D6870" s="42"/>
    </row>
    <row r="6871" spans="2:4" ht="16" thickBot="1" x14ac:dyDescent="0.25">
      <c r="B6871" s="5">
        <v>6866</v>
      </c>
      <c r="C6871" s="11">
        <v>739.6753687110396</v>
      </c>
      <c r="D6871" s="42"/>
    </row>
    <row r="6872" spans="2:4" ht="16" thickBot="1" x14ac:dyDescent="0.25">
      <c r="B6872" s="4">
        <v>6867</v>
      </c>
      <c r="C6872" s="10">
        <v>129.92514179328782</v>
      </c>
      <c r="D6872" s="42"/>
    </row>
    <row r="6873" spans="2:4" ht="16" thickBot="1" x14ac:dyDescent="0.25">
      <c r="B6873" s="5">
        <v>6868</v>
      </c>
      <c r="C6873" s="11">
        <v>266.99217278005096</v>
      </c>
      <c r="D6873" s="42"/>
    </row>
    <row r="6874" spans="2:4" ht="16" thickBot="1" x14ac:dyDescent="0.25">
      <c r="B6874" s="4">
        <v>6869</v>
      </c>
      <c r="C6874" s="10">
        <v>271.38975184274727</v>
      </c>
      <c r="D6874" s="42"/>
    </row>
    <row r="6875" spans="2:4" ht="16" thickBot="1" x14ac:dyDescent="0.25">
      <c r="B6875" s="5">
        <v>6870</v>
      </c>
      <c r="C6875" s="11">
        <v>143.87877694522646</v>
      </c>
      <c r="D6875" s="42"/>
    </row>
    <row r="6876" spans="2:4" ht="16" thickBot="1" x14ac:dyDescent="0.25">
      <c r="B6876" s="4">
        <v>6871</v>
      </c>
      <c r="C6876" s="10">
        <v>474.7964930844746</v>
      </c>
      <c r="D6876" s="42"/>
    </row>
    <row r="6877" spans="2:4" ht="16" thickBot="1" x14ac:dyDescent="0.25">
      <c r="B6877" s="5">
        <v>6872</v>
      </c>
      <c r="C6877" s="11">
        <v>71.031207972453643</v>
      </c>
      <c r="D6877" s="42"/>
    </row>
    <row r="6878" spans="2:4" ht="16" thickBot="1" x14ac:dyDescent="0.25">
      <c r="B6878" s="4">
        <v>6873</v>
      </c>
      <c r="C6878" s="10">
        <v>23.598328747489159</v>
      </c>
      <c r="D6878" s="42"/>
    </row>
    <row r="6879" spans="2:4" ht="16" thickBot="1" x14ac:dyDescent="0.25">
      <c r="B6879" s="5">
        <v>6874</v>
      </c>
      <c r="C6879" s="11">
        <v>368.06191269886358</v>
      </c>
      <c r="D6879" s="42"/>
    </row>
    <row r="6880" spans="2:4" ht="16" thickBot="1" x14ac:dyDescent="0.25">
      <c r="B6880" s="4">
        <v>6875</v>
      </c>
      <c r="C6880" s="10">
        <v>311.32530714377208</v>
      </c>
      <c r="D6880" s="42"/>
    </row>
    <row r="6881" spans="2:4" ht="16" thickBot="1" x14ac:dyDescent="0.25">
      <c r="B6881" s="5">
        <v>6876</v>
      </c>
      <c r="C6881" s="11">
        <v>191.70468082338624</v>
      </c>
      <c r="D6881" s="42"/>
    </row>
    <row r="6882" spans="2:4" ht="16" thickBot="1" x14ac:dyDescent="0.25">
      <c r="B6882" s="4">
        <v>6877</v>
      </c>
      <c r="C6882" s="10">
        <v>341.43759516533902</v>
      </c>
      <c r="D6882" s="42"/>
    </row>
    <row r="6883" spans="2:4" ht="16" thickBot="1" x14ac:dyDescent="0.25">
      <c r="B6883" s="5">
        <v>6878</v>
      </c>
      <c r="C6883" s="11">
        <v>308.04723547790422</v>
      </c>
      <c r="D6883" s="42"/>
    </row>
    <row r="6884" spans="2:4" ht="16" thickBot="1" x14ac:dyDescent="0.25">
      <c r="B6884" s="4">
        <v>6879</v>
      </c>
      <c r="C6884" s="10">
        <v>316.18507733316989</v>
      </c>
      <c r="D6884" s="42"/>
    </row>
    <row r="6885" spans="2:4" ht="16" thickBot="1" x14ac:dyDescent="0.25">
      <c r="B6885" s="5">
        <v>6880</v>
      </c>
      <c r="C6885" s="11">
        <v>148.72295659985542</v>
      </c>
      <c r="D6885" s="42"/>
    </row>
    <row r="6886" spans="2:4" ht="16" thickBot="1" x14ac:dyDescent="0.25">
      <c r="B6886" s="4">
        <v>6881</v>
      </c>
      <c r="C6886" s="10">
        <v>106.38618744720969</v>
      </c>
      <c r="D6886" s="42"/>
    </row>
    <row r="6887" spans="2:4" ht="16" thickBot="1" x14ac:dyDescent="0.25">
      <c r="B6887" s="5">
        <v>6882</v>
      </c>
      <c r="C6887" s="11">
        <v>163.94422046665647</v>
      </c>
      <c r="D6887" s="42"/>
    </row>
    <row r="6888" spans="2:4" ht="16" thickBot="1" x14ac:dyDescent="0.25">
      <c r="B6888" s="4">
        <v>6883</v>
      </c>
      <c r="C6888" s="10">
        <v>154.86626278894437</v>
      </c>
      <c r="D6888" s="42"/>
    </row>
    <row r="6889" spans="2:4" ht="16" thickBot="1" x14ac:dyDescent="0.25">
      <c r="B6889" s="5">
        <v>6884</v>
      </c>
      <c r="C6889" s="11">
        <v>340.95661148041671</v>
      </c>
      <c r="D6889" s="42"/>
    </row>
    <row r="6890" spans="2:4" ht="16" thickBot="1" x14ac:dyDescent="0.25">
      <c r="B6890" s="4">
        <v>6885</v>
      </c>
      <c r="C6890" s="10">
        <v>283.44243123715313</v>
      </c>
      <c r="D6890" s="42"/>
    </row>
    <row r="6891" spans="2:4" ht="16" thickBot="1" x14ac:dyDescent="0.25">
      <c r="B6891" s="5">
        <v>6886</v>
      </c>
      <c r="C6891" s="11">
        <v>104.05939446404258</v>
      </c>
      <c r="D6891" s="42"/>
    </row>
    <row r="6892" spans="2:4" ht="16" thickBot="1" x14ac:dyDescent="0.25">
      <c r="B6892" s="4">
        <v>6887</v>
      </c>
      <c r="C6892" s="10">
        <v>213.55866167525653</v>
      </c>
      <c r="D6892" s="42"/>
    </row>
    <row r="6893" spans="2:4" ht="16" thickBot="1" x14ac:dyDescent="0.25">
      <c r="B6893" s="5">
        <v>6888</v>
      </c>
      <c r="C6893" s="11">
        <v>216.69449741932544</v>
      </c>
      <c r="D6893" s="42"/>
    </row>
    <row r="6894" spans="2:4" ht="16" thickBot="1" x14ac:dyDescent="0.25">
      <c r="B6894" s="4">
        <v>6889</v>
      </c>
      <c r="C6894" s="10">
        <v>249.46558436104021</v>
      </c>
      <c r="D6894" s="42"/>
    </row>
    <row r="6895" spans="2:4" ht="16" thickBot="1" x14ac:dyDescent="0.25">
      <c r="B6895" s="5">
        <v>6890</v>
      </c>
      <c r="C6895" s="11">
        <v>311.94439537467531</v>
      </c>
      <c r="D6895" s="42"/>
    </row>
    <row r="6896" spans="2:4" ht="16" thickBot="1" x14ac:dyDescent="0.25">
      <c r="B6896" s="4">
        <v>6891</v>
      </c>
      <c r="C6896" s="10">
        <v>237.98341087059646</v>
      </c>
      <c r="D6896" s="42"/>
    </row>
    <row r="6897" spans="2:4" ht="16" thickBot="1" x14ac:dyDescent="0.25">
      <c r="B6897" s="5">
        <v>6892</v>
      </c>
      <c r="C6897" s="11">
        <v>48.94536140294754</v>
      </c>
      <c r="D6897" s="42"/>
    </row>
    <row r="6898" spans="2:4" ht="16" thickBot="1" x14ac:dyDescent="0.25">
      <c r="B6898" s="4">
        <v>6893</v>
      </c>
      <c r="C6898" s="10">
        <v>379.89656200596363</v>
      </c>
      <c r="D6898" s="42"/>
    </row>
    <row r="6899" spans="2:4" ht="16" thickBot="1" x14ac:dyDescent="0.25">
      <c r="B6899" s="5">
        <v>6894</v>
      </c>
      <c r="C6899" s="11">
        <v>385.20385447494135</v>
      </c>
      <c r="D6899" s="42"/>
    </row>
    <row r="6900" spans="2:4" ht="16" thickBot="1" x14ac:dyDescent="0.25">
      <c r="B6900" s="4">
        <v>6895</v>
      </c>
      <c r="C6900" s="10">
        <v>67.279993930906997</v>
      </c>
      <c r="D6900" s="42"/>
    </row>
    <row r="6901" spans="2:4" ht="16" thickBot="1" x14ac:dyDescent="0.25">
      <c r="B6901" s="5">
        <v>6896</v>
      </c>
      <c r="C6901" s="11">
        <v>388.0672931435513</v>
      </c>
      <c r="D6901" s="42"/>
    </row>
    <row r="6902" spans="2:4" ht="16" thickBot="1" x14ac:dyDescent="0.25">
      <c r="B6902" s="4">
        <v>6897</v>
      </c>
      <c r="C6902" s="10">
        <v>325.89140089805738</v>
      </c>
      <c r="D6902" s="42"/>
    </row>
    <row r="6903" spans="2:4" ht="16" thickBot="1" x14ac:dyDescent="0.25">
      <c r="B6903" s="5">
        <v>6898</v>
      </c>
      <c r="C6903" s="11">
        <v>276.00630475826171</v>
      </c>
      <c r="D6903" s="42"/>
    </row>
    <row r="6904" spans="2:4" ht="16" thickBot="1" x14ac:dyDescent="0.25">
      <c r="B6904" s="4">
        <v>6899</v>
      </c>
      <c r="C6904" s="10">
        <v>203.82650389456242</v>
      </c>
      <c r="D6904" s="42"/>
    </row>
    <row r="6905" spans="2:4" ht="16" thickBot="1" x14ac:dyDescent="0.25">
      <c r="B6905" s="5">
        <v>6900</v>
      </c>
      <c r="C6905" s="11">
        <v>280.78360913671162</v>
      </c>
      <c r="D6905" s="42"/>
    </row>
    <row r="6906" spans="2:4" ht="16" thickBot="1" x14ac:dyDescent="0.25">
      <c r="B6906" s="4">
        <v>6901</v>
      </c>
      <c r="C6906" s="10">
        <v>244.06652827892293</v>
      </c>
      <c r="D6906" s="42"/>
    </row>
    <row r="6907" spans="2:4" ht="16" thickBot="1" x14ac:dyDescent="0.25">
      <c r="B6907" s="5">
        <v>6902</v>
      </c>
      <c r="C6907" s="11">
        <v>181.72580313116589</v>
      </c>
      <c r="D6907" s="42"/>
    </row>
    <row r="6908" spans="2:4" ht="16" thickBot="1" x14ac:dyDescent="0.25">
      <c r="B6908" s="4">
        <v>6903</v>
      </c>
      <c r="C6908" s="10">
        <v>132.72823627472755</v>
      </c>
      <c r="D6908" s="42"/>
    </row>
    <row r="6909" spans="2:4" ht="16" thickBot="1" x14ac:dyDescent="0.25">
      <c r="B6909" s="5">
        <v>6904</v>
      </c>
      <c r="C6909" s="11">
        <v>386.82783412963232</v>
      </c>
      <c r="D6909" s="42"/>
    </row>
    <row r="6910" spans="2:4" ht="16" thickBot="1" x14ac:dyDescent="0.25">
      <c r="B6910" s="4">
        <v>6905</v>
      </c>
      <c r="C6910" s="10">
        <v>267.2496022064359</v>
      </c>
      <c r="D6910" s="42"/>
    </row>
    <row r="6911" spans="2:4" ht="16" thickBot="1" x14ac:dyDescent="0.25">
      <c r="B6911" s="5">
        <v>6906</v>
      </c>
      <c r="C6911" s="11">
        <v>228.1789412282092</v>
      </c>
      <c r="D6911" s="42"/>
    </row>
    <row r="6912" spans="2:4" ht="16" thickBot="1" x14ac:dyDescent="0.25">
      <c r="B6912" s="4">
        <v>6907</v>
      </c>
      <c r="C6912" s="10">
        <v>116.76152821734925</v>
      </c>
      <c r="D6912" s="42"/>
    </row>
    <row r="6913" spans="2:4" ht="16" thickBot="1" x14ac:dyDescent="0.25">
      <c r="B6913" s="5">
        <v>6908</v>
      </c>
      <c r="C6913" s="11">
        <v>334.24973034384698</v>
      </c>
      <c r="D6913" s="42"/>
    </row>
    <row r="6914" spans="2:4" ht="16" thickBot="1" x14ac:dyDescent="0.25">
      <c r="B6914" s="4">
        <v>6909</v>
      </c>
      <c r="C6914" s="10">
        <v>331.90484139603666</v>
      </c>
      <c r="D6914" s="42"/>
    </row>
    <row r="6915" spans="2:4" ht="16" thickBot="1" x14ac:dyDescent="0.25">
      <c r="B6915" s="5">
        <v>6910</v>
      </c>
      <c r="C6915" s="11">
        <v>162.03608751451029</v>
      </c>
      <c r="D6915" s="42"/>
    </row>
    <row r="6916" spans="2:4" ht="16" thickBot="1" x14ac:dyDescent="0.25">
      <c r="B6916" s="4">
        <v>6911</v>
      </c>
      <c r="C6916" s="10">
        <v>380.65324002086419</v>
      </c>
      <c r="D6916" s="42"/>
    </row>
    <row r="6917" spans="2:4" ht="16" thickBot="1" x14ac:dyDescent="0.25">
      <c r="B6917" s="5">
        <v>6912</v>
      </c>
      <c r="C6917" s="11">
        <v>216.18291847332395</v>
      </c>
      <c r="D6917" s="42"/>
    </row>
    <row r="6918" spans="2:4" ht="16" thickBot="1" x14ac:dyDescent="0.25">
      <c r="B6918" s="4">
        <v>6913</v>
      </c>
      <c r="C6918" s="10">
        <v>311.30544486085063</v>
      </c>
      <c r="D6918" s="42"/>
    </row>
    <row r="6919" spans="2:4" ht="16" thickBot="1" x14ac:dyDescent="0.25">
      <c r="B6919" s="5">
        <v>6914</v>
      </c>
      <c r="C6919" s="11">
        <v>293.71191044256335</v>
      </c>
      <c r="D6919" s="42"/>
    </row>
    <row r="6920" spans="2:4" ht="16" thickBot="1" x14ac:dyDescent="0.25">
      <c r="B6920" s="4">
        <v>6915</v>
      </c>
      <c r="C6920" s="10">
        <v>473.50600455939377</v>
      </c>
      <c r="D6920" s="42"/>
    </row>
    <row r="6921" spans="2:4" ht="16" thickBot="1" x14ac:dyDescent="0.25">
      <c r="B6921" s="5">
        <v>6916</v>
      </c>
      <c r="C6921" s="11">
        <v>19.66545359136714</v>
      </c>
      <c r="D6921" s="42"/>
    </row>
    <row r="6922" spans="2:4" ht="16" thickBot="1" x14ac:dyDescent="0.25">
      <c r="B6922" s="4">
        <v>6917</v>
      </c>
      <c r="C6922" s="10">
        <v>70.724201959738622</v>
      </c>
      <c r="D6922" s="42"/>
    </row>
    <row r="6923" spans="2:4" ht="16" thickBot="1" x14ac:dyDescent="0.25">
      <c r="B6923" s="5">
        <v>6918</v>
      </c>
      <c r="C6923" s="11">
        <v>135.38121506752879</v>
      </c>
      <c r="D6923" s="42"/>
    </row>
    <row r="6924" spans="2:4" ht="16" thickBot="1" x14ac:dyDescent="0.25">
      <c r="B6924" s="4">
        <v>6919</v>
      </c>
      <c r="C6924" s="10">
        <v>127.42488810078822</v>
      </c>
      <c r="D6924" s="42"/>
    </row>
    <row r="6925" spans="2:4" ht="16" thickBot="1" x14ac:dyDescent="0.25">
      <c r="B6925" s="5">
        <v>6920</v>
      </c>
      <c r="C6925" s="11">
        <v>189.99774320117498</v>
      </c>
      <c r="D6925" s="42"/>
    </row>
    <row r="6926" spans="2:4" ht="16" thickBot="1" x14ac:dyDescent="0.25">
      <c r="B6926" s="4">
        <v>6921</v>
      </c>
      <c r="C6926" s="10">
        <v>520.66888950164457</v>
      </c>
      <c r="D6926" s="42"/>
    </row>
    <row r="6927" spans="2:4" ht="16" thickBot="1" x14ac:dyDescent="0.25">
      <c r="B6927" s="5">
        <v>6922</v>
      </c>
      <c r="C6927" s="11">
        <v>528.27532397991195</v>
      </c>
      <c r="D6927" s="42"/>
    </row>
    <row r="6928" spans="2:4" ht="16" thickBot="1" x14ac:dyDescent="0.25">
      <c r="B6928" s="4">
        <v>6923</v>
      </c>
      <c r="C6928" s="10">
        <v>94.78097697738751</v>
      </c>
      <c r="D6928" s="42"/>
    </row>
    <row r="6929" spans="2:4" ht="16" thickBot="1" x14ac:dyDescent="0.25">
      <c r="B6929" s="5">
        <v>6924</v>
      </c>
      <c r="C6929" s="11">
        <v>324.62363832403202</v>
      </c>
      <c r="D6929" s="42"/>
    </row>
    <row r="6930" spans="2:4" ht="16" thickBot="1" x14ac:dyDescent="0.25">
      <c r="B6930" s="4">
        <v>6925</v>
      </c>
      <c r="C6930" s="10">
        <v>80.060078420734513</v>
      </c>
      <c r="D6930" s="42"/>
    </row>
    <row r="6931" spans="2:4" ht="16" thickBot="1" x14ac:dyDescent="0.25">
      <c r="B6931" s="5">
        <v>6926</v>
      </c>
      <c r="C6931" s="11">
        <v>87.533934861626307</v>
      </c>
      <c r="D6931" s="42"/>
    </row>
    <row r="6932" spans="2:4" ht="16" thickBot="1" x14ac:dyDescent="0.25">
      <c r="B6932" s="4">
        <v>6927</v>
      </c>
      <c r="C6932" s="10">
        <v>393.82015727753236</v>
      </c>
      <c r="D6932" s="42"/>
    </row>
    <row r="6933" spans="2:4" ht="16" thickBot="1" x14ac:dyDescent="0.25">
      <c r="B6933" s="5">
        <v>6928</v>
      </c>
      <c r="C6933" s="11">
        <v>36.226581649180687</v>
      </c>
      <c r="D6933" s="42"/>
    </row>
    <row r="6934" spans="2:4" ht="16" thickBot="1" x14ac:dyDescent="0.25">
      <c r="B6934" s="4">
        <v>6929</v>
      </c>
      <c r="C6934" s="10">
        <v>244.36016564457819</v>
      </c>
      <c r="D6934" s="42"/>
    </row>
    <row r="6935" spans="2:4" ht="16" thickBot="1" x14ac:dyDescent="0.25">
      <c r="B6935" s="5">
        <v>6930</v>
      </c>
      <c r="C6935" s="11">
        <v>299.91303305971383</v>
      </c>
      <c r="D6935" s="42"/>
    </row>
    <row r="6936" spans="2:4" ht="16" thickBot="1" x14ac:dyDescent="0.25">
      <c r="B6936" s="4">
        <v>6931</v>
      </c>
      <c r="C6936" s="10">
        <v>328.2278701364437</v>
      </c>
      <c r="D6936" s="42"/>
    </row>
    <row r="6937" spans="2:4" ht="16" thickBot="1" x14ac:dyDescent="0.25">
      <c r="B6937" s="5">
        <v>6932</v>
      </c>
      <c r="C6937" s="11">
        <v>75.765934639716107</v>
      </c>
      <c r="D6937" s="42"/>
    </row>
    <row r="6938" spans="2:4" ht="16" thickBot="1" x14ac:dyDescent="0.25">
      <c r="B6938" s="4">
        <v>6933</v>
      </c>
      <c r="C6938" s="10">
        <v>253.31563007946872</v>
      </c>
      <c r="D6938" s="42"/>
    </row>
    <row r="6939" spans="2:4" ht="16" thickBot="1" x14ac:dyDescent="0.25">
      <c r="B6939" s="5">
        <v>6934</v>
      </c>
      <c r="C6939" s="11">
        <v>95.272826536490456</v>
      </c>
      <c r="D6939" s="42"/>
    </row>
    <row r="6940" spans="2:4" ht="16" thickBot="1" x14ac:dyDescent="0.25">
      <c r="B6940" s="4">
        <v>6935</v>
      </c>
      <c r="C6940" s="10">
        <v>170.58736452534646</v>
      </c>
      <c r="D6940" s="42"/>
    </row>
    <row r="6941" spans="2:4" ht="16" thickBot="1" x14ac:dyDescent="0.25">
      <c r="B6941" s="5">
        <v>6936</v>
      </c>
      <c r="C6941" s="11">
        <v>99.697438514084268</v>
      </c>
      <c r="D6941" s="42"/>
    </row>
    <row r="6942" spans="2:4" ht="16" thickBot="1" x14ac:dyDescent="0.25">
      <c r="B6942" s="4">
        <v>6937</v>
      </c>
      <c r="C6942" s="10">
        <v>538.85916581380832</v>
      </c>
      <c r="D6942" s="42"/>
    </row>
    <row r="6943" spans="2:4" ht="16" thickBot="1" x14ac:dyDescent="0.25">
      <c r="B6943" s="5">
        <v>6938</v>
      </c>
      <c r="C6943" s="11">
        <v>115.01227616536808</v>
      </c>
      <c r="D6943" s="42"/>
    </row>
    <row r="6944" spans="2:4" ht="16" thickBot="1" x14ac:dyDescent="0.25">
      <c r="B6944" s="4">
        <v>6939</v>
      </c>
      <c r="C6944" s="10">
        <v>600.1593413551019</v>
      </c>
      <c r="D6944" s="42"/>
    </row>
    <row r="6945" spans="2:4" ht="16" thickBot="1" x14ac:dyDescent="0.25">
      <c r="B6945" s="5">
        <v>6940</v>
      </c>
      <c r="C6945" s="11">
        <v>115.59841004161888</v>
      </c>
      <c r="D6945" s="42"/>
    </row>
    <row r="6946" spans="2:4" ht="16" thickBot="1" x14ac:dyDescent="0.25">
      <c r="B6946" s="4">
        <v>6941</v>
      </c>
      <c r="C6946" s="10">
        <v>392.54788377329402</v>
      </c>
      <c r="D6946" s="42"/>
    </row>
    <row r="6947" spans="2:4" ht="16" thickBot="1" x14ac:dyDescent="0.25">
      <c r="B6947" s="5">
        <v>6942</v>
      </c>
      <c r="C6947" s="11">
        <v>465.23212827302518</v>
      </c>
      <c r="D6947" s="42"/>
    </row>
    <row r="6948" spans="2:4" ht="16" thickBot="1" x14ac:dyDescent="0.25">
      <c r="B6948" s="4">
        <v>6943</v>
      </c>
      <c r="C6948" s="10">
        <v>175.814801322026</v>
      </c>
      <c r="D6948" s="42"/>
    </row>
    <row r="6949" spans="2:4" ht="16" thickBot="1" x14ac:dyDescent="0.25">
      <c r="B6949" s="5">
        <v>6944</v>
      </c>
      <c r="C6949" s="11">
        <v>412.82039566455745</v>
      </c>
      <c r="D6949" s="42"/>
    </row>
    <row r="6950" spans="2:4" ht="16" thickBot="1" x14ac:dyDescent="0.25">
      <c r="B6950" s="4">
        <v>6945</v>
      </c>
      <c r="C6950" s="10">
        <v>476.88984680792458</v>
      </c>
      <c r="D6950" s="42"/>
    </row>
    <row r="6951" spans="2:4" ht="16" thickBot="1" x14ac:dyDescent="0.25">
      <c r="B6951" s="5">
        <v>6946</v>
      </c>
      <c r="C6951" s="11">
        <v>141.24778197972984</v>
      </c>
      <c r="D6951" s="42"/>
    </row>
    <row r="6952" spans="2:4" ht="16" thickBot="1" x14ac:dyDescent="0.25">
      <c r="B6952" s="4">
        <v>6947</v>
      </c>
      <c r="C6952" s="10">
        <v>188.88968049178709</v>
      </c>
      <c r="D6952" s="42"/>
    </row>
    <row r="6953" spans="2:4" ht="16" thickBot="1" x14ac:dyDescent="0.25">
      <c r="B6953" s="5">
        <v>6948</v>
      </c>
      <c r="C6953" s="11">
        <v>217.15533357518777</v>
      </c>
      <c r="D6953" s="42"/>
    </row>
    <row r="6954" spans="2:4" ht="16" thickBot="1" x14ac:dyDescent="0.25">
      <c r="B6954" s="4">
        <v>6949</v>
      </c>
      <c r="C6954" s="10">
        <v>132.99158270501914</v>
      </c>
      <c r="D6954" s="42"/>
    </row>
    <row r="6955" spans="2:4" ht="16" thickBot="1" x14ac:dyDescent="0.25">
      <c r="B6955" s="5">
        <v>6950</v>
      </c>
      <c r="C6955" s="11">
        <v>252.00373914785422</v>
      </c>
      <c r="D6955" s="42"/>
    </row>
    <row r="6956" spans="2:4" ht="16" thickBot="1" x14ac:dyDescent="0.25">
      <c r="B6956" s="4">
        <v>6951</v>
      </c>
      <c r="C6956" s="10">
        <v>84.463688121961951</v>
      </c>
      <c r="D6956" s="42"/>
    </row>
    <row r="6957" spans="2:4" ht="16" thickBot="1" x14ac:dyDescent="0.25">
      <c r="B6957" s="5">
        <v>6952</v>
      </c>
      <c r="C6957" s="11">
        <v>170.70015735176929</v>
      </c>
      <c r="D6957" s="42"/>
    </row>
    <row r="6958" spans="2:4" ht="16" thickBot="1" x14ac:dyDescent="0.25">
      <c r="B6958" s="4">
        <v>6953</v>
      </c>
      <c r="C6958" s="10">
        <v>416.00155537056628</v>
      </c>
      <c r="D6958" s="42"/>
    </row>
    <row r="6959" spans="2:4" ht="16" thickBot="1" x14ac:dyDescent="0.25">
      <c r="B6959" s="5">
        <v>6954</v>
      </c>
      <c r="C6959" s="11">
        <v>219.77225898633066</v>
      </c>
      <c r="D6959" s="42"/>
    </row>
    <row r="6960" spans="2:4" ht="16" thickBot="1" x14ac:dyDescent="0.25">
      <c r="B6960" s="4">
        <v>6955</v>
      </c>
      <c r="C6960" s="10">
        <v>318.28252431794795</v>
      </c>
      <c r="D6960" s="42"/>
    </row>
    <row r="6961" spans="2:4" ht="16" thickBot="1" x14ac:dyDescent="0.25">
      <c r="B6961" s="5">
        <v>6956</v>
      </c>
      <c r="C6961" s="11">
        <v>336.52812563438357</v>
      </c>
      <c r="D6961" s="42"/>
    </row>
    <row r="6962" spans="2:4" ht="16" thickBot="1" x14ac:dyDescent="0.25">
      <c r="B6962" s="4">
        <v>6957</v>
      </c>
      <c r="C6962" s="10">
        <v>336.89296250815562</v>
      </c>
      <c r="D6962" s="42"/>
    </row>
    <row r="6963" spans="2:4" ht="16" thickBot="1" x14ac:dyDescent="0.25">
      <c r="B6963" s="5">
        <v>6958</v>
      </c>
      <c r="C6963" s="11">
        <v>82.889925348656988</v>
      </c>
      <c r="D6963" s="42"/>
    </row>
    <row r="6964" spans="2:4" ht="16" thickBot="1" x14ac:dyDescent="0.25">
      <c r="B6964" s="4">
        <v>6959</v>
      </c>
      <c r="C6964" s="10">
        <v>261.09539484877843</v>
      </c>
      <c r="D6964" s="42"/>
    </row>
    <row r="6965" spans="2:4" ht="16" thickBot="1" x14ac:dyDescent="0.25">
      <c r="B6965" s="5">
        <v>6960</v>
      </c>
      <c r="C6965" s="11">
        <v>190.77575158584699</v>
      </c>
      <c r="D6965" s="42"/>
    </row>
    <row r="6966" spans="2:4" ht="16" thickBot="1" x14ac:dyDescent="0.25">
      <c r="B6966" s="4">
        <v>6961</v>
      </c>
      <c r="C6966" s="10">
        <v>438.92362629230445</v>
      </c>
      <c r="D6966" s="42"/>
    </row>
    <row r="6967" spans="2:4" ht="16" thickBot="1" x14ac:dyDescent="0.25">
      <c r="B6967" s="5">
        <v>6962</v>
      </c>
      <c r="C6967" s="11">
        <v>399.80946591561582</v>
      </c>
      <c r="D6967" s="42"/>
    </row>
    <row r="6968" spans="2:4" ht="16" thickBot="1" x14ac:dyDescent="0.25">
      <c r="B6968" s="4">
        <v>6963</v>
      </c>
      <c r="C6968" s="10">
        <v>172.83276094340303</v>
      </c>
      <c r="D6968" s="42"/>
    </row>
    <row r="6969" spans="2:4" ht="16" thickBot="1" x14ac:dyDescent="0.25">
      <c r="B6969" s="5">
        <v>6964</v>
      </c>
      <c r="C6969" s="11">
        <v>262.59304444211773</v>
      </c>
      <c r="D6969" s="42"/>
    </row>
    <row r="6970" spans="2:4" ht="16" thickBot="1" x14ac:dyDescent="0.25">
      <c r="B6970" s="4">
        <v>6965</v>
      </c>
      <c r="C6970" s="10">
        <v>244.62268998810919</v>
      </c>
      <c r="D6970" s="42"/>
    </row>
    <row r="6971" spans="2:4" ht="16" thickBot="1" x14ac:dyDescent="0.25">
      <c r="B6971" s="5">
        <v>6966</v>
      </c>
      <c r="C6971" s="11">
        <v>358.08847310344782</v>
      </c>
      <c r="D6971" s="42"/>
    </row>
    <row r="6972" spans="2:4" ht="16" thickBot="1" x14ac:dyDescent="0.25">
      <c r="B6972" s="4">
        <v>6967</v>
      </c>
      <c r="C6972" s="10">
        <v>165.66656184152416</v>
      </c>
      <c r="D6972" s="42"/>
    </row>
    <row r="6973" spans="2:4" ht="16" thickBot="1" x14ac:dyDescent="0.25">
      <c r="B6973" s="5">
        <v>6968</v>
      </c>
      <c r="C6973" s="11">
        <v>410.3130419870439</v>
      </c>
      <c r="D6973" s="42"/>
    </row>
    <row r="6974" spans="2:4" ht="16" thickBot="1" x14ac:dyDescent="0.25">
      <c r="B6974" s="4">
        <v>6969</v>
      </c>
      <c r="C6974" s="10">
        <v>370.91464141698958</v>
      </c>
      <c r="D6974" s="42"/>
    </row>
    <row r="6975" spans="2:4" ht="16" thickBot="1" x14ac:dyDescent="0.25">
      <c r="B6975" s="5">
        <v>6970</v>
      </c>
      <c r="C6975" s="11">
        <v>223.58102481874045</v>
      </c>
      <c r="D6975" s="42"/>
    </row>
    <row r="6976" spans="2:4" ht="16" thickBot="1" x14ac:dyDescent="0.25">
      <c r="B6976" s="4">
        <v>6971</v>
      </c>
      <c r="C6976" s="10">
        <v>291.10904443056376</v>
      </c>
      <c r="D6976" s="42"/>
    </row>
    <row r="6977" spans="2:4" ht="16" thickBot="1" x14ac:dyDescent="0.25">
      <c r="B6977" s="5">
        <v>6972</v>
      </c>
      <c r="C6977" s="11">
        <v>1125.0519863773329</v>
      </c>
      <c r="D6977" s="42"/>
    </row>
    <row r="6978" spans="2:4" ht="16" thickBot="1" x14ac:dyDescent="0.25">
      <c r="B6978" s="4">
        <v>6973</v>
      </c>
      <c r="C6978" s="10">
        <v>102.58377488895633</v>
      </c>
      <c r="D6978" s="42"/>
    </row>
    <row r="6979" spans="2:4" ht="16" thickBot="1" x14ac:dyDescent="0.25">
      <c r="B6979" s="5">
        <v>6974</v>
      </c>
      <c r="C6979" s="11">
        <v>446.33929165841244</v>
      </c>
      <c r="D6979" s="42"/>
    </row>
    <row r="6980" spans="2:4" ht="16" thickBot="1" x14ac:dyDescent="0.25">
      <c r="B6980" s="4">
        <v>6975</v>
      </c>
      <c r="C6980" s="10">
        <v>320.22865953802244</v>
      </c>
      <c r="D6980" s="42"/>
    </row>
    <row r="6981" spans="2:4" ht="16" thickBot="1" x14ac:dyDescent="0.25">
      <c r="B6981" s="5">
        <v>6976</v>
      </c>
      <c r="C6981" s="11">
        <v>343.45563499249971</v>
      </c>
      <c r="D6981" s="42"/>
    </row>
    <row r="6982" spans="2:4" ht="16" thickBot="1" x14ac:dyDescent="0.25">
      <c r="B6982" s="4">
        <v>6977</v>
      </c>
      <c r="C6982" s="10">
        <v>585.50956238646575</v>
      </c>
      <c r="D6982" s="42"/>
    </row>
    <row r="6983" spans="2:4" ht="16" thickBot="1" x14ac:dyDescent="0.25">
      <c r="B6983" s="5">
        <v>6978</v>
      </c>
      <c r="C6983" s="11">
        <v>209.54887172923321</v>
      </c>
      <c r="D6983" s="42"/>
    </row>
    <row r="6984" spans="2:4" ht="16" thickBot="1" x14ac:dyDescent="0.25">
      <c r="B6984" s="4">
        <v>6979</v>
      </c>
      <c r="C6984" s="10">
        <v>320.09085463581528</v>
      </c>
      <c r="D6984" s="42"/>
    </row>
    <row r="6985" spans="2:4" ht="16" thickBot="1" x14ac:dyDescent="0.25">
      <c r="B6985" s="5">
        <v>6980</v>
      </c>
      <c r="C6985" s="11">
        <v>78.01052222598446</v>
      </c>
      <c r="D6985" s="42"/>
    </row>
    <row r="6986" spans="2:4" ht="16" thickBot="1" x14ac:dyDescent="0.25">
      <c r="B6986" s="4">
        <v>6981</v>
      </c>
      <c r="C6986" s="10">
        <v>281.93285367885517</v>
      </c>
      <c r="D6986" s="42"/>
    </row>
    <row r="6987" spans="2:4" ht="16" thickBot="1" x14ac:dyDescent="0.25">
      <c r="B6987" s="5">
        <v>6982</v>
      </c>
      <c r="C6987" s="11">
        <v>37.763294826683513</v>
      </c>
      <c r="D6987" s="42"/>
    </row>
    <row r="6988" spans="2:4" ht="16" thickBot="1" x14ac:dyDescent="0.25">
      <c r="B6988" s="4">
        <v>6983</v>
      </c>
      <c r="C6988" s="10">
        <v>173.98408969168852</v>
      </c>
      <c r="D6988" s="42"/>
    </row>
    <row r="6989" spans="2:4" ht="16" thickBot="1" x14ac:dyDescent="0.25">
      <c r="B6989" s="5">
        <v>6984</v>
      </c>
      <c r="C6989" s="11">
        <v>243.36406382146095</v>
      </c>
      <c r="D6989" s="42"/>
    </row>
    <row r="6990" spans="2:4" ht="16" thickBot="1" x14ac:dyDescent="0.25">
      <c r="B6990" s="4">
        <v>6985</v>
      </c>
      <c r="C6990" s="10">
        <v>144.88695582408431</v>
      </c>
      <c r="D6990" s="42"/>
    </row>
    <row r="6991" spans="2:4" ht="16" thickBot="1" x14ac:dyDescent="0.25">
      <c r="B6991" s="5">
        <v>6986</v>
      </c>
      <c r="C6991" s="11">
        <v>377.00658046474587</v>
      </c>
      <c r="D6991" s="42"/>
    </row>
    <row r="6992" spans="2:4" ht="16" thickBot="1" x14ac:dyDescent="0.25">
      <c r="B6992" s="4">
        <v>6987</v>
      </c>
      <c r="C6992" s="10">
        <v>252.4584007735854</v>
      </c>
      <c r="D6992" s="42"/>
    </row>
    <row r="6993" spans="2:4" ht="16" thickBot="1" x14ac:dyDescent="0.25">
      <c r="B6993" s="5">
        <v>6988</v>
      </c>
      <c r="C6993" s="11">
        <v>114.75497506426757</v>
      </c>
      <c r="D6993" s="42"/>
    </row>
    <row r="6994" spans="2:4" ht="16" thickBot="1" x14ac:dyDescent="0.25">
      <c r="B6994" s="4">
        <v>6989</v>
      </c>
      <c r="C6994" s="10">
        <v>201.40101547548909</v>
      </c>
      <c r="D6994" s="42"/>
    </row>
    <row r="6995" spans="2:4" ht="16" thickBot="1" x14ac:dyDescent="0.25">
      <c r="B6995" s="5">
        <v>6990</v>
      </c>
      <c r="C6995" s="11">
        <v>167.74423257670168</v>
      </c>
      <c r="D6995" s="42"/>
    </row>
    <row r="6996" spans="2:4" ht="16" thickBot="1" x14ac:dyDescent="0.25">
      <c r="B6996" s="4">
        <v>6991</v>
      </c>
      <c r="C6996" s="10">
        <v>141.29812298439083</v>
      </c>
      <c r="D6996" s="42"/>
    </row>
    <row r="6997" spans="2:4" ht="16" thickBot="1" x14ac:dyDescent="0.25">
      <c r="B6997" s="5">
        <v>6992</v>
      </c>
      <c r="C6997" s="11">
        <v>285.20773729697692</v>
      </c>
      <c r="D6997" s="42"/>
    </row>
    <row r="6998" spans="2:4" ht="16" thickBot="1" x14ac:dyDescent="0.25">
      <c r="B6998" s="4">
        <v>6993</v>
      </c>
      <c r="C6998" s="10">
        <v>149.66051635066032</v>
      </c>
      <c r="D6998" s="42"/>
    </row>
    <row r="6999" spans="2:4" ht="16" thickBot="1" x14ac:dyDescent="0.25">
      <c r="B6999" s="5">
        <v>6994</v>
      </c>
      <c r="C6999" s="11">
        <v>89.483142996073582</v>
      </c>
      <c r="D6999" s="42"/>
    </row>
    <row r="7000" spans="2:4" ht="16" thickBot="1" x14ac:dyDescent="0.25">
      <c r="B7000" s="4">
        <v>6995</v>
      </c>
      <c r="C7000" s="10">
        <v>200.75339754397933</v>
      </c>
      <c r="D7000" s="42"/>
    </row>
    <row r="7001" spans="2:4" ht="16" thickBot="1" x14ac:dyDescent="0.25">
      <c r="B7001" s="5">
        <v>6996</v>
      </c>
      <c r="C7001" s="11">
        <v>268.97951206343618</v>
      </c>
      <c r="D7001" s="42"/>
    </row>
    <row r="7002" spans="2:4" ht="16" thickBot="1" x14ac:dyDescent="0.25">
      <c r="B7002" s="4">
        <v>6997</v>
      </c>
      <c r="C7002" s="10">
        <v>559.89656686992998</v>
      </c>
      <c r="D7002" s="42"/>
    </row>
    <row r="7003" spans="2:4" ht="16" thickBot="1" x14ac:dyDescent="0.25">
      <c r="B7003" s="5">
        <v>6998</v>
      </c>
      <c r="C7003" s="11">
        <v>225.75487416986303</v>
      </c>
      <c r="D7003" s="42"/>
    </row>
    <row r="7004" spans="2:4" ht="16" thickBot="1" x14ac:dyDescent="0.25">
      <c r="B7004" s="4">
        <v>6999</v>
      </c>
      <c r="C7004" s="10">
        <v>313.21107697957217</v>
      </c>
      <c r="D7004" s="42"/>
    </row>
    <row r="7005" spans="2:4" ht="16" thickBot="1" x14ac:dyDescent="0.25">
      <c r="B7005" s="5">
        <v>7000</v>
      </c>
      <c r="C7005" s="11">
        <v>336.08694217379963</v>
      </c>
      <c r="D7005" s="42"/>
    </row>
    <row r="7006" spans="2:4" ht="16" thickBot="1" x14ac:dyDescent="0.25">
      <c r="B7006" s="4">
        <v>7001</v>
      </c>
      <c r="C7006" s="10">
        <v>85.525947147772428</v>
      </c>
      <c r="D7006" s="42"/>
    </row>
    <row r="7007" spans="2:4" ht="16" thickBot="1" x14ac:dyDescent="0.25">
      <c r="B7007" s="5">
        <v>7002</v>
      </c>
      <c r="C7007" s="11">
        <v>304.20752999952248</v>
      </c>
      <c r="D7007" s="42"/>
    </row>
    <row r="7008" spans="2:4" ht="16" thickBot="1" x14ac:dyDescent="0.25">
      <c r="B7008" s="4">
        <v>7003</v>
      </c>
      <c r="C7008" s="10">
        <v>743.94176654824309</v>
      </c>
      <c r="D7008" s="42"/>
    </row>
    <row r="7009" spans="2:4" ht="16" thickBot="1" x14ac:dyDescent="0.25">
      <c r="B7009" s="5">
        <v>7004</v>
      </c>
      <c r="C7009" s="11">
        <v>290.17611896362746</v>
      </c>
      <c r="D7009" s="42"/>
    </row>
    <row r="7010" spans="2:4" ht="16" thickBot="1" x14ac:dyDescent="0.25">
      <c r="B7010" s="4">
        <v>7005</v>
      </c>
      <c r="C7010" s="10">
        <v>282.432183559772</v>
      </c>
      <c r="D7010" s="42"/>
    </row>
    <row r="7011" spans="2:4" ht="16" thickBot="1" x14ac:dyDescent="0.25">
      <c r="B7011" s="5">
        <v>7006</v>
      </c>
      <c r="C7011" s="11">
        <v>120.31191912067415</v>
      </c>
      <c r="D7011" s="42"/>
    </row>
    <row r="7012" spans="2:4" ht="16" thickBot="1" x14ac:dyDescent="0.25">
      <c r="B7012" s="4">
        <v>7007</v>
      </c>
      <c r="C7012" s="10">
        <v>289.43846704740213</v>
      </c>
      <c r="D7012" s="42"/>
    </row>
    <row r="7013" spans="2:4" ht="16" thickBot="1" x14ac:dyDescent="0.25">
      <c r="B7013" s="5">
        <v>7008</v>
      </c>
      <c r="C7013" s="11">
        <v>384.64420054944156</v>
      </c>
      <c r="D7013" s="42"/>
    </row>
    <row r="7014" spans="2:4" ht="16" thickBot="1" x14ac:dyDescent="0.25">
      <c r="B7014" s="4">
        <v>7009</v>
      </c>
      <c r="C7014" s="10">
        <v>177.59410947657651</v>
      </c>
      <c r="D7014" s="42"/>
    </row>
    <row r="7015" spans="2:4" ht="16" thickBot="1" x14ac:dyDescent="0.25">
      <c r="B7015" s="5">
        <v>7010</v>
      </c>
      <c r="C7015" s="11">
        <v>209.83774860870977</v>
      </c>
      <c r="D7015" s="42"/>
    </row>
    <row r="7016" spans="2:4" ht="16" thickBot="1" x14ac:dyDescent="0.25">
      <c r="B7016" s="4">
        <v>7011</v>
      </c>
      <c r="C7016" s="10">
        <v>234.83909618242359</v>
      </c>
      <c r="D7016" s="42"/>
    </row>
    <row r="7017" spans="2:4" ht="16" thickBot="1" x14ac:dyDescent="0.25">
      <c r="B7017" s="5">
        <v>7012</v>
      </c>
      <c r="C7017" s="11">
        <v>336.87117253912692</v>
      </c>
      <c r="D7017" s="42"/>
    </row>
    <row r="7018" spans="2:4" ht="16" thickBot="1" x14ac:dyDescent="0.25">
      <c r="B7018" s="4">
        <v>7013</v>
      </c>
      <c r="C7018" s="10">
        <v>265.93143892054837</v>
      </c>
      <c r="D7018" s="42"/>
    </row>
    <row r="7019" spans="2:4" ht="16" thickBot="1" x14ac:dyDescent="0.25">
      <c r="B7019" s="5">
        <v>7014</v>
      </c>
      <c r="C7019" s="11">
        <v>120.32705262655473</v>
      </c>
      <c r="D7019" s="42"/>
    </row>
    <row r="7020" spans="2:4" ht="16" thickBot="1" x14ac:dyDescent="0.25">
      <c r="B7020" s="4">
        <v>7015</v>
      </c>
      <c r="C7020" s="10">
        <v>367.50625046809364</v>
      </c>
      <c r="D7020" s="42"/>
    </row>
    <row r="7021" spans="2:4" ht="16" thickBot="1" x14ac:dyDescent="0.25">
      <c r="B7021" s="5">
        <v>7016</v>
      </c>
      <c r="C7021" s="11">
        <v>403.10515356319968</v>
      </c>
      <c r="D7021" s="42"/>
    </row>
    <row r="7022" spans="2:4" ht="16" thickBot="1" x14ac:dyDescent="0.25">
      <c r="B7022" s="4">
        <v>7017</v>
      </c>
      <c r="C7022" s="10">
        <v>484.50167514817628</v>
      </c>
      <c r="D7022" s="42"/>
    </row>
    <row r="7023" spans="2:4" ht="16" thickBot="1" x14ac:dyDescent="0.25">
      <c r="B7023" s="5">
        <v>7018</v>
      </c>
      <c r="C7023" s="11">
        <v>246.55165974750349</v>
      </c>
      <c r="D7023" s="42"/>
    </row>
    <row r="7024" spans="2:4" ht="16" thickBot="1" x14ac:dyDescent="0.25">
      <c r="B7024" s="4">
        <v>7019</v>
      </c>
      <c r="C7024" s="10">
        <v>337.08906692665789</v>
      </c>
      <c r="D7024" s="42"/>
    </row>
    <row r="7025" spans="2:4" ht="16" thickBot="1" x14ac:dyDescent="0.25">
      <c r="B7025" s="5">
        <v>7020</v>
      </c>
      <c r="C7025" s="11">
        <v>407.78217933477038</v>
      </c>
      <c r="D7025" s="42"/>
    </row>
    <row r="7026" spans="2:4" ht="16" thickBot="1" x14ac:dyDescent="0.25">
      <c r="B7026" s="4">
        <v>7021</v>
      </c>
      <c r="C7026" s="10">
        <v>103.24108141793377</v>
      </c>
      <c r="D7026" s="42"/>
    </row>
    <row r="7027" spans="2:4" ht="16" thickBot="1" x14ac:dyDescent="0.25">
      <c r="B7027" s="5">
        <v>7022</v>
      </c>
      <c r="C7027" s="11">
        <v>255.72920606407385</v>
      </c>
      <c r="D7027" s="42"/>
    </row>
    <row r="7028" spans="2:4" ht="16" thickBot="1" x14ac:dyDescent="0.25">
      <c r="B7028" s="4">
        <v>7023</v>
      </c>
      <c r="C7028" s="10">
        <v>442.49962408165197</v>
      </c>
      <c r="D7028" s="42"/>
    </row>
    <row r="7029" spans="2:4" ht="16" thickBot="1" x14ac:dyDescent="0.25">
      <c r="B7029" s="5">
        <v>7024</v>
      </c>
      <c r="C7029" s="11">
        <v>666.76260128909973</v>
      </c>
      <c r="D7029" s="42"/>
    </row>
    <row r="7030" spans="2:4" ht="16" thickBot="1" x14ac:dyDescent="0.25">
      <c r="B7030" s="4">
        <v>7025</v>
      </c>
      <c r="C7030" s="10">
        <v>168.34407716533585</v>
      </c>
      <c r="D7030" s="42"/>
    </row>
    <row r="7031" spans="2:4" ht="16" thickBot="1" x14ac:dyDescent="0.25">
      <c r="B7031" s="5">
        <v>7026</v>
      </c>
      <c r="C7031" s="11">
        <v>127.7186252328483</v>
      </c>
      <c r="D7031" s="42"/>
    </row>
    <row r="7032" spans="2:4" ht="16" thickBot="1" x14ac:dyDescent="0.25">
      <c r="B7032" s="4">
        <v>7027</v>
      </c>
      <c r="C7032" s="10">
        <v>168.80515137126753</v>
      </c>
      <c r="D7032" s="42"/>
    </row>
    <row r="7033" spans="2:4" ht="16" thickBot="1" x14ac:dyDescent="0.25">
      <c r="B7033" s="5">
        <v>7028</v>
      </c>
      <c r="C7033" s="11">
        <v>59.469952197537324</v>
      </c>
      <c r="D7033" s="42"/>
    </row>
    <row r="7034" spans="2:4" ht="16" thickBot="1" x14ac:dyDescent="0.25">
      <c r="B7034" s="4">
        <v>7029</v>
      </c>
      <c r="C7034" s="10">
        <v>213.23183037618057</v>
      </c>
      <c r="D7034" s="42"/>
    </row>
    <row r="7035" spans="2:4" ht="16" thickBot="1" x14ac:dyDescent="0.25">
      <c r="B7035" s="5">
        <v>7030</v>
      </c>
      <c r="C7035" s="11">
        <v>125.93202720344742</v>
      </c>
      <c r="D7035" s="42"/>
    </row>
    <row r="7036" spans="2:4" ht="16" thickBot="1" x14ac:dyDescent="0.25">
      <c r="B7036" s="4">
        <v>7031</v>
      </c>
      <c r="C7036" s="10">
        <v>281.91909776110185</v>
      </c>
      <c r="D7036" s="42"/>
    </row>
    <row r="7037" spans="2:4" ht="16" thickBot="1" x14ac:dyDescent="0.25">
      <c r="B7037" s="5">
        <v>7032</v>
      </c>
      <c r="C7037" s="11">
        <v>478.74235097588326</v>
      </c>
      <c r="D7037" s="42"/>
    </row>
    <row r="7038" spans="2:4" ht="16" thickBot="1" x14ac:dyDescent="0.25">
      <c r="B7038" s="4">
        <v>7033</v>
      </c>
      <c r="C7038" s="10">
        <v>37.181435514941363</v>
      </c>
      <c r="D7038" s="42"/>
    </row>
    <row r="7039" spans="2:4" ht="16" thickBot="1" x14ac:dyDescent="0.25">
      <c r="B7039" s="5">
        <v>7034</v>
      </c>
      <c r="C7039" s="11">
        <v>848.16342047623118</v>
      </c>
      <c r="D7039" s="42"/>
    </row>
    <row r="7040" spans="2:4" ht="16" thickBot="1" x14ac:dyDescent="0.25">
      <c r="B7040" s="4">
        <v>7035</v>
      </c>
      <c r="C7040" s="10">
        <v>160.60549054465946</v>
      </c>
      <c r="D7040" s="42"/>
    </row>
    <row r="7041" spans="2:4" ht="16" thickBot="1" x14ac:dyDescent="0.25">
      <c r="B7041" s="5">
        <v>7036</v>
      </c>
      <c r="C7041" s="11">
        <v>385.07858265614072</v>
      </c>
      <c r="D7041" s="42"/>
    </row>
    <row r="7042" spans="2:4" ht="16" thickBot="1" x14ac:dyDescent="0.25">
      <c r="B7042" s="4">
        <v>7037</v>
      </c>
      <c r="C7042" s="10">
        <v>243.62022707950379</v>
      </c>
      <c r="D7042" s="42"/>
    </row>
    <row r="7043" spans="2:4" ht="16" thickBot="1" x14ac:dyDescent="0.25">
      <c r="B7043" s="5">
        <v>7038</v>
      </c>
      <c r="C7043" s="11">
        <v>129.08385342603023</v>
      </c>
      <c r="D7043" s="42"/>
    </row>
    <row r="7044" spans="2:4" ht="16" thickBot="1" x14ac:dyDescent="0.25">
      <c r="B7044" s="4">
        <v>7039</v>
      </c>
      <c r="C7044" s="10">
        <v>374.63425098641528</v>
      </c>
      <c r="D7044" s="42"/>
    </row>
    <row r="7045" spans="2:4" ht="16" thickBot="1" x14ac:dyDescent="0.25">
      <c r="B7045" s="5">
        <v>7040</v>
      </c>
      <c r="C7045" s="11">
        <v>152.38013072219115</v>
      </c>
      <c r="D7045" s="42"/>
    </row>
    <row r="7046" spans="2:4" ht="16" thickBot="1" x14ac:dyDescent="0.25">
      <c r="B7046" s="4">
        <v>7041</v>
      </c>
      <c r="C7046" s="10">
        <v>137.18660153576212</v>
      </c>
      <c r="D7046" s="42"/>
    </row>
    <row r="7047" spans="2:4" ht="16" thickBot="1" x14ac:dyDescent="0.25">
      <c r="B7047" s="5">
        <v>7042</v>
      </c>
      <c r="C7047" s="11">
        <v>253.42157135260919</v>
      </c>
      <c r="D7047" s="42"/>
    </row>
    <row r="7048" spans="2:4" ht="16" thickBot="1" x14ac:dyDescent="0.25">
      <c r="B7048" s="4">
        <v>7043</v>
      </c>
      <c r="C7048" s="10">
        <v>270.60441257091912</v>
      </c>
      <c r="D7048" s="42"/>
    </row>
    <row r="7049" spans="2:4" ht="16" thickBot="1" x14ac:dyDescent="0.25">
      <c r="B7049" s="5">
        <v>7044</v>
      </c>
      <c r="C7049" s="11">
        <v>551.18470027132537</v>
      </c>
      <c r="D7049" s="42"/>
    </row>
    <row r="7050" spans="2:4" ht="16" thickBot="1" x14ac:dyDescent="0.25">
      <c r="B7050" s="4">
        <v>7045</v>
      </c>
      <c r="C7050" s="10">
        <v>286.63263020616881</v>
      </c>
      <c r="D7050" s="42"/>
    </row>
    <row r="7051" spans="2:4" ht="16" thickBot="1" x14ac:dyDescent="0.25">
      <c r="B7051" s="5">
        <v>7046</v>
      </c>
      <c r="C7051" s="11">
        <v>145.66562189575251</v>
      </c>
      <c r="D7051" s="42"/>
    </row>
    <row r="7052" spans="2:4" ht="16" thickBot="1" x14ac:dyDescent="0.25">
      <c r="B7052" s="4">
        <v>7047</v>
      </c>
      <c r="C7052" s="10">
        <v>169.46409139374484</v>
      </c>
      <c r="D7052" s="42"/>
    </row>
    <row r="7053" spans="2:4" ht="16" thickBot="1" x14ac:dyDescent="0.25">
      <c r="B7053" s="5">
        <v>7048</v>
      </c>
      <c r="C7053" s="11">
        <v>162.47931139380168</v>
      </c>
      <c r="D7053" s="42"/>
    </row>
    <row r="7054" spans="2:4" ht="16" thickBot="1" x14ac:dyDescent="0.25">
      <c r="B7054" s="4">
        <v>7049</v>
      </c>
      <c r="C7054" s="10">
        <v>297.24851447255725</v>
      </c>
      <c r="D7054" s="42"/>
    </row>
    <row r="7055" spans="2:4" ht="16" thickBot="1" x14ac:dyDescent="0.25">
      <c r="B7055" s="5">
        <v>7050</v>
      </c>
      <c r="C7055" s="11">
        <v>720.18479662497407</v>
      </c>
      <c r="D7055" s="42"/>
    </row>
    <row r="7056" spans="2:4" ht="16" thickBot="1" x14ac:dyDescent="0.25">
      <c r="B7056" s="4">
        <v>7051</v>
      </c>
      <c r="C7056" s="10">
        <v>129.66660970658819</v>
      </c>
      <c r="D7056" s="42"/>
    </row>
    <row r="7057" spans="2:4" ht="16" thickBot="1" x14ac:dyDescent="0.25">
      <c r="B7057" s="5">
        <v>7052</v>
      </c>
      <c r="C7057" s="11">
        <v>430.61547808842721</v>
      </c>
      <c r="D7057" s="42"/>
    </row>
    <row r="7058" spans="2:4" ht="16" thickBot="1" x14ac:dyDescent="0.25">
      <c r="B7058" s="4">
        <v>7053</v>
      </c>
      <c r="C7058" s="10">
        <v>89.528644438960612</v>
      </c>
      <c r="D7058" s="42"/>
    </row>
    <row r="7059" spans="2:4" ht="16" thickBot="1" x14ac:dyDescent="0.25">
      <c r="B7059" s="5">
        <v>7054</v>
      </c>
      <c r="C7059" s="11">
        <v>161.60610571371649</v>
      </c>
      <c r="D7059" s="42"/>
    </row>
    <row r="7060" spans="2:4" ht="16" thickBot="1" x14ac:dyDescent="0.25">
      <c r="B7060" s="4">
        <v>7055</v>
      </c>
      <c r="C7060" s="10">
        <v>275.05202559156152</v>
      </c>
      <c r="D7060" s="42"/>
    </row>
    <row r="7061" spans="2:4" ht="16" thickBot="1" x14ac:dyDescent="0.25">
      <c r="B7061" s="5">
        <v>7056</v>
      </c>
      <c r="C7061" s="11">
        <v>237.20196677891184</v>
      </c>
      <c r="D7061" s="42"/>
    </row>
    <row r="7062" spans="2:4" ht="16" thickBot="1" x14ac:dyDescent="0.25">
      <c r="B7062" s="4">
        <v>7057</v>
      </c>
      <c r="C7062" s="10">
        <v>170.77150692355249</v>
      </c>
      <c r="D7062" s="42"/>
    </row>
    <row r="7063" spans="2:4" ht="16" thickBot="1" x14ac:dyDescent="0.25">
      <c r="B7063" s="5">
        <v>7058</v>
      </c>
      <c r="C7063" s="11">
        <v>209.99682622432667</v>
      </c>
      <c r="D7063" s="42"/>
    </row>
    <row r="7064" spans="2:4" ht="16" thickBot="1" x14ac:dyDescent="0.25">
      <c r="B7064" s="4">
        <v>7059</v>
      </c>
      <c r="C7064" s="10">
        <v>413.99300317207354</v>
      </c>
      <c r="D7064" s="42"/>
    </row>
    <row r="7065" spans="2:4" ht="16" thickBot="1" x14ac:dyDescent="0.25">
      <c r="B7065" s="5">
        <v>7060</v>
      </c>
      <c r="C7065" s="11">
        <v>300.95075388580466</v>
      </c>
      <c r="D7065" s="42"/>
    </row>
    <row r="7066" spans="2:4" ht="16" thickBot="1" x14ac:dyDescent="0.25">
      <c r="B7066" s="4">
        <v>7061</v>
      </c>
      <c r="C7066" s="10">
        <v>269.832755728942</v>
      </c>
      <c r="D7066" s="42"/>
    </row>
    <row r="7067" spans="2:4" ht="16" thickBot="1" x14ac:dyDescent="0.25">
      <c r="B7067" s="5">
        <v>7062</v>
      </c>
      <c r="C7067" s="11">
        <v>218.82926711693815</v>
      </c>
      <c r="D7067" s="42"/>
    </row>
    <row r="7068" spans="2:4" ht="16" thickBot="1" x14ac:dyDescent="0.25">
      <c r="B7068" s="4">
        <v>7063</v>
      </c>
      <c r="C7068" s="10">
        <v>266.38192176708316</v>
      </c>
      <c r="D7068" s="42"/>
    </row>
    <row r="7069" spans="2:4" ht="16" thickBot="1" x14ac:dyDescent="0.25">
      <c r="B7069" s="5">
        <v>7064</v>
      </c>
      <c r="C7069" s="11">
        <v>357.4996174532136</v>
      </c>
      <c r="D7069" s="42"/>
    </row>
    <row r="7070" spans="2:4" ht="16" thickBot="1" x14ac:dyDescent="0.25">
      <c r="B7070" s="4">
        <v>7065</v>
      </c>
      <c r="C7070" s="10">
        <v>17.185124369335615</v>
      </c>
      <c r="D7070" s="42"/>
    </row>
    <row r="7071" spans="2:4" ht="16" thickBot="1" x14ac:dyDescent="0.25">
      <c r="B7071" s="5">
        <v>7066</v>
      </c>
      <c r="C7071" s="11">
        <v>557.74683898533044</v>
      </c>
      <c r="D7071" s="42"/>
    </row>
    <row r="7072" spans="2:4" ht="16" thickBot="1" x14ac:dyDescent="0.25">
      <c r="B7072" s="4">
        <v>7067</v>
      </c>
      <c r="C7072" s="10">
        <v>277.72289293935194</v>
      </c>
      <c r="D7072" s="42"/>
    </row>
    <row r="7073" spans="2:4" ht="16" thickBot="1" x14ac:dyDescent="0.25">
      <c r="B7073" s="5">
        <v>7068</v>
      </c>
      <c r="C7073" s="11">
        <v>110.21391167867708</v>
      </c>
      <c r="D7073" s="42"/>
    </row>
    <row r="7074" spans="2:4" ht="16" thickBot="1" x14ac:dyDescent="0.25">
      <c r="B7074" s="4">
        <v>7069</v>
      </c>
      <c r="C7074" s="10">
        <v>673.08009042387982</v>
      </c>
      <c r="D7074" s="42"/>
    </row>
    <row r="7075" spans="2:4" ht="16" thickBot="1" x14ac:dyDescent="0.25">
      <c r="B7075" s="5">
        <v>7070</v>
      </c>
      <c r="C7075" s="11">
        <v>117.8509493303649</v>
      </c>
      <c r="D7075" s="42"/>
    </row>
    <row r="7076" spans="2:4" ht="16" thickBot="1" x14ac:dyDescent="0.25">
      <c r="B7076" s="4">
        <v>7071</v>
      </c>
      <c r="C7076" s="10">
        <v>224.58229552780062</v>
      </c>
      <c r="D7076" s="42"/>
    </row>
    <row r="7077" spans="2:4" ht="16" thickBot="1" x14ac:dyDescent="0.25">
      <c r="B7077" s="5">
        <v>7072</v>
      </c>
      <c r="C7077" s="11">
        <v>381.52686971932354</v>
      </c>
      <c r="D7077" s="42"/>
    </row>
    <row r="7078" spans="2:4" ht="16" thickBot="1" x14ac:dyDescent="0.25">
      <c r="B7078" s="4">
        <v>7073</v>
      </c>
      <c r="C7078" s="10">
        <v>358.72920917421447</v>
      </c>
      <c r="D7078" s="42"/>
    </row>
    <row r="7079" spans="2:4" ht="16" thickBot="1" x14ac:dyDescent="0.25">
      <c r="B7079" s="5">
        <v>7074</v>
      </c>
      <c r="C7079" s="11">
        <v>371.17582267443305</v>
      </c>
      <c r="D7079" s="42"/>
    </row>
    <row r="7080" spans="2:4" ht="16" thickBot="1" x14ac:dyDescent="0.25">
      <c r="B7080" s="4">
        <v>7075</v>
      </c>
      <c r="C7080" s="10">
        <v>126.39535207681583</v>
      </c>
      <c r="D7080" s="42"/>
    </row>
    <row r="7081" spans="2:4" ht="16" thickBot="1" x14ac:dyDescent="0.25">
      <c r="B7081" s="5">
        <v>7076</v>
      </c>
      <c r="C7081" s="11">
        <v>164.66740885030774</v>
      </c>
      <c r="D7081" s="42"/>
    </row>
    <row r="7082" spans="2:4" ht="16" thickBot="1" x14ac:dyDescent="0.25">
      <c r="B7082" s="4">
        <v>7077</v>
      </c>
      <c r="C7082" s="10">
        <v>198.06969527116797</v>
      </c>
      <c r="D7082" s="42"/>
    </row>
    <row r="7083" spans="2:4" ht="16" thickBot="1" x14ac:dyDescent="0.25">
      <c r="B7083" s="5">
        <v>7078</v>
      </c>
      <c r="C7083" s="11">
        <v>242.16723077844367</v>
      </c>
      <c r="D7083" s="42"/>
    </row>
    <row r="7084" spans="2:4" ht="16" thickBot="1" x14ac:dyDescent="0.25">
      <c r="B7084" s="4">
        <v>7079</v>
      </c>
      <c r="C7084" s="10">
        <v>246.18343344745514</v>
      </c>
      <c r="D7084" s="42"/>
    </row>
    <row r="7085" spans="2:4" ht="16" thickBot="1" x14ac:dyDescent="0.25">
      <c r="B7085" s="5">
        <v>7080</v>
      </c>
      <c r="C7085" s="11">
        <v>256.36982893374847</v>
      </c>
      <c r="D7085" s="42"/>
    </row>
    <row r="7086" spans="2:4" ht="16" thickBot="1" x14ac:dyDescent="0.25">
      <c r="B7086" s="4">
        <v>7081</v>
      </c>
      <c r="C7086" s="10">
        <v>247.11535977631425</v>
      </c>
      <c r="D7086" s="42"/>
    </row>
    <row r="7087" spans="2:4" ht="16" thickBot="1" x14ac:dyDescent="0.25">
      <c r="B7087" s="5">
        <v>7082</v>
      </c>
      <c r="C7087" s="11">
        <v>337.07538020012538</v>
      </c>
      <c r="D7087" s="42"/>
    </row>
    <row r="7088" spans="2:4" ht="16" thickBot="1" x14ac:dyDescent="0.25">
      <c r="B7088" s="4">
        <v>7083</v>
      </c>
      <c r="C7088" s="10">
        <v>239.41213708347212</v>
      </c>
      <c r="D7088" s="42"/>
    </row>
    <row r="7089" spans="2:4" ht="16" thickBot="1" x14ac:dyDescent="0.25">
      <c r="B7089" s="5">
        <v>7084</v>
      </c>
      <c r="C7089" s="11">
        <v>116.08024869543148</v>
      </c>
      <c r="D7089" s="42"/>
    </row>
    <row r="7090" spans="2:4" ht="16" thickBot="1" x14ac:dyDescent="0.25">
      <c r="B7090" s="4">
        <v>7085</v>
      </c>
      <c r="C7090" s="10">
        <v>323.61798744235648</v>
      </c>
      <c r="D7090" s="42"/>
    </row>
    <row r="7091" spans="2:4" ht="16" thickBot="1" x14ac:dyDescent="0.25">
      <c r="B7091" s="5">
        <v>7086</v>
      </c>
      <c r="C7091" s="11">
        <v>508.72343157511114</v>
      </c>
      <c r="D7091" s="42"/>
    </row>
    <row r="7092" spans="2:4" ht="16" thickBot="1" x14ac:dyDescent="0.25">
      <c r="B7092" s="4">
        <v>7087</v>
      </c>
      <c r="C7092" s="10">
        <v>341.17701995172081</v>
      </c>
      <c r="D7092" s="42"/>
    </row>
    <row r="7093" spans="2:4" ht="16" thickBot="1" x14ac:dyDescent="0.25">
      <c r="B7093" s="5">
        <v>7088</v>
      </c>
      <c r="C7093" s="11">
        <v>287.95770227919581</v>
      </c>
      <c r="D7093" s="42"/>
    </row>
    <row r="7094" spans="2:4" ht="16" thickBot="1" x14ac:dyDescent="0.25">
      <c r="B7094" s="4">
        <v>7089</v>
      </c>
      <c r="C7094" s="10">
        <v>494.62326551796491</v>
      </c>
      <c r="D7094" s="42"/>
    </row>
    <row r="7095" spans="2:4" ht="16" thickBot="1" x14ac:dyDescent="0.25">
      <c r="B7095" s="5">
        <v>7090</v>
      </c>
      <c r="C7095" s="11">
        <v>205.0940628465242</v>
      </c>
      <c r="D7095" s="42"/>
    </row>
    <row r="7096" spans="2:4" ht="16" thickBot="1" x14ac:dyDescent="0.25">
      <c r="B7096" s="4">
        <v>7091</v>
      </c>
      <c r="C7096" s="10">
        <v>140.23926959759783</v>
      </c>
      <c r="D7096" s="42"/>
    </row>
    <row r="7097" spans="2:4" ht="16" thickBot="1" x14ac:dyDescent="0.25">
      <c r="B7097" s="5">
        <v>7092</v>
      </c>
      <c r="C7097" s="11">
        <v>191.66028540169501</v>
      </c>
      <c r="D7097" s="42"/>
    </row>
    <row r="7098" spans="2:4" ht="16" thickBot="1" x14ac:dyDescent="0.25">
      <c r="B7098" s="4">
        <v>7093</v>
      </c>
      <c r="C7098" s="10">
        <v>223.47292863261907</v>
      </c>
      <c r="D7098" s="42"/>
    </row>
    <row r="7099" spans="2:4" ht="16" thickBot="1" x14ac:dyDescent="0.25">
      <c r="B7099" s="5">
        <v>7094</v>
      </c>
      <c r="C7099" s="11">
        <v>31.698602495856203</v>
      </c>
      <c r="D7099" s="42"/>
    </row>
    <row r="7100" spans="2:4" ht="16" thickBot="1" x14ac:dyDescent="0.25">
      <c r="B7100" s="4">
        <v>7095</v>
      </c>
      <c r="C7100" s="10">
        <v>220.10909519580224</v>
      </c>
      <c r="D7100" s="42"/>
    </row>
    <row r="7101" spans="2:4" ht="16" thickBot="1" x14ac:dyDescent="0.25">
      <c r="B7101" s="5">
        <v>7096</v>
      </c>
      <c r="C7101" s="11">
        <v>107.25950388345555</v>
      </c>
      <c r="D7101" s="42"/>
    </row>
    <row r="7102" spans="2:4" ht="16" thickBot="1" x14ac:dyDescent="0.25">
      <c r="B7102" s="4">
        <v>7097</v>
      </c>
      <c r="C7102" s="10">
        <v>281.02794250396522</v>
      </c>
      <c r="D7102" s="42"/>
    </row>
    <row r="7103" spans="2:4" ht="16" thickBot="1" x14ac:dyDescent="0.25">
      <c r="B7103" s="5">
        <v>7098</v>
      </c>
      <c r="C7103" s="11">
        <v>227.33010179053127</v>
      </c>
      <c r="D7103" s="42"/>
    </row>
    <row r="7104" spans="2:4" ht="16" thickBot="1" x14ac:dyDescent="0.25">
      <c r="B7104" s="4">
        <v>7099</v>
      </c>
      <c r="C7104" s="10">
        <v>153.42608788305989</v>
      </c>
      <c r="D7104" s="42"/>
    </row>
    <row r="7105" spans="2:4" ht="16" thickBot="1" x14ac:dyDescent="0.25">
      <c r="B7105" s="5">
        <v>7100</v>
      </c>
      <c r="C7105" s="11">
        <v>244.51793942664818</v>
      </c>
      <c r="D7105" s="42"/>
    </row>
    <row r="7106" spans="2:4" ht="16" thickBot="1" x14ac:dyDescent="0.25">
      <c r="B7106" s="4">
        <v>7101</v>
      </c>
      <c r="C7106" s="10">
        <v>152.4457406251644</v>
      </c>
      <c r="D7106" s="42"/>
    </row>
    <row r="7107" spans="2:4" ht="16" thickBot="1" x14ac:dyDescent="0.25">
      <c r="B7107" s="5">
        <v>7102</v>
      </c>
      <c r="C7107" s="11">
        <v>518.00650489047132</v>
      </c>
      <c r="D7107" s="42"/>
    </row>
    <row r="7108" spans="2:4" ht="16" thickBot="1" x14ac:dyDescent="0.25">
      <c r="B7108" s="4">
        <v>7103</v>
      </c>
      <c r="C7108" s="10">
        <v>208.17192629284096</v>
      </c>
      <c r="D7108" s="42"/>
    </row>
    <row r="7109" spans="2:4" ht="16" thickBot="1" x14ac:dyDescent="0.25">
      <c r="B7109" s="5">
        <v>7104</v>
      </c>
      <c r="C7109" s="11">
        <v>870.12060663018053</v>
      </c>
      <c r="D7109" s="42"/>
    </row>
    <row r="7110" spans="2:4" ht="16" thickBot="1" x14ac:dyDescent="0.25">
      <c r="B7110" s="4">
        <v>7105</v>
      </c>
      <c r="C7110" s="10">
        <v>265.5830732453739</v>
      </c>
      <c r="D7110" s="42"/>
    </row>
    <row r="7111" spans="2:4" ht="16" thickBot="1" x14ac:dyDescent="0.25">
      <c r="B7111" s="5">
        <v>7106</v>
      </c>
      <c r="C7111" s="11">
        <v>457.94659392548243</v>
      </c>
      <c r="D7111" s="42"/>
    </row>
    <row r="7112" spans="2:4" ht="16" thickBot="1" x14ac:dyDescent="0.25">
      <c r="B7112" s="4">
        <v>7107</v>
      </c>
      <c r="C7112" s="10">
        <v>150.10158807211778</v>
      </c>
      <c r="D7112" s="42"/>
    </row>
    <row r="7113" spans="2:4" ht="16" thickBot="1" x14ac:dyDescent="0.25">
      <c r="B7113" s="5">
        <v>7108</v>
      </c>
      <c r="C7113" s="11">
        <v>314.03790049239677</v>
      </c>
      <c r="D7113" s="42"/>
    </row>
    <row r="7114" spans="2:4" ht="16" thickBot="1" x14ac:dyDescent="0.25">
      <c r="B7114" s="4">
        <v>7109</v>
      </c>
      <c r="C7114" s="10">
        <v>135.74261123571799</v>
      </c>
      <c r="D7114" s="42"/>
    </row>
    <row r="7115" spans="2:4" ht="16" thickBot="1" x14ac:dyDescent="0.25">
      <c r="B7115" s="5">
        <v>7110</v>
      </c>
      <c r="C7115" s="11">
        <v>412.46671217121894</v>
      </c>
      <c r="D7115" s="42"/>
    </row>
    <row r="7116" spans="2:4" ht="16" thickBot="1" x14ac:dyDescent="0.25">
      <c r="B7116" s="4">
        <v>7111</v>
      </c>
      <c r="C7116" s="10">
        <v>431.46112565561634</v>
      </c>
      <c r="D7116" s="42"/>
    </row>
    <row r="7117" spans="2:4" ht="16" thickBot="1" x14ac:dyDescent="0.25">
      <c r="B7117" s="5">
        <v>7112</v>
      </c>
      <c r="C7117" s="11">
        <v>384.16911846750548</v>
      </c>
      <c r="D7117" s="42"/>
    </row>
    <row r="7118" spans="2:4" ht="16" thickBot="1" x14ac:dyDescent="0.25">
      <c r="B7118" s="4">
        <v>7113</v>
      </c>
      <c r="C7118" s="10">
        <v>616.71570786546431</v>
      </c>
      <c r="D7118" s="42"/>
    </row>
    <row r="7119" spans="2:4" ht="16" thickBot="1" x14ac:dyDescent="0.25">
      <c r="B7119" s="5">
        <v>7114</v>
      </c>
      <c r="C7119" s="11">
        <v>122.74155809931723</v>
      </c>
      <c r="D7119" s="42"/>
    </row>
    <row r="7120" spans="2:4" ht="16" thickBot="1" x14ac:dyDescent="0.25">
      <c r="B7120" s="4">
        <v>7115</v>
      </c>
      <c r="C7120" s="10">
        <v>213.0853486392794</v>
      </c>
      <c r="D7120" s="42"/>
    </row>
    <row r="7121" spans="2:4" ht="16" thickBot="1" x14ac:dyDescent="0.25">
      <c r="B7121" s="5">
        <v>7116</v>
      </c>
      <c r="C7121" s="11">
        <v>266.47061474396816</v>
      </c>
      <c r="D7121" s="42"/>
    </row>
    <row r="7122" spans="2:4" ht="16" thickBot="1" x14ac:dyDescent="0.25">
      <c r="B7122" s="4">
        <v>7117</v>
      </c>
      <c r="C7122" s="10">
        <v>321.6392283643699</v>
      </c>
      <c r="D7122" s="42"/>
    </row>
    <row r="7123" spans="2:4" ht="16" thickBot="1" x14ac:dyDescent="0.25">
      <c r="B7123" s="5">
        <v>7118</v>
      </c>
      <c r="C7123" s="11">
        <v>263.81340164710656</v>
      </c>
      <c r="D7123" s="42"/>
    </row>
    <row r="7124" spans="2:4" ht="16" thickBot="1" x14ac:dyDescent="0.25">
      <c r="B7124" s="4">
        <v>7119</v>
      </c>
      <c r="C7124" s="10">
        <v>584.4096410896741</v>
      </c>
      <c r="D7124" s="42"/>
    </row>
    <row r="7125" spans="2:4" ht="16" thickBot="1" x14ac:dyDescent="0.25">
      <c r="B7125" s="5">
        <v>7120</v>
      </c>
      <c r="C7125" s="11">
        <v>351.93030624494685</v>
      </c>
      <c r="D7125" s="42"/>
    </row>
    <row r="7126" spans="2:4" ht="16" thickBot="1" x14ac:dyDescent="0.25">
      <c r="B7126" s="4">
        <v>7121</v>
      </c>
      <c r="C7126" s="10">
        <v>237.98307736563146</v>
      </c>
      <c r="D7126" s="42"/>
    </row>
    <row r="7127" spans="2:4" ht="16" thickBot="1" x14ac:dyDescent="0.25">
      <c r="B7127" s="5">
        <v>7122</v>
      </c>
      <c r="C7127" s="11">
        <v>82.804106170981044</v>
      </c>
      <c r="D7127" s="42"/>
    </row>
    <row r="7128" spans="2:4" ht="16" thickBot="1" x14ac:dyDescent="0.25">
      <c r="B7128" s="4">
        <v>7123</v>
      </c>
      <c r="C7128" s="10">
        <v>388.1390326524409</v>
      </c>
      <c r="D7128" s="42"/>
    </row>
    <row r="7129" spans="2:4" ht="16" thickBot="1" x14ac:dyDescent="0.25">
      <c r="B7129" s="5">
        <v>7124</v>
      </c>
      <c r="C7129" s="11">
        <v>303.08573300236799</v>
      </c>
      <c r="D7129" s="42"/>
    </row>
    <row r="7130" spans="2:4" ht="16" thickBot="1" x14ac:dyDescent="0.25">
      <c r="B7130" s="4">
        <v>7125</v>
      </c>
      <c r="C7130" s="10">
        <v>236.22159684090784</v>
      </c>
      <c r="D7130" s="42"/>
    </row>
    <row r="7131" spans="2:4" ht="16" thickBot="1" x14ac:dyDescent="0.25">
      <c r="B7131" s="5">
        <v>7126</v>
      </c>
      <c r="C7131" s="11">
        <v>409.49906153169718</v>
      </c>
      <c r="D7131" s="42"/>
    </row>
    <row r="7132" spans="2:4" ht="16" thickBot="1" x14ac:dyDescent="0.25">
      <c r="B7132" s="4">
        <v>7127</v>
      </c>
      <c r="C7132" s="10">
        <v>149.42600479096191</v>
      </c>
      <c r="D7132" s="42"/>
    </row>
    <row r="7133" spans="2:4" ht="16" thickBot="1" x14ac:dyDescent="0.25">
      <c r="B7133" s="5">
        <v>7128</v>
      </c>
      <c r="C7133" s="11">
        <v>299.90219061220824</v>
      </c>
      <c r="D7133" s="42"/>
    </row>
    <row r="7134" spans="2:4" ht="16" thickBot="1" x14ac:dyDescent="0.25">
      <c r="B7134" s="4">
        <v>7129</v>
      </c>
      <c r="C7134" s="10">
        <v>511.71071724511125</v>
      </c>
      <c r="D7134" s="42"/>
    </row>
    <row r="7135" spans="2:4" ht="16" thickBot="1" x14ac:dyDescent="0.25">
      <c r="B7135" s="5">
        <v>7130</v>
      </c>
      <c r="C7135" s="11">
        <v>409.5683879895733</v>
      </c>
      <c r="D7135" s="42"/>
    </row>
    <row r="7136" spans="2:4" ht="16" thickBot="1" x14ac:dyDescent="0.25">
      <c r="B7136" s="4">
        <v>7131</v>
      </c>
      <c r="C7136" s="10">
        <v>286.39205260298542</v>
      </c>
      <c r="D7136" s="42"/>
    </row>
    <row r="7137" spans="2:4" ht="16" thickBot="1" x14ac:dyDescent="0.25">
      <c r="B7137" s="5">
        <v>7132</v>
      </c>
      <c r="C7137" s="11">
        <v>235.7946669066942</v>
      </c>
      <c r="D7137" s="42"/>
    </row>
    <row r="7138" spans="2:4" ht="16" thickBot="1" x14ac:dyDescent="0.25">
      <c r="B7138" s="4">
        <v>7133</v>
      </c>
      <c r="C7138" s="10">
        <v>195.92002349297528</v>
      </c>
      <c r="D7138" s="42"/>
    </row>
    <row r="7139" spans="2:4" ht="16" thickBot="1" x14ac:dyDescent="0.25">
      <c r="B7139" s="5">
        <v>7134</v>
      </c>
      <c r="C7139" s="11">
        <v>587.68594119484555</v>
      </c>
      <c r="D7139" s="42"/>
    </row>
    <row r="7140" spans="2:4" ht="16" thickBot="1" x14ac:dyDescent="0.25">
      <c r="B7140" s="4">
        <v>7135</v>
      </c>
      <c r="C7140" s="10">
        <v>445.40294493694256</v>
      </c>
      <c r="D7140" s="42"/>
    </row>
    <row r="7141" spans="2:4" ht="16" thickBot="1" x14ac:dyDescent="0.25">
      <c r="B7141" s="5">
        <v>7136</v>
      </c>
      <c r="C7141" s="11">
        <v>439.71140167009901</v>
      </c>
      <c r="D7141" s="42"/>
    </row>
    <row r="7142" spans="2:4" ht="16" thickBot="1" x14ac:dyDescent="0.25">
      <c r="B7142" s="4">
        <v>7137</v>
      </c>
      <c r="C7142" s="10">
        <v>248.67561509488306</v>
      </c>
      <c r="D7142" s="42"/>
    </row>
    <row r="7143" spans="2:4" ht="16" thickBot="1" x14ac:dyDescent="0.25">
      <c r="B7143" s="5">
        <v>7138</v>
      </c>
      <c r="C7143" s="11">
        <v>309.12460923900011</v>
      </c>
      <c r="D7143" s="42"/>
    </row>
    <row r="7144" spans="2:4" ht="16" thickBot="1" x14ac:dyDescent="0.25">
      <c r="B7144" s="4">
        <v>7139</v>
      </c>
      <c r="C7144" s="10">
        <v>221.61451032893916</v>
      </c>
      <c r="D7144" s="42"/>
    </row>
    <row r="7145" spans="2:4" ht="16" thickBot="1" x14ac:dyDescent="0.25">
      <c r="B7145" s="5">
        <v>7140</v>
      </c>
      <c r="C7145" s="11">
        <v>399.75201700221635</v>
      </c>
      <c r="D7145" s="42"/>
    </row>
    <row r="7146" spans="2:4" ht="16" thickBot="1" x14ac:dyDescent="0.25">
      <c r="B7146" s="4">
        <v>7141</v>
      </c>
      <c r="C7146" s="10">
        <v>96.506099662030707</v>
      </c>
      <c r="D7146" s="42"/>
    </row>
    <row r="7147" spans="2:4" ht="16" thickBot="1" x14ac:dyDescent="0.25">
      <c r="B7147" s="5">
        <v>7142</v>
      </c>
      <c r="C7147" s="11">
        <v>17.498139716886179</v>
      </c>
      <c r="D7147" s="42"/>
    </row>
    <row r="7148" spans="2:4" ht="16" thickBot="1" x14ac:dyDescent="0.25">
      <c r="B7148" s="4">
        <v>7143</v>
      </c>
      <c r="C7148" s="10">
        <v>282.96262876269827</v>
      </c>
      <c r="D7148" s="42"/>
    </row>
    <row r="7149" spans="2:4" ht="16" thickBot="1" x14ac:dyDescent="0.25">
      <c r="B7149" s="5">
        <v>7144</v>
      </c>
      <c r="C7149" s="11">
        <v>251.73822815027555</v>
      </c>
      <c r="D7149" s="42"/>
    </row>
    <row r="7150" spans="2:4" ht="16" thickBot="1" x14ac:dyDescent="0.25">
      <c r="B7150" s="4">
        <v>7145</v>
      </c>
      <c r="C7150" s="10">
        <v>478.37116892357881</v>
      </c>
      <c r="D7150" s="42"/>
    </row>
    <row r="7151" spans="2:4" ht="16" thickBot="1" x14ac:dyDescent="0.25">
      <c r="B7151" s="5">
        <v>7146</v>
      </c>
      <c r="C7151" s="11">
        <v>339.62809005750728</v>
      </c>
      <c r="D7151" s="42"/>
    </row>
    <row r="7152" spans="2:4" ht="16" thickBot="1" x14ac:dyDescent="0.25">
      <c r="B7152" s="4">
        <v>7147</v>
      </c>
      <c r="C7152" s="10">
        <v>141.03734451938385</v>
      </c>
      <c r="D7152" s="42"/>
    </row>
    <row r="7153" spans="2:4" ht="16" thickBot="1" x14ac:dyDescent="0.25">
      <c r="B7153" s="5">
        <v>7148</v>
      </c>
      <c r="C7153" s="11">
        <v>454.80063483972651</v>
      </c>
      <c r="D7153" s="42"/>
    </row>
    <row r="7154" spans="2:4" ht="16" thickBot="1" x14ac:dyDescent="0.25">
      <c r="B7154" s="4">
        <v>7149</v>
      </c>
      <c r="C7154" s="10">
        <v>226.0352270584755</v>
      </c>
      <c r="D7154" s="42"/>
    </row>
    <row r="7155" spans="2:4" ht="16" thickBot="1" x14ac:dyDescent="0.25">
      <c r="B7155" s="5">
        <v>7150</v>
      </c>
      <c r="C7155" s="11">
        <v>309.87434059643419</v>
      </c>
      <c r="D7155" s="42"/>
    </row>
    <row r="7156" spans="2:4" ht="16" thickBot="1" x14ac:dyDescent="0.25">
      <c r="B7156" s="4">
        <v>7151</v>
      </c>
      <c r="C7156" s="10">
        <v>301.09103287287826</v>
      </c>
      <c r="D7156" s="42"/>
    </row>
    <row r="7157" spans="2:4" ht="16" thickBot="1" x14ac:dyDescent="0.25">
      <c r="B7157" s="5">
        <v>7152</v>
      </c>
      <c r="C7157" s="11">
        <v>702.35506539043843</v>
      </c>
      <c r="D7157" s="42"/>
    </row>
    <row r="7158" spans="2:4" ht="16" thickBot="1" x14ac:dyDescent="0.25">
      <c r="B7158" s="4">
        <v>7153</v>
      </c>
      <c r="C7158" s="10">
        <v>327.10722780099866</v>
      </c>
      <c r="D7158" s="42"/>
    </row>
    <row r="7159" spans="2:4" ht="16" thickBot="1" x14ac:dyDescent="0.25">
      <c r="B7159" s="5">
        <v>7154</v>
      </c>
      <c r="C7159" s="11">
        <v>131.76194602477335</v>
      </c>
      <c r="D7159" s="42"/>
    </row>
    <row r="7160" spans="2:4" ht="16" thickBot="1" x14ac:dyDescent="0.25">
      <c r="B7160" s="4">
        <v>7155</v>
      </c>
      <c r="C7160" s="10">
        <v>124.05826613465409</v>
      </c>
      <c r="D7160" s="42"/>
    </row>
    <row r="7161" spans="2:4" ht="16" thickBot="1" x14ac:dyDescent="0.25">
      <c r="B7161" s="5">
        <v>7156</v>
      </c>
      <c r="C7161" s="11">
        <v>495.16709498210543</v>
      </c>
      <c r="D7161" s="42"/>
    </row>
    <row r="7162" spans="2:4" ht="16" thickBot="1" x14ac:dyDescent="0.25">
      <c r="B7162" s="4">
        <v>7157</v>
      </c>
      <c r="C7162" s="10">
        <v>385.29936746585889</v>
      </c>
      <c r="D7162" s="42"/>
    </row>
    <row r="7163" spans="2:4" ht="16" thickBot="1" x14ac:dyDescent="0.25">
      <c r="B7163" s="5">
        <v>7158</v>
      </c>
      <c r="C7163" s="11">
        <v>466.93931709438039</v>
      </c>
      <c r="D7163" s="42"/>
    </row>
    <row r="7164" spans="2:4" ht="16" thickBot="1" x14ac:dyDescent="0.25">
      <c r="B7164" s="4">
        <v>7159</v>
      </c>
      <c r="C7164" s="10">
        <v>115.47604197824101</v>
      </c>
      <c r="D7164" s="42"/>
    </row>
    <row r="7165" spans="2:4" ht="16" thickBot="1" x14ac:dyDescent="0.25">
      <c r="B7165" s="5">
        <v>7160</v>
      </c>
      <c r="C7165" s="11">
        <v>301.13264778405926</v>
      </c>
      <c r="D7165" s="42"/>
    </row>
    <row r="7166" spans="2:4" ht="16" thickBot="1" x14ac:dyDescent="0.25">
      <c r="B7166" s="4">
        <v>7161</v>
      </c>
      <c r="C7166" s="10">
        <v>235.18663240705146</v>
      </c>
      <c r="D7166" s="42"/>
    </row>
    <row r="7167" spans="2:4" ht="16" thickBot="1" x14ac:dyDescent="0.25">
      <c r="B7167" s="5">
        <v>7162</v>
      </c>
      <c r="C7167" s="11">
        <v>287.82388804810148</v>
      </c>
      <c r="D7167" s="42"/>
    </row>
    <row r="7168" spans="2:4" ht="16" thickBot="1" x14ac:dyDescent="0.25">
      <c r="B7168" s="4">
        <v>7163</v>
      </c>
      <c r="C7168" s="10">
        <v>133.10244079658074</v>
      </c>
      <c r="D7168" s="42"/>
    </row>
    <row r="7169" spans="2:4" ht="16" thickBot="1" x14ac:dyDescent="0.25">
      <c r="B7169" s="5">
        <v>7164</v>
      </c>
      <c r="C7169" s="11">
        <v>316.33729880508724</v>
      </c>
      <c r="D7169" s="42"/>
    </row>
    <row r="7170" spans="2:4" ht="16" thickBot="1" x14ac:dyDescent="0.25">
      <c r="B7170" s="4">
        <v>7165</v>
      </c>
      <c r="C7170" s="10">
        <v>277.17198551761044</v>
      </c>
      <c r="D7170" s="42"/>
    </row>
    <row r="7171" spans="2:4" ht="16" thickBot="1" x14ac:dyDescent="0.25">
      <c r="B7171" s="5">
        <v>7166</v>
      </c>
      <c r="C7171" s="11">
        <v>102.72607135903394</v>
      </c>
      <c r="D7171" s="42"/>
    </row>
    <row r="7172" spans="2:4" ht="16" thickBot="1" x14ac:dyDescent="0.25">
      <c r="B7172" s="4">
        <v>7167</v>
      </c>
      <c r="C7172" s="10">
        <v>224.08174604028216</v>
      </c>
      <c r="D7172" s="42"/>
    </row>
    <row r="7173" spans="2:4" ht="16" thickBot="1" x14ac:dyDescent="0.25">
      <c r="B7173" s="5">
        <v>7168</v>
      </c>
      <c r="C7173" s="11">
        <v>139.26393656504231</v>
      </c>
      <c r="D7173" s="42"/>
    </row>
    <row r="7174" spans="2:4" ht="16" thickBot="1" x14ac:dyDescent="0.25">
      <c r="B7174" s="4">
        <v>7169</v>
      </c>
      <c r="C7174" s="10">
        <v>128.80180223488327</v>
      </c>
      <c r="D7174" s="42"/>
    </row>
    <row r="7175" spans="2:4" ht="16" thickBot="1" x14ac:dyDescent="0.25">
      <c r="B7175" s="5">
        <v>7170</v>
      </c>
      <c r="C7175" s="11">
        <v>234.6047824543908</v>
      </c>
      <c r="D7175" s="42"/>
    </row>
    <row r="7176" spans="2:4" ht="16" thickBot="1" x14ac:dyDescent="0.25">
      <c r="B7176" s="4">
        <v>7171</v>
      </c>
      <c r="C7176" s="10">
        <v>299.05906677605316</v>
      </c>
      <c r="D7176" s="42"/>
    </row>
    <row r="7177" spans="2:4" ht="16" thickBot="1" x14ac:dyDescent="0.25">
      <c r="B7177" s="5">
        <v>7172</v>
      </c>
      <c r="C7177" s="11">
        <v>562.2088072409291</v>
      </c>
      <c r="D7177" s="42"/>
    </row>
    <row r="7178" spans="2:4" ht="16" thickBot="1" x14ac:dyDescent="0.25">
      <c r="B7178" s="4">
        <v>7173</v>
      </c>
      <c r="C7178" s="10">
        <v>161.98267521197843</v>
      </c>
      <c r="D7178" s="42"/>
    </row>
    <row r="7179" spans="2:4" ht="16" thickBot="1" x14ac:dyDescent="0.25">
      <c r="B7179" s="5">
        <v>7174</v>
      </c>
      <c r="C7179" s="11">
        <v>279.43292110305896</v>
      </c>
      <c r="D7179" s="42"/>
    </row>
    <row r="7180" spans="2:4" ht="16" thickBot="1" x14ac:dyDescent="0.25">
      <c r="B7180" s="4">
        <v>7175</v>
      </c>
      <c r="C7180" s="10">
        <v>388.04229731651662</v>
      </c>
      <c r="D7180" s="42"/>
    </row>
    <row r="7181" spans="2:4" ht="16" thickBot="1" x14ac:dyDescent="0.25">
      <c r="B7181" s="5">
        <v>7176</v>
      </c>
      <c r="C7181" s="11">
        <v>523.9490251353825</v>
      </c>
      <c r="D7181" s="42"/>
    </row>
    <row r="7182" spans="2:4" ht="16" thickBot="1" x14ac:dyDescent="0.25">
      <c r="B7182" s="4">
        <v>7177</v>
      </c>
      <c r="C7182" s="10">
        <v>171.66949058603808</v>
      </c>
      <c r="D7182" s="42"/>
    </row>
    <row r="7183" spans="2:4" ht="16" thickBot="1" x14ac:dyDescent="0.25">
      <c r="B7183" s="5">
        <v>7178</v>
      </c>
      <c r="C7183" s="11">
        <v>404.42654966588282</v>
      </c>
      <c r="D7183" s="42"/>
    </row>
    <row r="7184" spans="2:4" ht="16" thickBot="1" x14ac:dyDescent="0.25">
      <c r="B7184" s="4">
        <v>7179</v>
      </c>
      <c r="C7184" s="10">
        <v>168.26962199277887</v>
      </c>
      <c r="D7184" s="42"/>
    </row>
    <row r="7185" spans="2:4" ht="16" thickBot="1" x14ac:dyDescent="0.25">
      <c r="B7185" s="5">
        <v>7180</v>
      </c>
      <c r="C7185" s="11">
        <v>245.9615350192816</v>
      </c>
      <c r="D7185" s="42"/>
    </row>
    <row r="7186" spans="2:4" ht="16" thickBot="1" x14ac:dyDescent="0.25">
      <c r="B7186" s="4">
        <v>7181</v>
      </c>
      <c r="C7186" s="10">
        <v>572.12207515253795</v>
      </c>
      <c r="D7186" s="42"/>
    </row>
    <row r="7187" spans="2:4" ht="16" thickBot="1" x14ac:dyDescent="0.25">
      <c r="B7187" s="5">
        <v>7182</v>
      </c>
      <c r="C7187" s="11">
        <v>403.71772455214659</v>
      </c>
      <c r="D7187" s="42"/>
    </row>
    <row r="7188" spans="2:4" ht="16" thickBot="1" x14ac:dyDescent="0.25">
      <c r="B7188" s="4">
        <v>7183</v>
      </c>
      <c r="C7188" s="10">
        <v>181.46985829441397</v>
      </c>
      <c r="D7188" s="42"/>
    </row>
    <row r="7189" spans="2:4" ht="16" thickBot="1" x14ac:dyDescent="0.25">
      <c r="B7189" s="5">
        <v>7184</v>
      </c>
      <c r="C7189" s="11">
        <v>246.89374792466288</v>
      </c>
      <c r="D7189" s="42"/>
    </row>
    <row r="7190" spans="2:4" ht="16" thickBot="1" x14ac:dyDescent="0.25">
      <c r="B7190" s="4">
        <v>7185</v>
      </c>
      <c r="C7190" s="10">
        <v>244.2146593760049</v>
      </c>
      <c r="D7190" s="42"/>
    </row>
    <row r="7191" spans="2:4" ht="16" thickBot="1" x14ac:dyDescent="0.25">
      <c r="B7191" s="5">
        <v>7186</v>
      </c>
      <c r="C7191" s="11">
        <v>30.316571654714931</v>
      </c>
      <c r="D7191" s="42"/>
    </row>
    <row r="7192" spans="2:4" ht="16" thickBot="1" x14ac:dyDescent="0.25">
      <c r="B7192" s="4">
        <v>7187</v>
      </c>
      <c r="C7192" s="10">
        <v>453.97779327535631</v>
      </c>
      <c r="D7192" s="42"/>
    </row>
    <row r="7193" spans="2:4" ht="16" thickBot="1" x14ac:dyDescent="0.25">
      <c r="B7193" s="5">
        <v>7188</v>
      </c>
      <c r="C7193" s="11">
        <v>335.27256385455757</v>
      </c>
      <c r="D7193" s="42"/>
    </row>
    <row r="7194" spans="2:4" ht="16" thickBot="1" x14ac:dyDescent="0.25">
      <c r="B7194" s="4">
        <v>7189</v>
      </c>
      <c r="C7194" s="10">
        <v>137.33974074120414</v>
      </c>
      <c r="D7194" s="42"/>
    </row>
    <row r="7195" spans="2:4" ht="16" thickBot="1" x14ac:dyDescent="0.25">
      <c r="B7195" s="5">
        <v>7190</v>
      </c>
      <c r="C7195" s="11">
        <v>369.03604583938767</v>
      </c>
      <c r="D7195" s="42"/>
    </row>
    <row r="7196" spans="2:4" ht="16" thickBot="1" x14ac:dyDescent="0.25">
      <c r="B7196" s="4">
        <v>7191</v>
      </c>
      <c r="C7196" s="10">
        <v>148.81390253576564</v>
      </c>
      <c r="D7196" s="42"/>
    </row>
    <row r="7197" spans="2:4" ht="16" thickBot="1" x14ac:dyDescent="0.25">
      <c r="B7197" s="5">
        <v>7192</v>
      </c>
      <c r="C7197" s="11">
        <v>293.99510323273182</v>
      </c>
      <c r="D7197" s="42"/>
    </row>
    <row r="7198" spans="2:4" ht="16" thickBot="1" x14ac:dyDescent="0.25">
      <c r="B7198" s="4">
        <v>7193</v>
      </c>
      <c r="C7198" s="10">
        <v>198.96539426907421</v>
      </c>
      <c r="D7198" s="42"/>
    </row>
    <row r="7199" spans="2:4" ht="16" thickBot="1" x14ac:dyDescent="0.25">
      <c r="B7199" s="5">
        <v>7194</v>
      </c>
      <c r="C7199" s="11">
        <v>145.15873283240941</v>
      </c>
      <c r="D7199" s="42"/>
    </row>
    <row r="7200" spans="2:4" ht="16" thickBot="1" x14ac:dyDescent="0.25">
      <c r="B7200" s="4">
        <v>7195</v>
      </c>
      <c r="C7200" s="10">
        <v>269.26485219753403</v>
      </c>
      <c r="D7200" s="42"/>
    </row>
    <row r="7201" spans="2:4" ht="16" thickBot="1" x14ac:dyDescent="0.25">
      <c r="B7201" s="5">
        <v>7196</v>
      </c>
      <c r="C7201" s="11">
        <v>135.71057456881451</v>
      </c>
      <c r="D7201" s="42"/>
    </row>
    <row r="7202" spans="2:4" ht="16" thickBot="1" x14ac:dyDescent="0.25">
      <c r="B7202" s="4">
        <v>7197</v>
      </c>
      <c r="C7202" s="10">
        <v>426.34815956236923</v>
      </c>
      <c r="D7202" s="42"/>
    </row>
    <row r="7203" spans="2:4" ht="16" thickBot="1" x14ac:dyDescent="0.25">
      <c r="B7203" s="5">
        <v>7198</v>
      </c>
      <c r="C7203" s="11">
        <v>756.15084094238796</v>
      </c>
      <c r="D7203" s="42"/>
    </row>
    <row r="7204" spans="2:4" ht="16" thickBot="1" x14ac:dyDescent="0.25">
      <c r="B7204" s="4">
        <v>7199</v>
      </c>
      <c r="C7204" s="10">
        <v>130.54212326586708</v>
      </c>
      <c r="D7204" s="42"/>
    </row>
    <row r="7205" spans="2:4" ht="16" thickBot="1" x14ac:dyDescent="0.25">
      <c r="B7205" s="5">
        <v>7200</v>
      </c>
      <c r="C7205" s="11">
        <v>75.486212942929612</v>
      </c>
      <c r="D7205" s="42"/>
    </row>
    <row r="7206" spans="2:4" ht="16" thickBot="1" x14ac:dyDescent="0.25">
      <c r="B7206" s="4">
        <v>7201</v>
      </c>
      <c r="C7206" s="10">
        <v>145.30508466497585</v>
      </c>
      <c r="D7206" s="42"/>
    </row>
    <row r="7207" spans="2:4" ht="16" thickBot="1" x14ac:dyDescent="0.25">
      <c r="B7207" s="5">
        <v>7202</v>
      </c>
      <c r="C7207" s="11">
        <v>553.12572523396625</v>
      </c>
      <c r="D7207" s="42"/>
    </row>
    <row r="7208" spans="2:4" ht="16" thickBot="1" x14ac:dyDescent="0.25">
      <c r="B7208" s="4">
        <v>7203</v>
      </c>
      <c r="C7208" s="10">
        <v>131.08294316733446</v>
      </c>
      <c r="D7208" s="42"/>
    </row>
    <row r="7209" spans="2:4" ht="16" thickBot="1" x14ac:dyDescent="0.25">
      <c r="B7209" s="5">
        <v>7204</v>
      </c>
      <c r="C7209" s="11">
        <v>60.316830717985546</v>
      </c>
      <c r="D7209" s="42"/>
    </row>
    <row r="7210" spans="2:4" ht="16" thickBot="1" x14ac:dyDescent="0.25">
      <c r="B7210" s="4">
        <v>7205</v>
      </c>
      <c r="C7210" s="10">
        <v>146.7022633614834</v>
      </c>
      <c r="D7210" s="42"/>
    </row>
    <row r="7211" spans="2:4" ht="16" thickBot="1" x14ac:dyDescent="0.25">
      <c r="B7211" s="5">
        <v>7206</v>
      </c>
      <c r="C7211" s="11">
        <v>345.78278955362117</v>
      </c>
      <c r="D7211" s="42"/>
    </row>
    <row r="7212" spans="2:4" ht="16" thickBot="1" x14ac:dyDescent="0.25">
      <c r="B7212" s="4">
        <v>7207</v>
      </c>
      <c r="C7212" s="10">
        <v>160.08489753825558</v>
      </c>
      <c r="D7212" s="42"/>
    </row>
    <row r="7213" spans="2:4" ht="16" thickBot="1" x14ac:dyDescent="0.25">
      <c r="B7213" s="5">
        <v>7208</v>
      </c>
      <c r="C7213" s="11">
        <v>377.42335043131146</v>
      </c>
      <c r="D7213" s="42"/>
    </row>
    <row r="7214" spans="2:4" ht="16" thickBot="1" x14ac:dyDescent="0.25">
      <c r="B7214" s="4">
        <v>7209</v>
      </c>
      <c r="C7214" s="10">
        <v>421.46673902444257</v>
      </c>
      <c r="D7214" s="42"/>
    </row>
    <row r="7215" spans="2:4" ht="16" thickBot="1" x14ac:dyDescent="0.25">
      <c r="B7215" s="5">
        <v>7210</v>
      </c>
      <c r="C7215" s="11">
        <v>369.05464635685212</v>
      </c>
      <c r="D7215" s="42"/>
    </row>
    <row r="7216" spans="2:4" ht="16" thickBot="1" x14ac:dyDescent="0.25">
      <c r="B7216" s="4">
        <v>7211</v>
      </c>
      <c r="C7216" s="10">
        <v>66.744970831702162</v>
      </c>
      <c r="D7216" s="42"/>
    </row>
    <row r="7217" spans="2:4" ht="16" thickBot="1" x14ac:dyDescent="0.25">
      <c r="B7217" s="5">
        <v>7212</v>
      </c>
      <c r="C7217" s="11">
        <v>336.2514626984393</v>
      </c>
      <c r="D7217" s="42"/>
    </row>
    <row r="7218" spans="2:4" ht="16" thickBot="1" x14ac:dyDescent="0.25">
      <c r="B7218" s="4">
        <v>7213</v>
      </c>
      <c r="C7218" s="10">
        <v>127.04456651736736</v>
      </c>
      <c r="D7218" s="42"/>
    </row>
    <row r="7219" spans="2:4" ht="16" thickBot="1" x14ac:dyDescent="0.25">
      <c r="B7219" s="5">
        <v>7214</v>
      </c>
      <c r="C7219" s="11">
        <v>192.59119027482245</v>
      </c>
      <c r="D7219" s="42"/>
    </row>
    <row r="7220" spans="2:4" ht="16" thickBot="1" x14ac:dyDescent="0.25">
      <c r="B7220" s="4">
        <v>7215</v>
      </c>
      <c r="C7220" s="10">
        <v>312.49247214428357</v>
      </c>
      <c r="D7220" s="42"/>
    </row>
    <row r="7221" spans="2:4" ht="16" thickBot="1" x14ac:dyDescent="0.25">
      <c r="B7221" s="5">
        <v>7216</v>
      </c>
      <c r="C7221" s="11">
        <v>280.7932727761343</v>
      </c>
      <c r="D7221" s="42"/>
    </row>
    <row r="7222" spans="2:4" ht="16" thickBot="1" x14ac:dyDescent="0.25">
      <c r="B7222" s="4">
        <v>7217</v>
      </c>
      <c r="C7222" s="10">
        <v>168.03114050051227</v>
      </c>
      <c r="D7222" s="42"/>
    </row>
    <row r="7223" spans="2:4" ht="16" thickBot="1" x14ac:dyDescent="0.25">
      <c r="B7223" s="5">
        <v>7218</v>
      </c>
      <c r="C7223" s="11">
        <v>49.144796576054077</v>
      </c>
      <c r="D7223" s="42"/>
    </row>
    <row r="7224" spans="2:4" ht="16" thickBot="1" x14ac:dyDescent="0.25">
      <c r="B7224" s="4">
        <v>7219</v>
      </c>
      <c r="C7224" s="10">
        <v>78.517523188139478</v>
      </c>
      <c r="D7224" s="42"/>
    </row>
    <row r="7225" spans="2:4" ht="16" thickBot="1" x14ac:dyDescent="0.25">
      <c r="B7225" s="5">
        <v>7220</v>
      </c>
      <c r="C7225" s="11">
        <v>70.871446221347227</v>
      </c>
      <c r="D7225" s="42"/>
    </row>
    <row r="7226" spans="2:4" ht="16" thickBot="1" x14ac:dyDescent="0.25">
      <c r="B7226" s="4">
        <v>7221</v>
      </c>
      <c r="C7226" s="10">
        <v>525.78950281809091</v>
      </c>
      <c r="D7226" s="42"/>
    </row>
    <row r="7227" spans="2:4" ht="16" thickBot="1" x14ac:dyDescent="0.25">
      <c r="B7227" s="5">
        <v>7222</v>
      </c>
      <c r="C7227" s="11">
        <v>349.5648378854379</v>
      </c>
      <c r="D7227" s="42"/>
    </row>
    <row r="7228" spans="2:4" ht="16" thickBot="1" x14ac:dyDescent="0.25">
      <c r="B7228" s="4">
        <v>7223</v>
      </c>
      <c r="C7228" s="10">
        <v>228.89305182618367</v>
      </c>
      <c r="D7228" s="42"/>
    </row>
    <row r="7229" spans="2:4" ht="16" thickBot="1" x14ac:dyDescent="0.25">
      <c r="B7229" s="5">
        <v>7224</v>
      </c>
      <c r="C7229" s="11">
        <v>352.06822459838133</v>
      </c>
      <c r="D7229" s="42"/>
    </row>
    <row r="7230" spans="2:4" ht="16" thickBot="1" x14ac:dyDescent="0.25">
      <c r="B7230" s="4">
        <v>7225</v>
      </c>
      <c r="C7230" s="10">
        <v>140.94308962428926</v>
      </c>
      <c r="D7230" s="42"/>
    </row>
    <row r="7231" spans="2:4" ht="16" thickBot="1" x14ac:dyDescent="0.25">
      <c r="B7231" s="5">
        <v>7226</v>
      </c>
      <c r="C7231" s="11">
        <v>197.59763785226923</v>
      </c>
      <c r="D7231" s="42"/>
    </row>
    <row r="7232" spans="2:4" ht="16" thickBot="1" x14ac:dyDescent="0.25">
      <c r="B7232" s="4">
        <v>7227</v>
      </c>
      <c r="C7232" s="10">
        <v>73.176337567702987</v>
      </c>
      <c r="D7232" s="42"/>
    </row>
    <row r="7233" spans="2:4" ht="16" thickBot="1" x14ac:dyDescent="0.25">
      <c r="B7233" s="5">
        <v>7228</v>
      </c>
      <c r="C7233" s="11">
        <v>157.71551423339693</v>
      </c>
      <c r="D7233" s="42"/>
    </row>
    <row r="7234" spans="2:4" ht="16" thickBot="1" x14ac:dyDescent="0.25">
      <c r="B7234" s="4">
        <v>7229</v>
      </c>
      <c r="C7234" s="10">
        <v>501.44957248605846</v>
      </c>
      <c r="D7234" s="42"/>
    </row>
    <row r="7235" spans="2:4" ht="16" thickBot="1" x14ac:dyDescent="0.25">
      <c r="B7235" s="5">
        <v>7230</v>
      </c>
      <c r="C7235" s="11">
        <v>347.54052118588464</v>
      </c>
      <c r="D7235" s="42"/>
    </row>
    <row r="7236" spans="2:4" ht="16" thickBot="1" x14ac:dyDescent="0.25">
      <c r="B7236" s="4">
        <v>7231</v>
      </c>
      <c r="C7236" s="10">
        <v>78.079717968540635</v>
      </c>
      <c r="D7236" s="42"/>
    </row>
    <row r="7237" spans="2:4" ht="16" thickBot="1" x14ac:dyDescent="0.25">
      <c r="B7237" s="5">
        <v>7232</v>
      </c>
      <c r="C7237" s="11">
        <v>169.30065433592802</v>
      </c>
      <c r="D7237" s="42"/>
    </row>
    <row r="7238" spans="2:4" ht="16" thickBot="1" x14ac:dyDescent="0.25">
      <c r="B7238" s="4">
        <v>7233</v>
      </c>
      <c r="C7238" s="10">
        <v>140.76941314534108</v>
      </c>
      <c r="D7238" s="42"/>
    </row>
    <row r="7239" spans="2:4" ht="16" thickBot="1" x14ac:dyDescent="0.25">
      <c r="B7239" s="5">
        <v>7234</v>
      </c>
      <c r="C7239" s="11">
        <v>163.46867979426688</v>
      </c>
      <c r="D7239" s="42"/>
    </row>
    <row r="7240" spans="2:4" ht="16" thickBot="1" x14ac:dyDescent="0.25">
      <c r="B7240" s="4">
        <v>7235</v>
      </c>
      <c r="C7240" s="10">
        <v>151.5672325632047</v>
      </c>
      <c r="D7240" s="42"/>
    </row>
    <row r="7241" spans="2:4" ht="16" thickBot="1" x14ac:dyDescent="0.25">
      <c r="B7241" s="5">
        <v>7236</v>
      </c>
      <c r="C7241" s="11">
        <v>185.35647779079545</v>
      </c>
      <c r="D7241" s="42"/>
    </row>
    <row r="7242" spans="2:4" ht="16" thickBot="1" x14ac:dyDescent="0.25">
      <c r="B7242" s="4">
        <v>7237</v>
      </c>
      <c r="C7242" s="10">
        <v>339.11387569092568</v>
      </c>
      <c r="D7242" s="42"/>
    </row>
    <row r="7243" spans="2:4" ht="16" thickBot="1" x14ac:dyDescent="0.25">
      <c r="B7243" s="5">
        <v>7238</v>
      </c>
      <c r="C7243" s="11">
        <v>313.18211926002675</v>
      </c>
      <c r="D7243" s="42"/>
    </row>
    <row r="7244" spans="2:4" ht="16" thickBot="1" x14ac:dyDescent="0.25">
      <c r="B7244" s="4">
        <v>7239</v>
      </c>
      <c r="C7244" s="10">
        <v>117.91838607771768</v>
      </c>
      <c r="D7244" s="42"/>
    </row>
    <row r="7245" spans="2:4" ht="16" thickBot="1" x14ac:dyDescent="0.25">
      <c r="B7245" s="5">
        <v>7240</v>
      </c>
      <c r="C7245" s="11">
        <v>381.83743104259366</v>
      </c>
      <c r="D7245" s="42"/>
    </row>
    <row r="7246" spans="2:4" ht="16" thickBot="1" x14ac:dyDescent="0.25">
      <c r="B7246" s="4">
        <v>7241</v>
      </c>
      <c r="C7246" s="10">
        <v>462.5177240619974</v>
      </c>
      <c r="D7246" s="42"/>
    </row>
    <row r="7247" spans="2:4" ht="16" thickBot="1" x14ac:dyDescent="0.25">
      <c r="B7247" s="5">
        <v>7242</v>
      </c>
      <c r="C7247" s="11">
        <v>183.91331183503948</v>
      </c>
      <c r="D7247" s="42"/>
    </row>
    <row r="7248" spans="2:4" ht="16" thickBot="1" x14ac:dyDescent="0.25">
      <c r="B7248" s="4">
        <v>7243</v>
      </c>
      <c r="C7248" s="10">
        <v>276.18515327717461</v>
      </c>
      <c r="D7248" s="42"/>
    </row>
    <row r="7249" spans="2:4" ht="16" thickBot="1" x14ac:dyDescent="0.25">
      <c r="B7249" s="5">
        <v>7244</v>
      </c>
      <c r="C7249" s="11">
        <v>200.23372290280832</v>
      </c>
      <c r="D7249" s="42"/>
    </row>
    <row r="7250" spans="2:4" ht="16" thickBot="1" x14ac:dyDescent="0.25">
      <c r="B7250" s="4">
        <v>7245</v>
      </c>
      <c r="C7250" s="10">
        <v>143.8029559158702</v>
      </c>
      <c r="D7250" s="42"/>
    </row>
    <row r="7251" spans="2:4" ht="16" thickBot="1" x14ac:dyDescent="0.25">
      <c r="B7251" s="5">
        <v>7246</v>
      </c>
      <c r="C7251" s="11">
        <v>453.39072190811726</v>
      </c>
      <c r="D7251" s="42"/>
    </row>
    <row r="7252" spans="2:4" ht="16" thickBot="1" x14ac:dyDescent="0.25">
      <c r="B7252" s="4">
        <v>7247</v>
      </c>
      <c r="C7252" s="10">
        <v>243.32455420434684</v>
      </c>
      <c r="D7252" s="42"/>
    </row>
    <row r="7253" spans="2:4" ht="16" thickBot="1" x14ac:dyDescent="0.25">
      <c r="B7253" s="5">
        <v>7248</v>
      </c>
      <c r="C7253" s="11">
        <v>277.49575761239322</v>
      </c>
      <c r="D7253" s="42"/>
    </row>
    <row r="7254" spans="2:4" ht="16" thickBot="1" x14ac:dyDescent="0.25">
      <c r="B7254" s="4">
        <v>7249</v>
      </c>
      <c r="C7254" s="10">
        <v>198.42069007511702</v>
      </c>
      <c r="D7254" s="42"/>
    </row>
    <row r="7255" spans="2:4" ht="16" thickBot="1" x14ac:dyDescent="0.25">
      <c r="B7255" s="5">
        <v>7250</v>
      </c>
      <c r="C7255" s="11">
        <v>139.85246883888831</v>
      </c>
      <c r="D7255" s="42"/>
    </row>
    <row r="7256" spans="2:4" ht="16" thickBot="1" x14ac:dyDescent="0.25">
      <c r="B7256" s="4">
        <v>7251</v>
      </c>
      <c r="C7256" s="10">
        <v>102.63435219769684</v>
      </c>
      <c r="D7256" s="42"/>
    </row>
    <row r="7257" spans="2:4" ht="16" thickBot="1" x14ac:dyDescent="0.25">
      <c r="B7257" s="5">
        <v>7252</v>
      </c>
      <c r="C7257" s="11">
        <v>322.01424284915487</v>
      </c>
      <c r="D7257" s="42"/>
    </row>
    <row r="7258" spans="2:4" ht="16" thickBot="1" x14ac:dyDescent="0.25">
      <c r="B7258" s="4">
        <v>7253</v>
      </c>
      <c r="C7258" s="10">
        <v>455.9995099490971</v>
      </c>
      <c r="D7258" s="42"/>
    </row>
    <row r="7259" spans="2:4" ht="16" thickBot="1" x14ac:dyDescent="0.25">
      <c r="B7259" s="5">
        <v>7254</v>
      </c>
      <c r="C7259" s="11">
        <v>68.881898884915614</v>
      </c>
      <c r="D7259" s="42"/>
    </row>
    <row r="7260" spans="2:4" ht="16" thickBot="1" x14ac:dyDescent="0.25">
      <c r="B7260" s="4">
        <v>7255</v>
      </c>
      <c r="C7260" s="10">
        <v>356.25303810973367</v>
      </c>
      <c r="D7260" s="42"/>
    </row>
    <row r="7261" spans="2:4" ht="16" thickBot="1" x14ac:dyDescent="0.25">
      <c r="B7261" s="5">
        <v>7256</v>
      </c>
      <c r="C7261" s="11">
        <v>152.21498581558728</v>
      </c>
      <c r="D7261" s="42"/>
    </row>
    <row r="7262" spans="2:4" ht="16" thickBot="1" x14ac:dyDescent="0.25">
      <c r="B7262" s="4">
        <v>7257</v>
      </c>
      <c r="C7262" s="10">
        <v>285.1717173448979</v>
      </c>
      <c r="D7262" s="42"/>
    </row>
    <row r="7263" spans="2:4" ht="16" thickBot="1" x14ac:dyDescent="0.25">
      <c r="B7263" s="5">
        <v>7258</v>
      </c>
      <c r="C7263" s="11">
        <v>152.6497278053896</v>
      </c>
      <c r="D7263" s="42"/>
    </row>
    <row r="7264" spans="2:4" ht="16" thickBot="1" x14ac:dyDescent="0.25">
      <c r="B7264" s="4">
        <v>7259</v>
      </c>
      <c r="C7264" s="10">
        <v>329.83041683030251</v>
      </c>
      <c r="D7264" s="42"/>
    </row>
    <row r="7265" spans="2:4" ht="16" thickBot="1" x14ac:dyDescent="0.25">
      <c r="B7265" s="5">
        <v>7260</v>
      </c>
      <c r="C7265" s="11">
        <v>256.91325834557131</v>
      </c>
      <c r="D7265" s="42"/>
    </row>
    <row r="7266" spans="2:4" ht="16" thickBot="1" x14ac:dyDescent="0.25">
      <c r="B7266" s="4">
        <v>7261</v>
      </c>
      <c r="C7266" s="10">
        <v>230.11296273467897</v>
      </c>
      <c r="D7266" s="42"/>
    </row>
    <row r="7267" spans="2:4" ht="16" thickBot="1" x14ac:dyDescent="0.25">
      <c r="B7267" s="5">
        <v>7262</v>
      </c>
      <c r="C7267" s="11">
        <v>206.69486172180817</v>
      </c>
      <c r="D7267" s="42"/>
    </row>
    <row r="7268" spans="2:4" ht="16" thickBot="1" x14ac:dyDescent="0.25">
      <c r="B7268" s="4">
        <v>7263</v>
      </c>
      <c r="C7268" s="10">
        <v>246.27952692692506</v>
      </c>
      <c r="D7268" s="42"/>
    </row>
    <row r="7269" spans="2:4" ht="16" thickBot="1" x14ac:dyDescent="0.25">
      <c r="B7269" s="5">
        <v>7264</v>
      </c>
      <c r="C7269" s="11">
        <v>351.51644407494183</v>
      </c>
      <c r="D7269" s="42"/>
    </row>
    <row r="7270" spans="2:4" ht="16" thickBot="1" x14ac:dyDescent="0.25">
      <c r="B7270" s="4">
        <v>7265</v>
      </c>
      <c r="C7270" s="10">
        <v>502.39881148016548</v>
      </c>
      <c r="D7270" s="42"/>
    </row>
    <row r="7271" spans="2:4" ht="16" thickBot="1" x14ac:dyDescent="0.25">
      <c r="B7271" s="5">
        <v>7266</v>
      </c>
      <c r="C7271" s="11">
        <v>145.35081173062153</v>
      </c>
      <c r="D7271" s="42"/>
    </row>
    <row r="7272" spans="2:4" ht="16" thickBot="1" x14ac:dyDescent="0.25">
      <c r="B7272" s="4">
        <v>7267</v>
      </c>
      <c r="C7272" s="10">
        <v>156.37196405194356</v>
      </c>
      <c r="D7272" s="42"/>
    </row>
    <row r="7273" spans="2:4" ht="16" thickBot="1" x14ac:dyDescent="0.25">
      <c r="B7273" s="5">
        <v>7268</v>
      </c>
      <c r="C7273" s="11">
        <v>295.23804913888677</v>
      </c>
      <c r="D7273" s="42"/>
    </row>
    <row r="7274" spans="2:4" ht="16" thickBot="1" x14ac:dyDescent="0.25">
      <c r="B7274" s="4">
        <v>7269</v>
      </c>
      <c r="C7274" s="10">
        <v>415.66309960148897</v>
      </c>
      <c r="D7274" s="42"/>
    </row>
    <row r="7275" spans="2:4" ht="16" thickBot="1" x14ac:dyDescent="0.25">
      <c r="B7275" s="5">
        <v>7270</v>
      </c>
      <c r="C7275" s="11">
        <v>156.59001377546738</v>
      </c>
      <c r="D7275" s="42"/>
    </row>
    <row r="7276" spans="2:4" ht="16" thickBot="1" x14ac:dyDescent="0.25">
      <c r="B7276" s="4">
        <v>7271</v>
      </c>
      <c r="C7276" s="10">
        <v>395.05434209706493</v>
      </c>
      <c r="D7276" s="42"/>
    </row>
    <row r="7277" spans="2:4" ht="16" thickBot="1" x14ac:dyDescent="0.25">
      <c r="B7277" s="5">
        <v>7272</v>
      </c>
      <c r="C7277" s="11">
        <v>43.334971848473231</v>
      </c>
      <c r="D7277" s="42"/>
    </row>
    <row r="7278" spans="2:4" ht="16" thickBot="1" x14ac:dyDescent="0.25">
      <c r="B7278" s="4">
        <v>7273</v>
      </c>
      <c r="C7278" s="10">
        <v>196.8783573506046</v>
      </c>
      <c r="D7278" s="42"/>
    </row>
    <row r="7279" spans="2:4" ht="16" thickBot="1" x14ac:dyDescent="0.25">
      <c r="B7279" s="5">
        <v>7274</v>
      </c>
      <c r="C7279" s="11">
        <v>424.21861304937761</v>
      </c>
      <c r="D7279" s="42"/>
    </row>
    <row r="7280" spans="2:4" ht="16" thickBot="1" x14ac:dyDescent="0.25">
      <c r="B7280" s="4">
        <v>7275</v>
      </c>
      <c r="C7280" s="10">
        <v>309.66159238013768</v>
      </c>
      <c r="D7280" s="42"/>
    </row>
    <row r="7281" spans="2:4" ht="16" thickBot="1" x14ac:dyDescent="0.25">
      <c r="B7281" s="5">
        <v>7276</v>
      </c>
      <c r="C7281" s="11">
        <v>494.62475487873434</v>
      </c>
      <c r="D7281" s="42"/>
    </row>
    <row r="7282" spans="2:4" ht="16" thickBot="1" x14ac:dyDescent="0.25">
      <c r="B7282" s="4">
        <v>7277</v>
      </c>
      <c r="C7282" s="10">
        <v>260.27197948454739</v>
      </c>
      <c r="D7282" s="42"/>
    </row>
    <row r="7283" spans="2:4" ht="16" thickBot="1" x14ac:dyDescent="0.25">
      <c r="B7283" s="5">
        <v>7278</v>
      </c>
      <c r="C7283" s="11">
        <v>400.7018437881195</v>
      </c>
      <c r="D7283" s="42"/>
    </row>
    <row r="7284" spans="2:4" ht="16" thickBot="1" x14ac:dyDescent="0.25">
      <c r="B7284" s="4">
        <v>7279</v>
      </c>
      <c r="C7284" s="10">
        <v>111.62695887019891</v>
      </c>
      <c r="D7284" s="42"/>
    </row>
    <row r="7285" spans="2:4" ht="16" thickBot="1" x14ac:dyDescent="0.25">
      <c r="B7285" s="5">
        <v>7280</v>
      </c>
      <c r="C7285" s="11">
        <v>166.38179459113195</v>
      </c>
      <c r="D7285" s="42"/>
    </row>
    <row r="7286" spans="2:4" ht="16" thickBot="1" x14ac:dyDescent="0.25">
      <c r="B7286" s="4">
        <v>7281</v>
      </c>
      <c r="C7286" s="10">
        <v>261.60882373766799</v>
      </c>
      <c r="D7286" s="42"/>
    </row>
    <row r="7287" spans="2:4" ht="16" thickBot="1" x14ac:dyDescent="0.25">
      <c r="B7287" s="5">
        <v>7282</v>
      </c>
      <c r="C7287" s="11">
        <v>461.01394219954796</v>
      </c>
      <c r="D7287" s="42"/>
    </row>
    <row r="7288" spans="2:4" ht="16" thickBot="1" x14ac:dyDescent="0.25">
      <c r="B7288" s="4">
        <v>7283</v>
      </c>
      <c r="C7288" s="10">
        <v>609.90233183921612</v>
      </c>
      <c r="D7288" s="42"/>
    </row>
    <row r="7289" spans="2:4" ht="16" thickBot="1" x14ac:dyDescent="0.25">
      <c r="B7289" s="5">
        <v>7284</v>
      </c>
      <c r="C7289" s="11">
        <v>715.87573585689222</v>
      </c>
      <c r="D7289" s="42"/>
    </row>
    <row r="7290" spans="2:4" ht="16" thickBot="1" x14ac:dyDescent="0.25">
      <c r="B7290" s="4">
        <v>7285</v>
      </c>
      <c r="C7290" s="10">
        <v>117.66548652464517</v>
      </c>
      <c r="D7290" s="42"/>
    </row>
    <row r="7291" spans="2:4" ht="16" thickBot="1" x14ac:dyDescent="0.25">
      <c r="B7291" s="5">
        <v>7286</v>
      </c>
      <c r="C7291" s="11">
        <v>160.64801349367187</v>
      </c>
      <c r="D7291" s="42"/>
    </row>
    <row r="7292" spans="2:4" ht="16" thickBot="1" x14ac:dyDescent="0.25">
      <c r="B7292" s="4">
        <v>7287</v>
      </c>
      <c r="C7292" s="10">
        <v>185.74551861801163</v>
      </c>
      <c r="D7292" s="42"/>
    </row>
    <row r="7293" spans="2:4" ht="16" thickBot="1" x14ac:dyDescent="0.25">
      <c r="B7293" s="5">
        <v>7288</v>
      </c>
      <c r="C7293" s="11">
        <v>86.31929413130834</v>
      </c>
      <c r="D7293" s="42"/>
    </row>
    <row r="7294" spans="2:4" ht="16" thickBot="1" x14ac:dyDescent="0.25">
      <c r="B7294" s="4">
        <v>7289</v>
      </c>
      <c r="C7294" s="10">
        <v>233.29338196930505</v>
      </c>
      <c r="D7294" s="42"/>
    </row>
    <row r="7295" spans="2:4" ht="16" thickBot="1" x14ac:dyDescent="0.25">
      <c r="B7295" s="5">
        <v>7290</v>
      </c>
      <c r="C7295" s="11">
        <v>433.41543880442788</v>
      </c>
      <c r="D7295" s="42"/>
    </row>
    <row r="7296" spans="2:4" ht="16" thickBot="1" x14ac:dyDescent="0.25">
      <c r="B7296" s="4">
        <v>7291</v>
      </c>
      <c r="C7296" s="10">
        <v>163.12823690498632</v>
      </c>
      <c r="D7296" s="42"/>
    </row>
    <row r="7297" spans="2:4" ht="16" thickBot="1" x14ac:dyDescent="0.25">
      <c r="B7297" s="5">
        <v>7292</v>
      </c>
      <c r="C7297" s="11">
        <v>390.48414677698372</v>
      </c>
      <c r="D7297" s="42"/>
    </row>
    <row r="7298" spans="2:4" ht="16" thickBot="1" x14ac:dyDescent="0.25">
      <c r="B7298" s="4">
        <v>7293</v>
      </c>
      <c r="C7298" s="10">
        <v>90.189158619948017</v>
      </c>
      <c r="D7298" s="42"/>
    </row>
    <row r="7299" spans="2:4" ht="16" thickBot="1" x14ac:dyDescent="0.25">
      <c r="B7299" s="5">
        <v>7294</v>
      </c>
      <c r="C7299" s="11">
        <v>142.90434815399954</v>
      </c>
      <c r="D7299" s="42"/>
    </row>
    <row r="7300" spans="2:4" ht="16" thickBot="1" x14ac:dyDescent="0.25">
      <c r="B7300" s="4">
        <v>7295</v>
      </c>
      <c r="C7300" s="10">
        <v>418.86974799390077</v>
      </c>
      <c r="D7300" s="42"/>
    </row>
    <row r="7301" spans="2:4" ht="16" thickBot="1" x14ac:dyDescent="0.25">
      <c r="B7301" s="5">
        <v>7296</v>
      </c>
      <c r="C7301" s="11">
        <v>171.9043709116381</v>
      </c>
      <c r="D7301" s="42"/>
    </row>
    <row r="7302" spans="2:4" ht="16" thickBot="1" x14ac:dyDescent="0.25">
      <c r="B7302" s="4">
        <v>7297</v>
      </c>
      <c r="C7302" s="10">
        <v>326.0897085811589</v>
      </c>
      <c r="D7302" s="42"/>
    </row>
    <row r="7303" spans="2:4" ht="16" thickBot="1" x14ac:dyDescent="0.25">
      <c r="B7303" s="5">
        <v>7298</v>
      </c>
      <c r="C7303" s="11">
        <v>290.47341992785158</v>
      </c>
      <c r="D7303" s="42"/>
    </row>
    <row r="7304" spans="2:4" ht="16" thickBot="1" x14ac:dyDescent="0.25">
      <c r="B7304" s="4">
        <v>7299</v>
      </c>
      <c r="C7304" s="10">
        <v>433.12065775191905</v>
      </c>
      <c r="D7304" s="42"/>
    </row>
    <row r="7305" spans="2:4" ht="16" thickBot="1" x14ac:dyDescent="0.25">
      <c r="B7305" s="5">
        <v>7300</v>
      </c>
      <c r="C7305" s="11">
        <v>224.36258012064391</v>
      </c>
      <c r="D7305" s="42"/>
    </row>
    <row r="7306" spans="2:4" ht="16" thickBot="1" x14ac:dyDescent="0.25">
      <c r="B7306" s="4">
        <v>7301</v>
      </c>
      <c r="C7306" s="10">
        <v>126.02465543922666</v>
      </c>
      <c r="D7306" s="42"/>
    </row>
    <row r="7307" spans="2:4" ht="16" thickBot="1" x14ac:dyDescent="0.25">
      <c r="B7307" s="5">
        <v>7302</v>
      </c>
      <c r="C7307" s="11">
        <v>284.25384798894385</v>
      </c>
      <c r="D7307" s="42"/>
    </row>
    <row r="7308" spans="2:4" ht="16" thickBot="1" x14ac:dyDescent="0.25">
      <c r="B7308" s="4">
        <v>7303</v>
      </c>
      <c r="C7308" s="10">
        <v>105.87965394016395</v>
      </c>
      <c r="D7308" s="42"/>
    </row>
    <row r="7309" spans="2:4" ht="16" thickBot="1" x14ac:dyDescent="0.25">
      <c r="B7309" s="5">
        <v>7304</v>
      </c>
      <c r="C7309" s="11">
        <v>245.46974391981408</v>
      </c>
      <c r="D7309" s="42"/>
    </row>
    <row r="7310" spans="2:4" ht="16" thickBot="1" x14ac:dyDescent="0.25">
      <c r="B7310" s="4">
        <v>7305</v>
      </c>
      <c r="C7310" s="10">
        <v>564.2949732998278</v>
      </c>
      <c r="D7310" s="42"/>
    </row>
    <row r="7311" spans="2:4" ht="16" thickBot="1" x14ac:dyDescent="0.25">
      <c r="B7311" s="5">
        <v>7306</v>
      </c>
      <c r="C7311" s="11">
        <v>208.74586291457149</v>
      </c>
      <c r="D7311" s="42"/>
    </row>
    <row r="7312" spans="2:4" ht="16" thickBot="1" x14ac:dyDescent="0.25">
      <c r="B7312" s="4">
        <v>7307</v>
      </c>
      <c r="C7312" s="10">
        <v>135.65555347626236</v>
      </c>
      <c r="D7312" s="42"/>
    </row>
    <row r="7313" spans="2:4" ht="16" thickBot="1" x14ac:dyDescent="0.25">
      <c r="B7313" s="5">
        <v>7308</v>
      </c>
      <c r="C7313" s="11">
        <v>326.99925291644229</v>
      </c>
      <c r="D7313" s="42"/>
    </row>
    <row r="7314" spans="2:4" ht="16" thickBot="1" x14ac:dyDescent="0.25">
      <c r="B7314" s="4">
        <v>7309</v>
      </c>
      <c r="C7314" s="10">
        <v>835.61152737554039</v>
      </c>
      <c r="D7314" s="42"/>
    </row>
    <row r="7315" spans="2:4" ht="16" thickBot="1" x14ac:dyDescent="0.25">
      <c r="B7315" s="5">
        <v>7310</v>
      </c>
      <c r="C7315" s="11">
        <v>276.93606014502734</v>
      </c>
      <c r="D7315" s="42"/>
    </row>
    <row r="7316" spans="2:4" ht="16" thickBot="1" x14ac:dyDescent="0.25">
      <c r="B7316" s="4">
        <v>7311</v>
      </c>
      <c r="C7316" s="10">
        <v>380.94459246946326</v>
      </c>
      <c r="D7316" s="42"/>
    </row>
    <row r="7317" spans="2:4" ht="16" thickBot="1" x14ac:dyDescent="0.25">
      <c r="B7317" s="5">
        <v>7312</v>
      </c>
      <c r="C7317" s="11">
        <v>136.70230636837084</v>
      </c>
      <c r="D7317" s="42"/>
    </row>
    <row r="7318" spans="2:4" ht="16" thickBot="1" x14ac:dyDescent="0.25">
      <c r="B7318" s="4">
        <v>7313</v>
      </c>
      <c r="C7318" s="10">
        <v>109.89914486137633</v>
      </c>
      <c r="D7318" s="42"/>
    </row>
    <row r="7319" spans="2:4" ht="16" thickBot="1" x14ac:dyDescent="0.25">
      <c r="B7319" s="5">
        <v>7314</v>
      </c>
      <c r="C7319" s="11">
        <v>59.605066013149504</v>
      </c>
      <c r="D7319" s="42"/>
    </row>
    <row r="7320" spans="2:4" ht="16" thickBot="1" x14ac:dyDescent="0.25">
      <c r="B7320" s="4">
        <v>7315</v>
      </c>
      <c r="C7320" s="10">
        <v>275.40427499942513</v>
      </c>
      <c r="D7320" s="42"/>
    </row>
    <row r="7321" spans="2:4" ht="16" thickBot="1" x14ac:dyDescent="0.25">
      <c r="B7321" s="5">
        <v>7316</v>
      </c>
      <c r="C7321" s="11">
        <v>247.15915384778808</v>
      </c>
      <c r="D7321" s="42"/>
    </row>
    <row r="7322" spans="2:4" ht="16" thickBot="1" x14ac:dyDescent="0.25">
      <c r="B7322" s="4">
        <v>7317</v>
      </c>
      <c r="C7322" s="10">
        <v>588.409062717398</v>
      </c>
      <c r="D7322" s="42"/>
    </row>
    <row r="7323" spans="2:4" ht="16" thickBot="1" x14ac:dyDescent="0.25">
      <c r="B7323" s="5">
        <v>7318</v>
      </c>
      <c r="C7323" s="11">
        <v>117.00113494081594</v>
      </c>
      <c r="D7323" s="42"/>
    </row>
    <row r="7324" spans="2:4" ht="16" thickBot="1" x14ac:dyDescent="0.25">
      <c r="B7324" s="4">
        <v>7319</v>
      </c>
      <c r="C7324" s="10">
        <v>300.09544259810332</v>
      </c>
      <c r="D7324" s="42"/>
    </row>
    <row r="7325" spans="2:4" ht="16" thickBot="1" x14ac:dyDescent="0.25">
      <c r="B7325" s="5">
        <v>7320</v>
      </c>
      <c r="C7325" s="11">
        <v>651.41320592062186</v>
      </c>
      <c r="D7325" s="42"/>
    </row>
    <row r="7326" spans="2:4" ht="16" thickBot="1" x14ac:dyDescent="0.25">
      <c r="B7326" s="4">
        <v>7321</v>
      </c>
      <c r="C7326" s="10">
        <v>99.07948471006749</v>
      </c>
      <c r="D7326" s="42"/>
    </row>
    <row r="7327" spans="2:4" ht="16" thickBot="1" x14ac:dyDescent="0.25">
      <c r="B7327" s="5">
        <v>7322</v>
      </c>
      <c r="C7327" s="11">
        <v>243.13310556201466</v>
      </c>
      <c r="D7327" s="42"/>
    </row>
    <row r="7328" spans="2:4" ht="16" thickBot="1" x14ac:dyDescent="0.25">
      <c r="B7328" s="4">
        <v>7323</v>
      </c>
      <c r="C7328" s="10">
        <v>215.69459938576807</v>
      </c>
      <c r="D7328" s="42"/>
    </row>
    <row r="7329" spans="2:4" ht="16" thickBot="1" x14ac:dyDescent="0.25">
      <c r="B7329" s="5">
        <v>7324</v>
      </c>
      <c r="C7329" s="11">
        <v>254.74144142875377</v>
      </c>
      <c r="D7329" s="42"/>
    </row>
    <row r="7330" spans="2:4" ht="16" thickBot="1" x14ac:dyDescent="0.25">
      <c r="B7330" s="4">
        <v>7325</v>
      </c>
      <c r="C7330" s="10">
        <v>591.16572209035303</v>
      </c>
      <c r="D7330" s="42"/>
    </row>
    <row r="7331" spans="2:4" ht="16" thickBot="1" x14ac:dyDescent="0.25">
      <c r="B7331" s="5">
        <v>7326</v>
      </c>
      <c r="C7331" s="11">
        <v>340.90421033805455</v>
      </c>
      <c r="D7331" s="42"/>
    </row>
    <row r="7332" spans="2:4" ht="16" thickBot="1" x14ac:dyDescent="0.25">
      <c r="B7332" s="4">
        <v>7327</v>
      </c>
      <c r="C7332" s="10">
        <v>303.59277857083862</v>
      </c>
      <c r="D7332" s="42"/>
    </row>
    <row r="7333" spans="2:4" ht="16" thickBot="1" x14ac:dyDescent="0.25">
      <c r="B7333" s="5">
        <v>7328</v>
      </c>
      <c r="C7333" s="11">
        <v>180.07310271291578</v>
      </c>
      <c r="D7333" s="42"/>
    </row>
    <row r="7334" spans="2:4" ht="16" thickBot="1" x14ac:dyDescent="0.25">
      <c r="B7334" s="4">
        <v>7329</v>
      </c>
      <c r="C7334" s="10">
        <v>211.28567145909184</v>
      </c>
      <c r="D7334" s="42"/>
    </row>
    <row r="7335" spans="2:4" ht="16" thickBot="1" x14ac:dyDescent="0.25">
      <c r="B7335" s="5">
        <v>7330</v>
      </c>
      <c r="C7335" s="11">
        <v>304.63564359859038</v>
      </c>
      <c r="D7335" s="42"/>
    </row>
    <row r="7336" spans="2:4" ht="16" thickBot="1" x14ac:dyDescent="0.25">
      <c r="B7336" s="4">
        <v>7331</v>
      </c>
      <c r="C7336" s="10">
        <v>278.82850170592832</v>
      </c>
      <c r="D7336" s="42"/>
    </row>
    <row r="7337" spans="2:4" ht="16" thickBot="1" x14ac:dyDescent="0.25">
      <c r="B7337" s="5">
        <v>7332</v>
      </c>
      <c r="C7337" s="11">
        <v>302.87279495631566</v>
      </c>
      <c r="D7337" s="42"/>
    </row>
    <row r="7338" spans="2:4" ht="16" thickBot="1" x14ac:dyDescent="0.25">
      <c r="B7338" s="4">
        <v>7333</v>
      </c>
      <c r="C7338" s="10">
        <v>185.46539630582939</v>
      </c>
      <c r="D7338" s="42"/>
    </row>
    <row r="7339" spans="2:4" ht="16" thickBot="1" x14ac:dyDescent="0.25">
      <c r="B7339" s="5">
        <v>7334</v>
      </c>
      <c r="C7339" s="11">
        <v>226.04529151021273</v>
      </c>
      <c r="D7339" s="42"/>
    </row>
    <row r="7340" spans="2:4" ht="16" thickBot="1" x14ac:dyDescent="0.25">
      <c r="B7340" s="4">
        <v>7335</v>
      </c>
      <c r="C7340" s="10">
        <v>185.51978892021893</v>
      </c>
      <c r="D7340" s="42"/>
    </row>
    <row r="7341" spans="2:4" ht="16" thickBot="1" x14ac:dyDescent="0.25">
      <c r="B7341" s="5">
        <v>7336</v>
      </c>
      <c r="C7341" s="11">
        <v>94.829010753143763</v>
      </c>
      <c r="D7341" s="42"/>
    </row>
    <row r="7342" spans="2:4" ht="16" thickBot="1" x14ac:dyDescent="0.25">
      <c r="B7342" s="4">
        <v>7337</v>
      </c>
      <c r="C7342" s="10">
        <v>98.480581596518618</v>
      </c>
      <c r="D7342" s="42"/>
    </row>
    <row r="7343" spans="2:4" ht="16" thickBot="1" x14ac:dyDescent="0.25">
      <c r="B7343" s="5">
        <v>7338</v>
      </c>
      <c r="C7343" s="11">
        <v>419.32325206695737</v>
      </c>
      <c r="D7343" s="42"/>
    </row>
    <row r="7344" spans="2:4" ht="16" thickBot="1" x14ac:dyDescent="0.25">
      <c r="B7344" s="4">
        <v>7339</v>
      </c>
      <c r="C7344" s="10">
        <v>311.32879722847849</v>
      </c>
      <c r="D7344" s="42"/>
    </row>
    <row r="7345" spans="2:4" ht="16" thickBot="1" x14ac:dyDescent="0.25">
      <c r="B7345" s="5">
        <v>7340</v>
      </c>
      <c r="C7345" s="11">
        <v>566.79896280908065</v>
      </c>
      <c r="D7345" s="42"/>
    </row>
    <row r="7346" spans="2:4" ht="16" thickBot="1" x14ac:dyDescent="0.25">
      <c r="B7346" s="4">
        <v>7341</v>
      </c>
      <c r="C7346" s="10">
        <v>254.7604856043464</v>
      </c>
      <c r="D7346" s="42"/>
    </row>
    <row r="7347" spans="2:4" ht="16" thickBot="1" x14ac:dyDescent="0.25">
      <c r="B7347" s="5">
        <v>7342</v>
      </c>
      <c r="C7347" s="11">
        <v>406.59198828880545</v>
      </c>
      <c r="D7347" s="42"/>
    </row>
    <row r="7348" spans="2:4" ht="16" thickBot="1" x14ac:dyDescent="0.25">
      <c r="B7348" s="4">
        <v>7343</v>
      </c>
      <c r="C7348" s="10">
        <v>252.42874228051781</v>
      </c>
      <c r="D7348" s="42"/>
    </row>
    <row r="7349" spans="2:4" ht="16" thickBot="1" x14ac:dyDescent="0.25">
      <c r="B7349" s="5">
        <v>7344</v>
      </c>
      <c r="C7349" s="11">
        <v>216.23618961090824</v>
      </c>
      <c r="D7349" s="42"/>
    </row>
    <row r="7350" spans="2:4" ht="16" thickBot="1" x14ac:dyDescent="0.25">
      <c r="B7350" s="4">
        <v>7345</v>
      </c>
      <c r="C7350" s="10">
        <v>298.39424295466921</v>
      </c>
      <c r="D7350" s="42"/>
    </row>
    <row r="7351" spans="2:4" ht="16" thickBot="1" x14ac:dyDescent="0.25">
      <c r="B7351" s="5">
        <v>7346</v>
      </c>
      <c r="C7351" s="11">
        <v>386.74531255611066</v>
      </c>
      <c r="D7351" s="42"/>
    </row>
    <row r="7352" spans="2:4" ht="16" thickBot="1" x14ac:dyDescent="0.25">
      <c r="B7352" s="4">
        <v>7347</v>
      </c>
      <c r="C7352" s="10">
        <v>382.76449221939458</v>
      </c>
      <c r="D7352" s="42"/>
    </row>
    <row r="7353" spans="2:4" ht="16" thickBot="1" x14ac:dyDescent="0.25">
      <c r="B7353" s="5">
        <v>7348</v>
      </c>
      <c r="C7353" s="11">
        <v>227.50291465700383</v>
      </c>
      <c r="D7353" s="42"/>
    </row>
    <row r="7354" spans="2:4" ht="16" thickBot="1" x14ac:dyDescent="0.25">
      <c r="B7354" s="4">
        <v>7349</v>
      </c>
      <c r="C7354" s="10">
        <v>278.00714051432385</v>
      </c>
      <c r="D7354" s="42"/>
    </row>
    <row r="7355" spans="2:4" ht="16" thickBot="1" x14ac:dyDescent="0.25">
      <c r="B7355" s="5">
        <v>7350</v>
      </c>
      <c r="C7355" s="11">
        <v>36.231168396276132</v>
      </c>
      <c r="D7355" s="42"/>
    </row>
    <row r="7356" spans="2:4" ht="16" thickBot="1" x14ac:dyDescent="0.25">
      <c r="B7356" s="4">
        <v>7351</v>
      </c>
      <c r="C7356" s="10">
        <v>198.23037023596933</v>
      </c>
      <c r="D7356" s="42"/>
    </row>
    <row r="7357" spans="2:4" ht="16" thickBot="1" x14ac:dyDescent="0.25">
      <c r="B7357" s="5">
        <v>7352</v>
      </c>
      <c r="C7357" s="11">
        <v>226.5038742471927</v>
      </c>
      <c r="D7357" s="42"/>
    </row>
    <row r="7358" spans="2:4" ht="16" thickBot="1" x14ac:dyDescent="0.25">
      <c r="B7358" s="4">
        <v>7353</v>
      </c>
      <c r="C7358" s="10">
        <v>232.15127187129841</v>
      </c>
      <c r="D7358" s="42"/>
    </row>
    <row r="7359" spans="2:4" ht="16" thickBot="1" x14ac:dyDescent="0.25">
      <c r="B7359" s="5">
        <v>7354</v>
      </c>
      <c r="C7359" s="11">
        <v>426.38641510779081</v>
      </c>
      <c r="D7359" s="42"/>
    </row>
    <row r="7360" spans="2:4" ht="16" thickBot="1" x14ac:dyDescent="0.25">
      <c r="B7360" s="4">
        <v>7355</v>
      </c>
      <c r="C7360" s="10">
        <v>64.926436740687436</v>
      </c>
      <c r="D7360" s="42"/>
    </row>
    <row r="7361" spans="2:4" ht="16" thickBot="1" x14ac:dyDescent="0.25">
      <c r="B7361" s="5">
        <v>7356</v>
      </c>
      <c r="C7361" s="11">
        <v>243.86985269811908</v>
      </c>
      <c r="D7361" s="42"/>
    </row>
    <row r="7362" spans="2:4" ht="16" thickBot="1" x14ac:dyDescent="0.25">
      <c r="B7362" s="4">
        <v>7357</v>
      </c>
      <c r="C7362" s="10">
        <v>358.75248507572809</v>
      </c>
      <c r="D7362" s="42"/>
    </row>
    <row r="7363" spans="2:4" ht="16" thickBot="1" x14ac:dyDescent="0.25">
      <c r="B7363" s="5">
        <v>7358</v>
      </c>
      <c r="C7363" s="11">
        <v>92.46712046045333</v>
      </c>
      <c r="D7363" s="42"/>
    </row>
    <row r="7364" spans="2:4" ht="16" thickBot="1" x14ac:dyDescent="0.25">
      <c r="B7364" s="4">
        <v>7359</v>
      </c>
      <c r="C7364" s="10">
        <v>57.724507464426011</v>
      </c>
      <c r="D7364" s="42"/>
    </row>
    <row r="7365" spans="2:4" ht="16" thickBot="1" x14ac:dyDescent="0.25">
      <c r="B7365" s="5">
        <v>7360</v>
      </c>
      <c r="C7365" s="11">
        <v>89.381817800945072</v>
      </c>
      <c r="D7365" s="42"/>
    </row>
    <row r="7366" spans="2:4" ht="16" thickBot="1" x14ac:dyDescent="0.25">
      <c r="B7366" s="4">
        <v>7361</v>
      </c>
      <c r="C7366" s="10">
        <v>240.64843756952476</v>
      </c>
      <c r="D7366" s="42"/>
    </row>
    <row r="7367" spans="2:4" ht="16" thickBot="1" x14ac:dyDescent="0.25">
      <c r="B7367" s="5">
        <v>7362</v>
      </c>
      <c r="C7367" s="11">
        <v>147.25780007825489</v>
      </c>
      <c r="D7367" s="42"/>
    </row>
    <row r="7368" spans="2:4" ht="16" thickBot="1" x14ac:dyDescent="0.25">
      <c r="B7368" s="4">
        <v>7363</v>
      </c>
      <c r="C7368" s="10">
        <v>285.70840484832377</v>
      </c>
      <c r="D7368" s="42"/>
    </row>
    <row r="7369" spans="2:4" ht="16" thickBot="1" x14ac:dyDescent="0.25">
      <c r="B7369" s="5">
        <v>7364</v>
      </c>
      <c r="C7369" s="11">
        <v>163.11491800722251</v>
      </c>
      <c r="D7369" s="42"/>
    </row>
    <row r="7370" spans="2:4" ht="16" thickBot="1" x14ac:dyDescent="0.25">
      <c r="B7370" s="4">
        <v>7365</v>
      </c>
      <c r="C7370" s="10">
        <v>169.41398878472961</v>
      </c>
      <c r="D7370" s="42"/>
    </row>
    <row r="7371" spans="2:4" ht="16" thickBot="1" x14ac:dyDescent="0.25">
      <c r="B7371" s="5">
        <v>7366</v>
      </c>
      <c r="C7371" s="11">
        <v>216.81042809524172</v>
      </c>
      <c r="D7371" s="42"/>
    </row>
    <row r="7372" spans="2:4" ht="16" thickBot="1" x14ac:dyDescent="0.25">
      <c r="B7372" s="4">
        <v>7367</v>
      </c>
      <c r="C7372" s="10">
        <v>161.78882727614103</v>
      </c>
      <c r="D7372" s="42"/>
    </row>
    <row r="7373" spans="2:4" ht="16" thickBot="1" x14ac:dyDescent="0.25">
      <c r="B7373" s="5">
        <v>7368</v>
      </c>
      <c r="C7373" s="11">
        <v>128.17234356296464</v>
      </c>
      <c r="D7373" s="42"/>
    </row>
    <row r="7374" spans="2:4" ht="16" thickBot="1" x14ac:dyDescent="0.25">
      <c r="B7374" s="4">
        <v>7369</v>
      </c>
      <c r="C7374" s="10">
        <v>124.51695747829108</v>
      </c>
      <c r="D7374" s="42"/>
    </row>
    <row r="7375" spans="2:4" ht="16" thickBot="1" x14ac:dyDescent="0.25">
      <c r="B7375" s="5">
        <v>7370</v>
      </c>
      <c r="C7375" s="11">
        <v>245.25967829391286</v>
      </c>
      <c r="D7375" s="42"/>
    </row>
    <row r="7376" spans="2:4" ht="16" thickBot="1" x14ac:dyDescent="0.25">
      <c r="B7376" s="4">
        <v>7371</v>
      </c>
      <c r="C7376" s="10">
        <v>107.49490576359636</v>
      </c>
      <c r="D7376" s="42"/>
    </row>
    <row r="7377" spans="2:4" ht="16" thickBot="1" x14ac:dyDescent="0.25">
      <c r="B7377" s="5">
        <v>7372</v>
      </c>
      <c r="C7377" s="11">
        <v>314.88208887850192</v>
      </c>
      <c r="D7377" s="42"/>
    </row>
    <row r="7378" spans="2:4" ht="16" thickBot="1" x14ac:dyDescent="0.25">
      <c r="B7378" s="4">
        <v>7373</v>
      </c>
      <c r="C7378" s="10">
        <v>565.36777734226803</v>
      </c>
      <c r="D7378" s="42"/>
    </row>
    <row r="7379" spans="2:4" ht="16" thickBot="1" x14ac:dyDescent="0.25">
      <c r="B7379" s="5">
        <v>7374</v>
      </c>
      <c r="C7379" s="11">
        <v>185.10287143321793</v>
      </c>
      <c r="D7379" s="42"/>
    </row>
    <row r="7380" spans="2:4" ht="16" thickBot="1" x14ac:dyDescent="0.25">
      <c r="B7380" s="4">
        <v>7375</v>
      </c>
      <c r="C7380" s="10">
        <v>269.77921402654511</v>
      </c>
      <c r="D7380" s="42"/>
    </row>
    <row r="7381" spans="2:4" ht="16" thickBot="1" x14ac:dyDescent="0.25">
      <c r="B7381" s="5">
        <v>7376</v>
      </c>
      <c r="C7381" s="11">
        <v>362.26997023947382</v>
      </c>
      <c r="D7381" s="42"/>
    </row>
    <row r="7382" spans="2:4" ht="16" thickBot="1" x14ac:dyDescent="0.25">
      <c r="B7382" s="4">
        <v>7377</v>
      </c>
      <c r="C7382" s="10">
        <v>331.44194537736655</v>
      </c>
      <c r="D7382" s="42"/>
    </row>
    <row r="7383" spans="2:4" ht="16" thickBot="1" x14ac:dyDescent="0.25">
      <c r="B7383" s="5">
        <v>7378</v>
      </c>
      <c r="C7383" s="11">
        <v>111.89303587003343</v>
      </c>
      <c r="D7383" s="42"/>
    </row>
    <row r="7384" spans="2:4" ht="16" thickBot="1" x14ac:dyDescent="0.25">
      <c r="B7384" s="4">
        <v>7379</v>
      </c>
      <c r="C7384" s="10">
        <v>452.88218084317123</v>
      </c>
      <c r="D7384" s="42"/>
    </row>
    <row r="7385" spans="2:4" ht="16" thickBot="1" x14ac:dyDescent="0.25">
      <c r="B7385" s="5">
        <v>7380</v>
      </c>
      <c r="C7385" s="11">
        <v>159.67349315099892</v>
      </c>
      <c r="D7385" s="42"/>
    </row>
    <row r="7386" spans="2:4" ht="16" thickBot="1" x14ac:dyDescent="0.25">
      <c r="B7386" s="4">
        <v>7381</v>
      </c>
      <c r="C7386" s="10">
        <v>391.41875488347262</v>
      </c>
      <c r="D7386" s="42"/>
    </row>
    <row r="7387" spans="2:4" ht="16" thickBot="1" x14ac:dyDescent="0.25">
      <c r="B7387" s="5">
        <v>7382</v>
      </c>
      <c r="C7387" s="11">
        <v>143.88483369949489</v>
      </c>
      <c r="D7387" s="42"/>
    </row>
    <row r="7388" spans="2:4" ht="16" thickBot="1" x14ac:dyDescent="0.25">
      <c r="B7388" s="4">
        <v>7383</v>
      </c>
      <c r="C7388" s="10">
        <v>220.79218635017358</v>
      </c>
      <c r="D7388" s="42"/>
    </row>
    <row r="7389" spans="2:4" ht="16" thickBot="1" x14ac:dyDescent="0.25">
      <c r="B7389" s="5">
        <v>7384</v>
      </c>
      <c r="C7389" s="11">
        <v>665.52779743168071</v>
      </c>
      <c r="D7389" s="42"/>
    </row>
    <row r="7390" spans="2:4" ht="16" thickBot="1" x14ac:dyDescent="0.25">
      <c r="B7390" s="4">
        <v>7385</v>
      </c>
      <c r="C7390" s="10">
        <v>239.41876568656988</v>
      </c>
      <c r="D7390" s="42"/>
    </row>
    <row r="7391" spans="2:4" ht="16" thickBot="1" x14ac:dyDescent="0.25">
      <c r="B7391" s="5">
        <v>7386</v>
      </c>
      <c r="C7391" s="11">
        <v>151.77670686397096</v>
      </c>
      <c r="D7391" s="42"/>
    </row>
    <row r="7392" spans="2:4" ht="16" thickBot="1" x14ac:dyDescent="0.25">
      <c r="B7392" s="4">
        <v>7387</v>
      </c>
      <c r="C7392" s="10">
        <v>152.73446231129242</v>
      </c>
      <c r="D7392" s="42"/>
    </row>
    <row r="7393" spans="2:4" ht="16" thickBot="1" x14ac:dyDescent="0.25">
      <c r="B7393" s="5">
        <v>7388</v>
      </c>
      <c r="C7393" s="11">
        <v>278.42760334868137</v>
      </c>
      <c r="D7393" s="42"/>
    </row>
    <row r="7394" spans="2:4" ht="16" thickBot="1" x14ac:dyDescent="0.25">
      <c r="B7394" s="4">
        <v>7389</v>
      </c>
      <c r="C7394" s="10">
        <v>357.33810625742757</v>
      </c>
      <c r="D7394" s="42"/>
    </row>
    <row r="7395" spans="2:4" ht="16" thickBot="1" x14ac:dyDescent="0.25">
      <c r="B7395" s="5">
        <v>7390</v>
      </c>
      <c r="C7395" s="11">
        <v>104.24730675670715</v>
      </c>
      <c r="D7395" s="42"/>
    </row>
    <row r="7396" spans="2:4" ht="16" thickBot="1" x14ac:dyDescent="0.25">
      <c r="B7396" s="4">
        <v>7391</v>
      </c>
      <c r="C7396" s="10">
        <v>52.263994983478497</v>
      </c>
      <c r="D7396" s="42"/>
    </row>
    <row r="7397" spans="2:4" ht="16" thickBot="1" x14ac:dyDescent="0.25">
      <c r="B7397" s="5">
        <v>7392</v>
      </c>
      <c r="C7397" s="11">
        <v>351.89067786677708</v>
      </c>
      <c r="D7397" s="42"/>
    </row>
    <row r="7398" spans="2:4" ht="16" thickBot="1" x14ac:dyDescent="0.25">
      <c r="B7398" s="4">
        <v>7393</v>
      </c>
      <c r="C7398" s="10">
        <v>228.65079515786545</v>
      </c>
      <c r="D7398" s="42"/>
    </row>
    <row r="7399" spans="2:4" ht="16" thickBot="1" x14ac:dyDescent="0.25">
      <c r="B7399" s="5">
        <v>7394</v>
      </c>
      <c r="C7399" s="11">
        <v>315.88379622229041</v>
      </c>
      <c r="D7399" s="42"/>
    </row>
    <row r="7400" spans="2:4" ht="16" thickBot="1" x14ac:dyDescent="0.25">
      <c r="B7400" s="4">
        <v>7395</v>
      </c>
      <c r="C7400" s="10">
        <v>163.85314144437669</v>
      </c>
      <c r="D7400" s="42"/>
    </row>
    <row r="7401" spans="2:4" ht="16" thickBot="1" x14ac:dyDescent="0.25">
      <c r="B7401" s="5">
        <v>7396</v>
      </c>
      <c r="C7401" s="11">
        <v>37.813992318700201</v>
      </c>
      <c r="D7401" s="42"/>
    </row>
    <row r="7402" spans="2:4" ht="16" thickBot="1" x14ac:dyDescent="0.25">
      <c r="B7402" s="4">
        <v>7397</v>
      </c>
      <c r="C7402" s="10">
        <v>397.64464776800918</v>
      </c>
      <c r="D7402" s="42"/>
    </row>
    <row r="7403" spans="2:4" ht="16" thickBot="1" x14ac:dyDescent="0.25">
      <c r="B7403" s="5">
        <v>7398</v>
      </c>
      <c r="C7403" s="11">
        <v>602.18923118666385</v>
      </c>
      <c r="D7403" s="42"/>
    </row>
    <row r="7404" spans="2:4" ht="16" thickBot="1" x14ac:dyDescent="0.25">
      <c r="B7404" s="4">
        <v>7399</v>
      </c>
      <c r="C7404" s="10">
        <v>378.03762126493496</v>
      </c>
      <c r="D7404" s="42"/>
    </row>
    <row r="7405" spans="2:4" ht="16" thickBot="1" x14ac:dyDescent="0.25">
      <c r="B7405" s="5">
        <v>7400</v>
      </c>
      <c r="C7405" s="11">
        <v>428.70582136686619</v>
      </c>
      <c r="D7405" s="42"/>
    </row>
    <row r="7406" spans="2:4" ht="16" thickBot="1" x14ac:dyDescent="0.25">
      <c r="B7406" s="4">
        <v>7401</v>
      </c>
      <c r="C7406" s="10">
        <v>309.68514222311654</v>
      </c>
      <c r="D7406" s="42"/>
    </row>
    <row r="7407" spans="2:4" ht="16" thickBot="1" x14ac:dyDescent="0.25">
      <c r="B7407" s="5">
        <v>7402</v>
      </c>
      <c r="C7407" s="11">
        <v>275.0546684967577</v>
      </c>
      <c r="D7407" s="42"/>
    </row>
    <row r="7408" spans="2:4" ht="16" thickBot="1" x14ac:dyDescent="0.25">
      <c r="B7408" s="4">
        <v>7403</v>
      </c>
      <c r="C7408" s="10">
        <v>251.9503771332935</v>
      </c>
      <c r="D7408" s="42"/>
    </row>
    <row r="7409" spans="2:4" ht="16" thickBot="1" x14ac:dyDescent="0.25">
      <c r="B7409" s="5">
        <v>7404</v>
      </c>
      <c r="C7409" s="11">
        <v>225.18920649186245</v>
      </c>
      <c r="D7409" s="42"/>
    </row>
    <row r="7410" spans="2:4" ht="16" thickBot="1" x14ac:dyDescent="0.25">
      <c r="B7410" s="4">
        <v>7405</v>
      </c>
      <c r="C7410" s="10">
        <v>261.16215735443376</v>
      </c>
      <c r="D7410" s="42"/>
    </row>
    <row r="7411" spans="2:4" ht="16" thickBot="1" x14ac:dyDescent="0.25">
      <c r="B7411" s="5">
        <v>7406</v>
      </c>
      <c r="C7411" s="11">
        <v>167.43539717496049</v>
      </c>
      <c r="D7411" s="42"/>
    </row>
    <row r="7412" spans="2:4" ht="16" thickBot="1" x14ac:dyDescent="0.25">
      <c r="B7412" s="4">
        <v>7407</v>
      </c>
      <c r="C7412" s="10">
        <v>90.260836074491024</v>
      </c>
      <c r="D7412" s="42"/>
    </row>
    <row r="7413" spans="2:4" ht="16" thickBot="1" x14ac:dyDescent="0.25">
      <c r="B7413" s="5">
        <v>7408</v>
      </c>
      <c r="C7413" s="11">
        <v>212.66953886248362</v>
      </c>
      <c r="D7413" s="42"/>
    </row>
    <row r="7414" spans="2:4" ht="16" thickBot="1" x14ac:dyDescent="0.25">
      <c r="B7414" s="4">
        <v>7409</v>
      </c>
      <c r="C7414" s="10">
        <v>383.83588953800211</v>
      </c>
      <c r="D7414" s="42"/>
    </row>
    <row r="7415" spans="2:4" ht="16" thickBot="1" x14ac:dyDescent="0.25">
      <c r="B7415" s="5">
        <v>7410</v>
      </c>
      <c r="C7415" s="11">
        <v>353.49419823388865</v>
      </c>
      <c r="D7415" s="42"/>
    </row>
    <row r="7416" spans="2:4" ht="16" thickBot="1" x14ac:dyDescent="0.25">
      <c r="B7416" s="4">
        <v>7411</v>
      </c>
      <c r="C7416" s="10">
        <v>217.29298620442654</v>
      </c>
      <c r="D7416" s="42"/>
    </row>
    <row r="7417" spans="2:4" ht="16" thickBot="1" x14ac:dyDescent="0.25">
      <c r="B7417" s="5">
        <v>7412</v>
      </c>
      <c r="C7417" s="11">
        <v>50.53890365595867</v>
      </c>
      <c r="D7417" s="42"/>
    </row>
    <row r="7418" spans="2:4" ht="16" thickBot="1" x14ac:dyDescent="0.25">
      <c r="B7418" s="4">
        <v>7413</v>
      </c>
      <c r="C7418" s="10">
        <v>153.06866121465632</v>
      </c>
      <c r="D7418" s="42"/>
    </row>
    <row r="7419" spans="2:4" ht="16" thickBot="1" x14ac:dyDescent="0.25">
      <c r="B7419" s="5">
        <v>7414</v>
      </c>
      <c r="C7419" s="11">
        <v>239.50061675773659</v>
      </c>
      <c r="D7419" s="42"/>
    </row>
    <row r="7420" spans="2:4" ht="16" thickBot="1" x14ac:dyDescent="0.25">
      <c r="B7420" s="4">
        <v>7415</v>
      </c>
      <c r="C7420" s="10">
        <v>88.616127958618023</v>
      </c>
      <c r="D7420" s="42"/>
    </row>
    <row r="7421" spans="2:4" ht="16" thickBot="1" x14ac:dyDescent="0.25">
      <c r="B7421" s="5">
        <v>7416</v>
      </c>
      <c r="C7421" s="11">
        <v>196.61961207487067</v>
      </c>
      <c r="D7421" s="42"/>
    </row>
    <row r="7422" spans="2:4" ht="16" thickBot="1" x14ac:dyDescent="0.25">
      <c r="B7422" s="4">
        <v>7417</v>
      </c>
      <c r="C7422" s="10">
        <v>227.24779716368133</v>
      </c>
      <c r="D7422" s="42"/>
    </row>
    <row r="7423" spans="2:4" ht="16" thickBot="1" x14ac:dyDescent="0.25">
      <c r="B7423" s="5">
        <v>7418</v>
      </c>
      <c r="C7423" s="11">
        <v>112.79548131537626</v>
      </c>
      <c r="D7423" s="42"/>
    </row>
    <row r="7424" spans="2:4" ht="16" thickBot="1" x14ac:dyDescent="0.25">
      <c r="B7424" s="4">
        <v>7419</v>
      </c>
      <c r="C7424" s="10">
        <v>298.07695541087554</v>
      </c>
      <c r="D7424" s="42"/>
    </row>
    <row r="7425" spans="2:4" ht="16" thickBot="1" x14ac:dyDescent="0.25">
      <c r="B7425" s="5">
        <v>7420</v>
      </c>
      <c r="C7425" s="11">
        <v>195.42926003002228</v>
      </c>
      <c r="D7425" s="42"/>
    </row>
    <row r="7426" spans="2:4" ht="16" thickBot="1" x14ac:dyDescent="0.25">
      <c r="B7426" s="4">
        <v>7421</v>
      </c>
      <c r="C7426" s="10">
        <v>420.7462872247558</v>
      </c>
      <c r="D7426" s="42"/>
    </row>
    <row r="7427" spans="2:4" ht="16" thickBot="1" x14ac:dyDescent="0.25">
      <c r="B7427" s="5">
        <v>7422</v>
      </c>
      <c r="C7427" s="11">
        <v>214.52416906058497</v>
      </c>
      <c r="D7427" s="42"/>
    </row>
    <row r="7428" spans="2:4" ht="16" thickBot="1" x14ac:dyDescent="0.25">
      <c r="B7428" s="4">
        <v>7423</v>
      </c>
      <c r="C7428" s="10">
        <v>78.947977296348824</v>
      </c>
      <c r="D7428" s="42"/>
    </row>
    <row r="7429" spans="2:4" ht="16" thickBot="1" x14ac:dyDescent="0.25">
      <c r="B7429" s="5">
        <v>7424</v>
      </c>
      <c r="C7429" s="11">
        <v>302.2088490815276</v>
      </c>
      <c r="D7429" s="42"/>
    </row>
    <row r="7430" spans="2:4" ht="16" thickBot="1" x14ac:dyDescent="0.25">
      <c r="B7430" s="4">
        <v>7425</v>
      </c>
      <c r="C7430" s="10">
        <v>406.27848477795698</v>
      </c>
      <c r="D7430" s="42"/>
    </row>
    <row r="7431" spans="2:4" ht="16" thickBot="1" x14ac:dyDescent="0.25">
      <c r="B7431" s="5">
        <v>7426</v>
      </c>
      <c r="C7431" s="11">
        <v>179.26429837505205</v>
      </c>
      <c r="D7431" s="42"/>
    </row>
    <row r="7432" spans="2:4" ht="16" thickBot="1" x14ac:dyDescent="0.25">
      <c r="B7432" s="4">
        <v>7427</v>
      </c>
      <c r="C7432" s="10">
        <v>396.95831636067891</v>
      </c>
      <c r="D7432" s="42"/>
    </row>
    <row r="7433" spans="2:4" ht="16" thickBot="1" x14ac:dyDescent="0.25">
      <c r="B7433" s="5">
        <v>7428</v>
      </c>
      <c r="C7433" s="11">
        <v>658.10939950358045</v>
      </c>
      <c r="D7433" s="42"/>
    </row>
    <row r="7434" spans="2:4" ht="16" thickBot="1" x14ac:dyDescent="0.25">
      <c r="B7434" s="4">
        <v>7429</v>
      </c>
      <c r="C7434" s="10">
        <v>358.98957844507584</v>
      </c>
      <c r="D7434" s="42"/>
    </row>
    <row r="7435" spans="2:4" ht="16" thickBot="1" x14ac:dyDescent="0.25">
      <c r="B7435" s="5">
        <v>7430</v>
      </c>
      <c r="C7435" s="11">
        <v>289.79090958512523</v>
      </c>
      <c r="D7435" s="42"/>
    </row>
    <row r="7436" spans="2:4" ht="16" thickBot="1" x14ac:dyDescent="0.25">
      <c r="B7436" s="4">
        <v>7431</v>
      </c>
      <c r="C7436" s="10">
        <v>131.44700852790785</v>
      </c>
      <c r="D7436" s="42"/>
    </row>
    <row r="7437" spans="2:4" ht="16" thickBot="1" x14ac:dyDescent="0.25">
      <c r="B7437" s="5">
        <v>7432</v>
      </c>
      <c r="C7437" s="11">
        <v>284.02565200838973</v>
      </c>
      <c r="D7437" s="42"/>
    </row>
    <row r="7438" spans="2:4" ht="16" thickBot="1" x14ac:dyDescent="0.25">
      <c r="B7438" s="4">
        <v>7433</v>
      </c>
      <c r="C7438" s="10">
        <v>208.35960769494335</v>
      </c>
      <c r="D7438" s="42"/>
    </row>
    <row r="7439" spans="2:4" ht="16" thickBot="1" x14ac:dyDescent="0.25">
      <c r="B7439" s="5">
        <v>7434</v>
      </c>
      <c r="C7439" s="11">
        <v>152.97953470615113</v>
      </c>
      <c r="D7439" s="42"/>
    </row>
    <row r="7440" spans="2:4" ht="16" thickBot="1" x14ac:dyDescent="0.25">
      <c r="B7440" s="4">
        <v>7435</v>
      </c>
      <c r="C7440" s="10">
        <v>241.46726767905517</v>
      </c>
      <c r="D7440" s="42"/>
    </row>
    <row r="7441" spans="2:4" ht="16" thickBot="1" x14ac:dyDescent="0.25">
      <c r="B7441" s="5">
        <v>7436</v>
      </c>
      <c r="C7441" s="11">
        <v>394.58035226635195</v>
      </c>
      <c r="D7441" s="42"/>
    </row>
    <row r="7442" spans="2:4" ht="16" thickBot="1" x14ac:dyDescent="0.25">
      <c r="B7442" s="4">
        <v>7437</v>
      </c>
      <c r="C7442" s="10">
        <v>252.80586589537043</v>
      </c>
      <c r="D7442" s="42"/>
    </row>
    <row r="7443" spans="2:4" ht="16" thickBot="1" x14ac:dyDescent="0.25">
      <c r="B7443" s="5">
        <v>7438</v>
      </c>
      <c r="C7443" s="11">
        <v>120.73354807134561</v>
      </c>
      <c r="D7443" s="42"/>
    </row>
    <row r="7444" spans="2:4" ht="16" thickBot="1" x14ac:dyDescent="0.25">
      <c r="B7444" s="4">
        <v>7439</v>
      </c>
      <c r="C7444" s="10">
        <v>362.00845577823264</v>
      </c>
      <c r="D7444" s="42"/>
    </row>
    <row r="7445" spans="2:4" ht="16" thickBot="1" x14ac:dyDescent="0.25">
      <c r="B7445" s="5">
        <v>7440</v>
      </c>
      <c r="C7445" s="11">
        <v>593.93658048192481</v>
      </c>
      <c r="D7445" s="42"/>
    </row>
    <row r="7446" spans="2:4" ht="16" thickBot="1" x14ac:dyDescent="0.25">
      <c r="B7446" s="4">
        <v>7441</v>
      </c>
      <c r="C7446" s="10">
        <v>60.011414669176148</v>
      </c>
      <c r="D7446" s="42"/>
    </row>
    <row r="7447" spans="2:4" ht="16" thickBot="1" x14ac:dyDescent="0.25">
      <c r="B7447" s="5">
        <v>7442</v>
      </c>
      <c r="C7447" s="11">
        <v>197.34928985546085</v>
      </c>
      <c r="D7447" s="42"/>
    </row>
    <row r="7448" spans="2:4" ht="16" thickBot="1" x14ac:dyDescent="0.25">
      <c r="B7448" s="4">
        <v>7443</v>
      </c>
      <c r="C7448" s="10">
        <v>77.355404620513283</v>
      </c>
      <c r="D7448" s="42"/>
    </row>
    <row r="7449" spans="2:4" ht="16" thickBot="1" x14ac:dyDescent="0.25">
      <c r="B7449" s="5">
        <v>7444</v>
      </c>
      <c r="C7449" s="11">
        <v>295.13576931833677</v>
      </c>
      <c r="D7449" s="42"/>
    </row>
    <row r="7450" spans="2:4" ht="16" thickBot="1" x14ac:dyDescent="0.25">
      <c r="B7450" s="4">
        <v>7445</v>
      </c>
      <c r="C7450" s="10">
        <v>225.98436189396492</v>
      </c>
      <c r="D7450" s="42"/>
    </row>
    <row r="7451" spans="2:4" ht="16" thickBot="1" x14ac:dyDescent="0.25">
      <c r="B7451" s="5">
        <v>7446</v>
      </c>
      <c r="C7451" s="11">
        <v>51.199436342071095</v>
      </c>
      <c r="D7451" s="42"/>
    </row>
    <row r="7452" spans="2:4" ht="16" thickBot="1" x14ac:dyDescent="0.25">
      <c r="B7452" s="4">
        <v>7447</v>
      </c>
      <c r="C7452" s="10">
        <v>588.0210606173199</v>
      </c>
      <c r="D7452" s="42"/>
    </row>
    <row r="7453" spans="2:4" ht="16" thickBot="1" x14ac:dyDescent="0.25">
      <c r="B7453" s="5">
        <v>7448</v>
      </c>
      <c r="C7453" s="11">
        <v>263.9059150172036</v>
      </c>
      <c r="D7453" s="42"/>
    </row>
    <row r="7454" spans="2:4" ht="16" thickBot="1" x14ac:dyDescent="0.25">
      <c r="B7454" s="4">
        <v>7449</v>
      </c>
      <c r="C7454" s="10">
        <v>377.81002132201587</v>
      </c>
      <c r="D7454" s="42"/>
    </row>
    <row r="7455" spans="2:4" ht="16" thickBot="1" x14ac:dyDescent="0.25">
      <c r="B7455" s="5">
        <v>7450</v>
      </c>
      <c r="C7455" s="11">
        <v>197.14416546183344</v>
      </c>
      <c r="D7455" s="42"/>
    </row>
    <row r="7456" spans="2:4" ht="16" thickBot="1" x14ac:dyDescent="0.25">
      <c r="B7456" s="4">
        <v>7451</v>
      </c>
      <c r="C7456" s="10">
        <v>241.94038048671246</v>
      </c>
      <c r="D7456" s="42"/>
    </row>
    <row r="7457" spans="2:4" ht="16" thickBot="1" x14ac:dyDescent="0.25">
      <c r="B7457" s="5">
        <v>7452</v>
      </c>
      <c r="C7457" s="11">
        <v>344.71964316330815</v>
      </c>
      <c r="D7457" s="42"/>
    </row>
    <row r="7458" spans="2:4" ht="16" thickBot="1" x14ac:dyDescent="0.25">
      <c r="B7458" s="4">
        <v>7453</v>
      </c>
      <c r="C7458" s="10">
        <v>235.63134779861051</v>
      </c>
      <c r="D7458" s="42"/>
    </row>
    <row r="7459" spans="2:4" ht="16" thickBot="1" x14ac:dyDescent="0.25">
      <c r="B7459" s="5">
        <v>7454</v>
      </c>
      <c r="C7459" s="11">
        <v>25.4214457491586</v>
      </c>
      <c r="D7459" s="42"/>
    </row>
    <row r="7460" spans="2:4" ht="16" thickBot="1" x14ac:dyDescent="0.25">
      <c r="B7460" s="4">
        <v>7455</v>
      </c>
      <c r="C7460" s="10">
        <v>194.9770618449775</v>
      </c>
      <c r="D7460" s="42"/>
    </row>
    <row r="7461" spans="2:4" ht="16" thickBot="1" x14ac:dyDescent="0.25">
      <c r="B7461" s="5">
        <v>7456</v>
      </c>
      <c r="C7461" s="11">
        <v>371.83066706109793</v>
      </c>
      <c r="D7461" s="42"/>
    </row>
    <row r="7462" spans="2:4" ht="16" thickBot="1" x14ac:dyDescent="0.25">
      <c r="B7462" s="4">
        <v>7457</v>
      </c>
      <c r="C7462" s="10">
        <v>658.97191316261876</v>
      </c>
      <c r="D7462" s="42"/>
    </row>
    <row r="7463" spans="2:4" ht="16" thickBot="1" x14ac:dyDescent="0.25">
      <c r="B7463" s="5">
        <v>7458</v>
      </c>
      <c r="C7463" s="11">
        <v>398.36228433388345</v>
      </c>
      <c r="D7463" s="42"/>
    </row>
    <row r="7464" spans="2:4" ht="16" thickBot="1" x14ac:dyDescent="0.25">
      <c r="B7464" s="4">
        <v>7459</v>
      </c>
      <c r="C7464" s="10">
        <v>142.369164714128</v>
      </c>
      <c r="D7464" s="42"/>
    </row>
    <row r="7465" spans="2:4" ht="16" thickBot="1" x14ac:dyDescent="0.25">
      <c r="B7465" s="5">
        <v>7460</v>
      </c>
      <c r="C7465" s="11">
        <v>494.04395630471123</v>
      </c>
      <c r="D7465" s="42"/>
    </row>
    <row r="7466" spans="2:4" ht="16" thickBot="1" x14ac:dyDescent="0.25">
      <c r="B7466" s="4">
        <v>7461</v>
      </c>
      <c r="C7466" s="10">
        <v>448.11593946917316</v>
      </c>
      <c r="D7466" s="42"/>
    </row>
    <row r="7467" spans="2:4" ht="16" thickBot="1" x14ac:dyDescent="0.25">
      <c r="B7467" s="5">
        <v>7462</v>
      </c>
      <c r="C7467" s="11">
        <v>71.538456601932438</v>
      </c>
      <c r="D7467" s="42"/>
    </row>
    <row r="7468" spans="2:4" ht="16" thickBot="1" x14ac:dyDescent="0.25">
      <c r="B7468" s="4">
        <v>7463</v>
      </c>
      <c r="C7468" s="10">
        <v>239.73894245354347</v>
      </c>
      <c r="D7468" s="42"/>
    </row>
    <row r="7469" spans="2:4" ht="16" thickBot="1" x14ac:dyDescent="0.25">
      <c r="B7469" s="5">
        <v>7464</v>
      </c>
      <c r="C7469" s="11">
        <v>693.11173473257679</v>
      </c>
      <c r="D7469" s="42"/>
    </row>
    <row r="7470" spans="2:4" ht="16" thickBot="1" x14ac:dyDescent="0.25">
      <c r="B7470" s="4">
        <v>7465</v>
      </c>
      <c r="C7470" s="10">
        <v>588.47407751765786</v>
      </c>
      <c r="D7470" s="42"/>
    </row>
    <row r="7471" spans="2:4" ht="16" thickBot="1" x14ac:dyDescent="0.25">
      <c r="B7471" s="5">
        <v>7466</v>
      </c>
      <c r="C7471" s="11">
        <v>110.31736889774191</v>
      </c>
      <c r="D7471" s="42"/>
    </row>
    <row r="7472" spans="2:4" ht="16" thickBot="1" x14ac:dyDescent="0.25">
      <c r="B7472" s="4">
        <v>7467</v>
      </c>
      <c r="C7472" s="10">
        <v>395.64728033778272</v>
      </c>
      <c r="D7472" s="42"/>
    </row>
    <row r="7473" spans="2:4" ht="16" thickBot="1" x14ac:dyDescent="0.25">
      <c r="B7473" s="5">
        <v>7468</v>
      </c>
      <c r="C7473" s="11">
        <v>64.582001525684163</v>
      </c>
      <c r="D7473" s="42"/>
    </row>
    <row r="7474" spans="2:4" ht="16" thickBot="1" x14ac:dyDescent="0.25">
      <c r="B7474" s="4">
        <v>7469</v>
      </c>
      <c r="C7474" s="10">
        <v>430.33620755022918</v>
      </c>
      <c r="D7474" s="42"/>
    </row>
    <row r="7475" spans="2:4" ht="16" thickBot="1" x14ac:dyDescent="0.25">
      <c r="B7475" s="5">
        <v>7470</v>
      </c>
      <c r="C7475" s="11">
        <v>157.01375858965642</v>
      </c>
      <c r="D7475" s="42"/>
    </row>
    <row r="7476" spans="2:4" ht="16" thickBot="1" x14ac:dyDescent="0.25">
      <c r="B7476" s="4">
        <v>7471</v>
      </c>
      <c r="C7476" s="10">
        <v>248.9240604363857</v>
      </c>
      <c r="D7476" s="42"/>
    </row>
    <row r="7477" spans="2:4" ht="16" thickBot="1" x14ac:dyDescent="0.25">
      <c r="B7477" s="5">
        <v>7472</v>
      </c>
      <c r="C7477" s="11">
        <v>447.01761053463451</v>
      </c>
      <c r="D7477" s="42"/>
    </row>
    <row r="7478" spans="2:4" ht="16" thickBot="1" x14ac:dyDescent="0.25">
      <c r="B7478" s="4">
        <v>7473</v>
      </c>
      <c r="C7478" s="10">
        <v>97.692544700257613</v>
      </c>
      <c r="D7478" s="42"/>
    </row>
    <row r="7479" spans="2:4" ht="16" thickBot="1" x14ac:dyDescent="0.25">
      <c r="B7479" s="5">
        <v>7474</v>
      </c>
      <c r="C7479" s="11">
        <v>279.37946413521098</v>
      </c>
      <c r="D7479" s="42"/>
    </row>
    <row r="7480" spans="2:4" ht="16" thickBot="1" x14ac:dyDescent="0.25">
      <c r="B7480" s="4">
        <v>7475</v>
      </c>
      <c r="C7480" s="10">
        <v>491.92514729175991</v>
      </c>
      <c r="D7480" s="42"/>
    </row>
    <row r="7481" spans="2:4" ht="16" thickBot="1" x14ac:dyDescent="0.25">
      <c r="B7481" s="5">
        <v>7476</v>
      </c>
      <c r="C7481" s="11">
        <v>904.96741577093212</v>
      </c>
      <c r="D7481" s="42"/>
    </row>
    <row r="7482" spans="2:4" ht="16" thickBot="1" x14ac:dyDescent="0.25">
      <c r="B7482" s="4">
        <v>7477</v>
      </c>
      <c r="C7482" s="10">
        <v>89.492096757659198</v>
      </c>
      <c r="D7482" s="42"/>
    </row>
    <row r="7483" spans="2:4" ht="16" thickBot="1" x14ac:dyDescent="0.25">
      <c r="B7483" s="5">
        <v>7478</v>
      </c>
      <c r="C7483" s="11">
        <v>226.89187566886534</v>
      </c>
      <c r="D7483" s="42"/>
    </row>
    <row r="7484" spans="2:4" ht="16" thickBot="1" x14ac:dyDescent="0.25">
      <c r="B7484" s="4">
        <v>7479</v>
      </c>
      <c r="C7484" s="10">
        <v>284.33383755515774</v>
      </c>
      <c r="D7484" s="42"/>
    </row>
    <row r="7485" spans="2:4" ht="16" thickBot="1" x14ac:dyDescent="0.25">
      <c r="B7485" s="5">
        <v>7480</v>
      </c>
      <c r="C7485" s="11">
        <v>522.01283209289045</v>
      </c>
      <c r="D7485" s="42"/>
    </row>
    <row r="7486" spans="2:4" ht="16" thickBot="1" x14ac:dyDescent="0.25">
      <c r="B7486" s="4">
        <v>7481</v>
      </c>
      <c r="C7486" s="10">
        <v>268.06546631496155</v>
      </c>
      <c r="D7486" s="42"/>
    </row>
    <row r="7487" spans="2:4" ht="16" thickBot="1" x14ac:dyDescent="0.25">
      <c r="B7487" s="5">
        <v>7482</v>
      </c>
      <c r="C7487" s="11">
        <v>365.24061850102697</v>
      </c>
      <c r="D7487" s="42"/>
    </row>
    <row r="7488" spans="2:4" ht="16" thickBot="1" x14ac:dyDescent="0.25">
      <c r="B7488" s="4">
        <v>7483</v>
      </c>
      <c r="C7488" s="10">
        <v>211.44632319365121</v>
      </c>
      <c r="D7488" s="42"/>
    </row>
    <row r="7489" spans="2:4" ht="16" thickBot="1" x14ac:dyDescent="0.25">
      <c r="B7489" s="5">
        <v>7484</v>
      </c>
      <c r="C7489" s="11">
        <v>153.61502535918976</v>
      </c>
      <c r="D7489" s="42"/>
    </row>
    <row r="7490" spans="2:4" ht="16" thickBot="1" x14ac:dyDescent="0.25">
      <c r="B7490" s="4">
        <v>7485</v>
      </c>
      <c r="C7490" s="10">
        <v>84.390223037280222</v>
      </c>
      <c r="D7490" s="42"/>
    </row>
    <row r="7491" spans="2:4" ht="16" thickBot="1" x14ac:dyDescent="0.25">
      <c r="B7491" s="5">
        <v>7486</v>
      </c>
      <c r="C7491" s="11">
        <v>318.26669513797901</v>
      </c>
      <c r="D7491" s="42"/>
    </row>
    <row r="7492" spans="2:4" ht="16" thickBot="1" x14ac:dyDescent="0.25">
      <c r="B7492" s="4">
        <v>7487</v>
      </c>
      <c r="C7492" s="10">
        <v>228.12998920420188</v>
      </c>
      <c r="D7492" s="42"/>
    </row>
    <row r="7493" spans="2:4" ht="16" thickBot="1" x14ac:dyDescent="0.25">
      <c r="B7493" s="5">
        <v>7488</v>
      </c>
      <c r="C7493" s="11">
        <v>45.945193034399992</v>
      </c>
      <c r="D7493" s="42"/>
    </row>
    <row r="7494" spans="2:4" ht="16" thickBot="1" x14ac:dyDescent="0.25">
      <c r="B7494" s="4">
        <v>7489</v>
      </c>
      <c r="C7494" s="10">
        <v>417.02178209650771</v>
      </c>
      <c r="D7494" s="42"/>
    </row>
    <row r="7495" spans="2:4" ht="16" thickBot="1" x14ac:dyDescent="0.25">
      <c r="B7495" s="5">
        <v>7490</v>
      </c>
      <c r="C7495" s="11">
        <v>140.92562440113983</v>
      </c>
      <c r="D7495" s="42"/>
    </row>
    <row r="7496" spans="2:4" ht="16" thickBot="1" x14ac:dyDescent="0.25">
      <c r="B7496" s="4">
        <v>7491</v>
      </c>
      <c r="C7496" s="10">
        <v>119.71005041116497</v>
      </c>
      <c r="D7496" s="42"/>
    </row>
    <row r="7497" spans="2:4" ht="16" thickBot="1" x14ac:dyDescent="0.25">
      <c r="B7497" s="5">
        <v>7492</v>
      </c>
      <c r="C7497" s="11">
        <v>250.81248779618369</v>
      </c>
      <c r="D7497" s="42"/>
    </row>
    <row r="7498" spans="2:4" ht="16" thickBot="1" x14ac:dyDescent="0.25">
      <c r="B7498" s="4">
        <v>7493</v>
      </c>
      <c r="C7498" s="10">
        <v>183.51891785827976</v>
      </c>
      <c r="D7498" s="42"/>
    </row>
    <row r="7499" spans="2:4" ht="16" thickBot="1" x14ac:dyDescent="0.25">
      <c r="B7499" s="5">
        <v>7494</v>
      </c>
      <c r="C7499" s="11">
        <v>403.9471759287996</v>
      </c>
      <c r="D7499" s="42"/>
    </row>
    <row r="7500" spans="2:4" ht="16" thickBot="1" x14ac:dyDescent="0.25">
      <c r="B7500" s="4">
        <v>7495</v>
      </c>
      <c r="C7500" s="10">
        <v>137.15885510067608</v>
      </c>
      <c r="D7500" s="42"/>
    </row>
    <row r="7501" spans="2:4" ht="16" thickBot="1" x14ac:dyDescent="0.25">
      <c r="B7501" s="5">
        <v>7496</v>
      </c>
      <c r="C7501" s="11">
        <v>140.14158294043125</v>
      </c>
      <c r="D7501" s="42"/>
    </row>
    <row r="7502" spans="2:4" ht="16" thickBot="1" x14ac:dyDescent="0.25">
      <c r="B7502" s="4">
        <v>7497</v>
      </c>
      <c r="C7502" s="10">
        <v>102.7327866204967</v>
      </c>
      <c r="D7502" s="42"/>
    </row>
    <row r="7503" spans="2:4" ht="16" thickBot="1" x14ac:dyDescent="0.25">
      <c r="B7503" s="5">
        <v>7498</v>
      </c>
      <c r="C7503" s="11">
        <v>197.04507759107244</v>
      </c>
      <c r="D7503" s="42"/>
    </row>
    <row r="7504" spans="2:4" ht="16" thickBot="1" x14ac:dyDescent="0.25">
      <c r="B7504" s="4">
        <v>7499</v>
      </c>
      <c r="C7504" s="10">
        <v>297.38662917006326</v>
      </c>
      <c r="D7504" s="42"/>
    </row>
    <row r="7505" spans="2:4" ht="16" thickBot="1" x14ac:dyDescent="0.25">
      <c r="B7505" s="5">
        <v>7500</v>
      </c>
      <c r="C7505" s="11">
        <v>285.77113852606851</v>
      </c>
      <c r="D7505" s="42"/>
    </row>
    <row r="7506" spans="2:4" ht="16" thickBot="1" x14ac:dyDescent="0.25">
      <c r="B7506" s="4">
        <v>7501</v>
      </c>
      <c r="C7506" s="10">
        <v>257.1615063118216</v>
      </c>
      <c r="D7506" s="42"/>
    </row>
    <row r="7507" spans="2:4" ht="16" thickBot="1" x14ac:dyDescent="0.25">
      <c r="B7507" s="5">
        <v>7502</v>
      </c>
      <c r="C7507" s="11">
        <v>157.49849700107495</v>
      </c>
      <c r="D7507" s="42"/>
    </row>
    <row r="7508" spans="2:4" ht="16" thickBot="1" x14ac:dyDescent="0.25">
      <c r="B7508" s="4">
        <v>7503</v>
      </c>
      <c r="C7508" s="10">
        <v>66.877755363198702</v>
      </c>
      <c r="D7508" s="42"/>
    </row>
    <row r="7509" spans="2:4" ht="16" thickBot="1" x14ac:dyDescent="0.25">
      <c r="B7509" s="5">
        <v>7504</v>
      </c>
      <c r="C7509" s="11">
        <v>334.4049444121361</v>
      </c>
      <c r="D7509" s="42"/>
    </row>
    <row r="7510" spans="2:4" ht="16" thickBot="1" x14ac:dyDescent="0.25">
      <c r="B7510" s="4">
        <v>7505</v>
      </c>
      <c r="C7510" s="10">
        <v>173.35436618546717</v>
      </c>
      <c r="D7510" s="42"/>
    </row>
    <row r="7511" spans="2:4" ht="16" thickBot="1" x14ac:dyDescent="0.25">
      <c r="B7511" s="5">
        <v>7506</v>
      </c>
      <c r="C7511" s="11">
        <v>142.4921159287436</v>
      </c>
      <c r="D7511" s="42"/>
    </row>
    <row r="7512" spans="2:4" ht="16" thickBot="1" x14ac:dyDescent="0.25">
      <c r="B7512" s="4">
        <v>7507</v>
      </c>
      <c r="C7512" s="10">
        <v>400.42882878692416</v>
      </c>
      <c r="D7512" s="42"/>
    </row>
    <row r="7513" spans="2:4" ht="16" thickBot="1" x14ac:dyDescent="0.25">
      <c r="B7513" s="5">
        <v>7508</v>
      </c>
      <c r="C7513" s="11">
        <v>310.3269480495199</v>
      </c>
      <c r="D7513" s="42"/>
    </row>
    <row r="7514" spans="2:4" ht="16" thickBot="1" x14ac:dyDescent="0.25">
      <c r="B7514" s="4">
        <v>7509</v>
      </c>
      <c r="C7514" s="10">
        <v>424.20450694988892</v>
      </c>
      <c r="D7514" s="42"/>
    </row>
    <row r="7515" spans="2:4" ht="16" thickBot="1" x14ac:dyDescent="0.25">
      <c r="B7515" s="5">
        <v>7510</v>
      </c>
      <c r="C7515" s="11">
        <v>139.98838976219051</v>
      </c>
      <c r="D7515" s="42"/>
    </row>
    <row r="7516" spans="2:4" ht="16" thickBot="1" x14ac:dyDescent="0.25">
      <c r="B7516" s="4">
        <v>7511</v>
      </c>
      <c r="C7516" s="10">
        <v>296.60421742133269</v>
      </c>
      <c r="D7516" s="42"/>
    </row>
    <row r="7517" spans="2:4" ht="16" thickBot="1" x14ac:dyDescent="0.25">
      <c r="B7517" s="5">
        <v>7512</v>
      </c>
      <c r="C7517" s="11">
        <v>631.04716813790412</v>
      </c>
      <c r="D7517" s="42"/>
    </row>
    <row r="7518" spans="2:4" ht="16" thickBot="1" x14ac:dyDescent="0.25">
      <c r="B7518" s="4">
        <v>7513</v>
      </c>
      <c r="C7518" s="10">
        <v>183.74689512260656</v>
      </c>
      <c r="D7518" s="42"/>
    </row>
    <row r="7519" spans="2:4" ht="16" thickBot="1" x14ac:dyDescent="0.25">
      <c r="B7519" s="5">
        <v>7514</v>
      </c>
      <c r="C7519" s="11">
        <v>82.351123377024734</v>
      </c>
      <c r="D7519" s="42"/>
    </row>
    <row r="7520" spans="2:4" ht="16" thickBot="1" x14ac:dyDescent="0.25">
      <c r="B7520" s="4">
        <v>7515</v>
      </c>
      <c r="C7520" s="10">
        <v>169.361479418192</v>
      </c>
      <c r="D7520" s="42"/>
    </row>
    <row r="7521" spans="2:4" ht="16" thickBot="1" x14ac:dyDescent="0.25">
      <c r="B7521" s="5">
        <v>7516</v>
      </c>
      <c r="C7521" s="11">
        <v>514.03994745203386</v>
      </c>
      <c r="D7521" s="42"/>
    </row>
    <row r="7522" spans="2:4" ht="16" thickBot="1" x14ac:dyDescent="0.25">
      <c r="B7522" s="4">
        <v>7517</v>
      </c>
      <c r="C7522" s="10">
        <v>201.26494255377588</v>
      </c>
      <c r="D7522" s="42"/>
    </row>
    <row r="7523" spans="2:4" ht="16" thickBot="1" x14ac:dyDescent="0.25">
      <c r="B7523" s="5">
        <v>7518</v>
      </c>
      <c r="C7523" s="11">
        <v>214.06690994446129</v>
      </c>
      <c r="D7523" s="42"/>
    </row>
    <row r="7524" spans="2:4" ht="16" thickBot="1" x14ac:dyDescent="0.25">
      <c r="B7524" s="4">
        <v>7519</v>
      </c>
      <c r="C7524" s="10">
        <v>452.51759865603861</v>
      </c>
      <c r="D7524" s="42"/>
    </row>
    <row r="7525" spans="2:4" ht="16" thickBot="1" x14ac:dyDescent="0.25">
      <c r="B7525" s="5">
        <v>7520</v>
      </c>
      <c r="C7525" s="11">
        <v>431.36146561948726</v>
      </c>
      <c r="D7525" s="42"/>
    </row>
    <row r="7526" spans="2:4" ht="16" thickBot="1" x14ac:dyDescent="0.25">
      <c r="B7526" s="4">
        <v>7521</v>
      </c>
      <c r="C7526" s="10">
        <v>396.30206934380374</v>
      </c>
      <c r="D7526" s="42"/>
    </row>
    <row r="7527" spans="2:4" ht="16" thickBot="1" x14ac:dyDescent="0.25">
      <c r="B7527" s="5">
        <v>7522</v>
      </c>
      <c r="C7527" s="11">
        <v>127.62316120334805</v>
      </c>
      <c r="D7527" s="42"/>
    </row>
    <row r="7528" spans="2:4" ht="16" thickBot="1" x14ac:dyDescent="0.25">
      <c r="B7528" s="4">
        <v>7523</v>
      </c>
      <c r="C7528" s="10">
        <v>144.40186135995924</v>
      </c>
      <c r="D7528" s="42"/>
    </row>
    <row r="7529" spans="2:4" ht="16" thickBot="1" x14ac:dyDescent="0.25">
      <c r="B7529" s="5">
        <v>7524</v>
      </c>
      <c r="C7529" s="11">
        <v>127.77830497822306</v>
      </c>
      <c r="D7529" s="42"/>
    </row>
    <row r="7530" spans="2:4" ht="16" thickBot="1" x14ac:dyDescent="0.25">
      <c r="B7530" s="4">
        <v>7525</v>
      </c>
      <c r="C7530" s="10">
        <v>275.78606314517208</v>
      </c>
      <c r="D7530" s="42"/>
    </row>
    <row r="7531" spans="2:4" ht="16" thickBot="1" x14ac:dyDescent="0.25">
      <c r="B7531" s="5">
        <v>7526</v>
      </c>
      <c r="C7531" s="11">
        <v>289.38373037293672</v>
      </c>
      <c r="D7531" s="42"/>
    </row>
    <row r="7532" spans="2:4" ht="16" thickBot="1" x14ac:dyDescent="0.25">
      <c r="B7532" s="4">
        <v>7527</v>
      </c>
      <c r="C7532" s="10">
        <v>340.14927327450113</v>
      </c>
      <c r="D7532" s="42"/>
    </row>
    <row r="7533" spans="2:4" ht="16" thickBot="1" x14ac:dyDescent="0.25">
      <c r="B7533" s="5">
        <v>7528</v>
      </c>
      <c r="C7533" s="11">
        <v>323.6156556516641</v>
      </c>
      <c r="D7533" s="42"/>
    </row>
    <row r="7534" spans="2:4" ht="16" thickBot="1" x14ac:dyDescent="0.25">
      <c r="B7534" s="4">
        <v>7529</v>
      </c>
      <c r="C7534" s="10">
        <v>507.2153845668945</v>
      </c>
      <c r="D7534" s="42"/>
    </row>
    <row r="7535" spans="2:4" ht="16" thickBot="1" x14ac:dyDescent="0.25">
      <c r="B7535" s="5">
        <v>7530</v>
      </c>
      <c r="C7535" s="11">
        <v>109.742521278103</v>
      </c>
      <c r="D7535" s="42"/>
    </row>
    <row r="7536" spans="2:4" ht="16" thickBot="1" x14ac:dyDescent="0.25">
      <c r="B7536" s="4">
        <v>7531</v>
      </c>
      <c r="C7536" s="10">
        <v>218.12304264169805</v>
      </c>
      <c r="D7536" s="42"/>
    </row>
    <row r="7537" spans="2:4" ht="16" thickBot="1" x14ac:dyDescent="0.25">
      <c r="B7537" s="5">
        <v>7532</v>
      </c>
      <c r="C7537" s="11">
        <v>411.14641396934604</v>
      </c>
      <c r="D7537" s="42"/>
    </row>
    <row r="7538" spans="2:4" ht="16" thickBot="1" x14ac:dyDescent="0.25">
      <c r="B7538" s="4">
        <v>7533</v>
      </c>
      <c r="C7538" s="10">
        <v>267.62170311522095</v>
      </c>
      <c r="D7538" s="42"/>
    </row>
    <row r="7539" spans="2:4" ht="16" thickBot="1" x14ac:dyDescent="0.25">
      <c r="B7539" s="5">
        <v>7534</v>
      </c>
      <c r="C7539" s="11">
        <v>168.7025194805681</v>
      </c>
      <c r="D7539" s="42"/>
    </row>
    <row r="7540" spans="2:4" ht="16" thickBot="1" x14ac:dyDescent="0.25">
      <c r="B7540" s="4">
        <v>7535</v>
      </c>
      <c r="C7540" s="10">
        <v>179.09481218801071</v>
      </c>
      <c r="D7540" s="42"/>
    </row>
    <row r="7541" spans="2:4" ht="16" thickBot="1" x14ac:dyDescent="0.25">
      <c r="B7541" s="5">
        <v>7536</v>
      </c>
      <c r="C7541" s="11">
        <v>581.8293174876045</v>
      </c>
      <c r="D7541" s="42"/>
    </row>
    <row r="7542" spans="2:4" ht="16" thickBot="1" x14ac:dyDescent="0.25">
      <c r="B7542" s="4">
        <v>7537</v>
      </c>
      <c r="C7542" s="10">
        <v>157.38428206534829</v>
      </c>
      <c r="D7542" s="42"/>
    </row>
    <row r="7543" spans="2:4" ht="16" thickBot="1" x14ac:dyDescent="0.25">
      <c r="B7543" s="5">
        <v>7538</v>
      </c>
      <c r="C7543" s="11">
        <v>381.30194487663005</v>
      </c>
      <c r="D7543" s="42"/>
    </row>
    <row r="7544" spans="2:4" ht="16" thickBot="1" x14ac:dyDescent="0.25">
      <c r="B7544" s="4">
        <v>7539</v>
      </c>
      <c r="C7544" s="10">
        <v>336.45149587758874</v>
      </c>
      <c r="D7544" s="42"/>
    </row>
    <row r="7545" spans="2:4" ht="16" thickBot="1" x14ac:dyDescent="0.25">
      <c r="B7545" s="5">
        <v>7540</v>
      </c>
      <c r="C7545" s="11">
        <v>217.65902465472692</v>
      </c>
      <c r="D7545" s="42"/>
    </row>
    <row r="7546" spans="2:4" ht="16" thickBot="1" x14ac:dyDescent="0.25">
      <c r="B7546" s="4">
        <v>7541</v>
      </c>
      <c r="C7546" s="10">
        <v>276.79581528030974</v>
      </c>
      <c r="D7546" s="42"/>
    </row>
    <row r="7547" spans="2:4" ht="16" thickBot="1" x14ac:dyDescent="0.25">
      <c r="B7547" s="5">
        <v>7542</v>
      </c>
      <c r="C7547" s="11">
        <v>206.58304706257169</v>
      </c>
      <c r="D7547" s="42"/>
    </row>
    <row r="7548" spans="2:4" ht="16" thickBot="1" x14ac:dyDescent="0.25">
      <c r="B7548" s="4">
        <v>7543</v>
      </c>
      <c r="C7548" s="10">
        <v>257.6996728951417</v>
      </c>
      <c r="D7548" s="42"/>
    </row>
    <row r="7549" spans="2:4" ht="16" thickBot="1" x14ac:dyDescent="0.25">
      <c r="B7549" s="5">
        <v>7544</v>
      </c>
      <c r="C7549" s="11">
        <v>179.91658359905213</v>
      </c>
      <c r="D7549" s="42"/>
    </row>
    <row r="7550" spans="2:4" ht="16" thickBot="1" x14ac:dyDescent="0.25">
      <c r="B7550" s="4">
        <v>7545</v>
      </c>
      <c r="C7550" s="10">
        <v>249.48085989526376</v>
      </c>
      <c r="D7550" s="42"/>
    </row>
    <row r="7551" spans="2:4" ht="16" thickBot="1" x14ac:dyDescent="0.25">
      <c r="B7551" s="5">
        <v>7546</v>
      </c>
      <c r="C7551" s="11">
        <v>125.34971346066247</v>
      </c>
      <c r="D7551" s="42"/>
    </row>
    <row r="7552" spans="2:4" ht="16" thickBot="1" x14ac:dyDescent="0.25">
      <c r="B7552" s="4">
        <v>7547</v>
      </c>
      <c r="C7552" s="10">
        <v>535.02423422792663</v>
      </c>
      <c r="D7552" s="42"/>
    </row>
    <row r="7553" spans="2:4" ht="16" thickBot="1" x14ac:dyDescent="0.25">
      <c r="B7553" s="5">
        <v>7548</v>
      </c>
      <c r="C7553" s="11">
        <v>231.32610536750767</v>
      </c>
      <c r="D7553" s="42"/>
    </row>
    <row r="7554" spans="2:4" ht="16" thickBot="1" x14ac:dyDescent="0.25">
      <c r="B7554" s="4">
        <v>7549</v>
      </c>
      <c r="C7554" s="10">
        <v>337.42640631216381</v>
      </c>
      <c r="D7554" s="42"/>
    </row>
    <row r="7555" spans="2:4" ht="16" thickBot="1" x14ac:dyDescent="0.25">
      <c r="B7555" s="5">
        <v>7550</v>
      </c>
      <c r="C7555" s="11">
        <v>474.27099563661091</v>
      </c>
      <c r="D7555" s="42"/>
    </row>
    <row r="7556" spans="2:4" ht="16" thickBot="1" x14ac:dyDescent="0.25">
      <c r="B7556" s="4">
        <v>7551</v>
      </c>
      <c r="C7556" s="10">
        <v>42.045076743506847</v>
      </c>
      <c r="D7556" s="42"/>
    </row>
    <row r="7557" spans="2:4" ht="16" thickBot="1" x14ac:dyDescent="0.25">
      <c r="B7557" s="5">
        <v>7552</v>
      </c>
      <c r="C7557" s="11">
        <v>120.40134947177921</v>
      </c>
      <c r="D7557" s="42"/>
    </row>
    <row r="7558" spans="2:4" ht="16" thickBot="1" x14ac:dyDescent="0.25">
      <c r="B7558" s="4">
        <v>7553</v>
      </c>
      <c r="C7558" s="10">
        <v>88.669143504374631</v>
      </c>
      <c r="D7558" s="42"/>
    </row>
    <row r="7559" spans="2:4" ht="16" thickBot="1" x14ac:dyDescent="0.25">
      <c r="B7559" s="5">
        <v>7554</v>
      </c>
      <c r="C7559" s="11">
        <v>184.03780067832108</v>
      </c>
      <c r="D7559" s="42"/>
    </row>
    <row r="7560" spans="2:4" ht="16" thickBot="1" x14ac:dyDescent="0.25">
      <c r="B7560" s="4">
        <v>7555</v>
      </c>
      <c r="C7560" s="10">
        <v>231.79521851345928</v>
      </c>
      <c r="D7560" s="42"/>
    </row>
    <row r="7561" spans="2:4" ht="16" thickBot="1" x14ac:dyDescent="0.25">
      <c r="B7561" s="5">
        <v>7556</v>
      </c>
      <c r="C7561" s="11">
        <v>197.40905720429532</v>
      </c>
      <c r="D7561" s="42"/>
    </row>
    <row r="7562" spans="2:4" ht="16" thickBot="1" x14ac:dyDescent="0.25">
      <c r="B7562" s="4">
        <v>7557</v>
      </c>
      <c r="C7562" s="10">
        <v>92.706471164404917</v>
      </c>
      <c r="D7562" s="42"/>
    </row>
    <row r="7563" spans="2:4" ht="16" thickBot="1" x14ac:dyDescent="0.25">
      <c r="B7563" s="5">
        <v>7558</v>
      </c>
      <c r="C7563" s="11">
        <v>234.28899395303742</v>
      </c>
      <c r="D7563" s="42"/>
    </row>
    <row r="7564" spans="2:4" ht="16" thickBot="1" x14ac:dyDescent="0.25">
      <c r="B7564" s="4">
        <v>7559</v>
      </c>
      <c r="C7564" s="10">
        <v>207.23628325685306</v>
      </c>
      <c r="D7564" s="42"/>
    </row>
    <row r="7565" spans="2:4" ht="16" thickBot="1" x14ac:dyDescent="0.25">
      <c r="B7565" s="5">
        <v>7560</v>
      </c>
      <c r="C7565" s="11">
        <v>454.40416811674572</v>
      </c>
      <c r="D7565" s="42"/>
    </row>
    <row r="7566" spans="2:4" ht="16" thickBot="1" x14ac:dyDescent="0.25">
      <c r="B7566" s="4">
        <v>7561</v>
      </c>
      <c r="C7566" s="10">
        <v>278.01950692326983</v>
      </c>
      <c r="D7566" s="42"/>
    </row>
    <row r="7567" spans="2:4" ht="16" thickBot="1" x14ac:dyDescent="0.25">
      <c r="B7567" s="5">
        <v>7562</v>
      </c>
      <c r="C7567" s="11">
        <v>829.48175294352109</v>
      </c>
      <c r="D7567" s="42"/>
    </row>
    <row r="7568" spans="2:4" ht="16" thickBot="1" x14ac:dyDescent="0.25">
      <c r="B7568" s="4">
        <v>7563</v>
      </c>
      <c r="C7568" s="10">
        <v>271.90099967255696</v>
      </c>
      <c r="D7568" s="42"/>
    </row>
    <row r="7569" spans="2:4" ht="16" thickBot="1" x14ac:dyDescent="0.25">
      <c r="B7569" s="5">
        <v>7564</v>
      </c>
      <c r="C7569" s="11">
        <v>230.11276143682716</v>
      </c>
      <c r="D7569" s="42"/>
    </row>
    <row r="7570" spans="2:4" ht="16" thickBot="1" x14ac:dyDescent="0.25">
      <c r="B7570" s="4">
        <v>7565</v>
      </c>
      <c r="C7570" s="10">
        <v>540.2049142927325</v>
      </c>
      <c r="D7570" s="42"/>
    </row>
    <row r="7571" spans="2:4" ht="16" thickBot="1" x14ac:dyDescent="0.25">
      <c r="B7571" s="5">
        <v>7566</v>
      </c>
      <c r="C7571" s="11">
        <v>706.77462763102847</v>
      </c>
      <c r="D7571" s="42"/>
    </row>
    <row r="7572" spans="2:4" ht="16" thickBot="1" x14ac:dyDescent="0.25">
      <c r="B7572" s="4">
        <v>7567</v>
      </c>
      <c r="C7572" s="10">
        <v>471.89475694042159</v>
      </c>
      <c r="D7572" s="42"/>
    </row>
    <row r="7573" spans="2:4" ht="16" thickBot="1" x14ac:dyDescent="0.25">
      <c r="B7573" s="5">
        <v>7568</v>
      </c>
      <c r="C7573" s="11">
        <v>154.85787547647493</v>
      </c>
      <c r="D7573" s="42"/>
    </row>
    <row r="7574" spans="2:4" ht="16" thickBot="1" x14ac:dyDescent="0.25">
      <c r="B7574" s="4">
        <v>7569</v>
      </c>
      <c r="C7574" s="10">
        <v>309.70541869164828</v>
      </c>
      <c r="D7574" s="42"/>
    </row>
    <row r="7575" spans="2:4" ht="16" thickBot="1" x14ac:dyDescent="0.25">
      <c r="B7575" s="5">
        <v>7570</v>
      </c>
      <c r="C7575" s="11">
        <v>88.661587160778154</v>
      </c>
      <c r="D7575" s="42"/>
    </row>
    <row r="7576" spans="2:4" ht="16" thickBot="1" x14ac:dyDescent="0.25">
      <c r="B7576" s="4">
        <v>7571</v>
      </c>
      <c r="C7576" s="10">
        <v>542.19524476871197</v>
      </c>
      <c r="D7576" s="42"/>
    </row>
    <row r="7577" spans="2:4" ht="16" thickBot="1" x14ac:dyDescent="0.25">
      <c r="B7577" s="5">
        <v>7572</v>
      </c>
      <c r="C7577" s="11">
        <v>50.591778599785343</v>
      </c>
      <c r="D7577" s="42"/>
    </row>
    <row r="7578" spans="2:4" ht="16" thickBot="1" x14ac:dyDescent="0.25">
      <c r="B7578" s="4">
        <v>7573</v>
      </c>
      <c r="C7578" s="10">
        <v>121.83735862721008</v>
      </c>
      <c r="D7578" s="42"/>
    </row>
    <row r="7579" spans="2:4" ht="16" thickBot="1" x14ac:dyDescent="0.25">
      <c r="B7579" s="5">
        <v>7574</v>
      </c>
      <c r="C7579" s="11">
        <v>76.747924103295617</v>
      </c>
      <c r="D7579" s="42"/>
    </row>
    <row r="7580" spans="2:4" ht="16" thickBot="1" x14ac:dyDescent="0.25">
      <c r="B7580" s="4">
        <v>7575</v>
      </c>
      <c r="C7580" s="10">
        <v>135.03960673971736</v>
      </c>
      <c r="D7580" s="42"/>
    </row>
    <row r="7581" spans="2:4" ht="16" thickBot="1" x14ac:dyDescent="0.25">
      <c r="B7581" s="5">
        <v>7576</v>
      </c>
      <c r="C7581" s="11">
        <v>682.45459178487147</v>
      </c>
      <c r="D7581" s="42"/>
    </row>
    <row r="7582" spans="2:4" ht="16" thickBot="1" x14ac:dyDescent="0.25">
      <c r="B7582" s="4">
        <v>7577</v>
      </c>
      <c r="C7582" s="10">
        <v>181.50600228790765</v>
      </c>
      <c r="D7582" s="42"/>
    </row>
    <row r="7583" spans="2:4" ht="16" thickBot="1" x14ac:dyDescent="0.25">
      <c r="B7583" s="5">
        <v>7578</v>
      </c>
      <c r="C7583" s="11">
        <v>149.88226429611569</v>
      </c>
      <c r="D7583" s="42"/>
    </row>
    <row r="7584" spans="2:4" ht="16" thickBot="1" x14ac:dyDescent="0.25">
      <c r="B7584" s="4">
        <v>7579</v>
      </c>
      <c r="C7584" s="10">
        <v>383.31391968654083</v>
      </c>
      <c r="D7584" s="42"/>
    </row>
    <row r="7585" spans="2:4" ht="16" thickBot="1" x14ac:dyDescent="0.25">
      <c r="B7585" s="5">
        <v>7580</v>
      </c>
      <c r="C7585" s="11">
        <v>189.31458887696022</v>
      </c>
      <c r="D7585" s="42"/>
    </row>
    <row r="7586" spans="2:4" ht="16" thickBot="1" x14ac:dyDescent="0.25">
      <c r="B7586" s="4">
        <v>7581</v>
      </c>
      <c r="C7586" s="10">
        <v>62.851405661109411</v>
      </c>
      <c r="D7586" s="42"/>
    </row>
    <row r="7587" spans="2:4" ht="16" thickBot="1" x14ac:dyDescent="0.25">
      <c r="B7587" s="5">
        <v>7582</v>
      </c>
      <c r="C7587" s="11">
        <v>568.78857954793011</v>
      </c>
      <c r="D7587" s="42"/>
    </row>
    <row r="7588" spans="2:4" ht="16" thickBot="1" x14ac:dyDescent="0.25">
      <c r="B7588" s="4">
        <v>7583</v>
      </c>
      <c r="C7588" s="10">
        <v>56.270844962952005</v>
      </c>
      <c r="D7588" s="42"/>
    </row>
    <row r="7589" spans="2:4" ht="16" thickBot="1" x14ac:dyDescent="0.25">
      <c r="B7589" s="5">
        <v>7584</v>
      </c>
      <c r="C7589" s="11">
        <v>353.4209261830116</v>
      </c>
      <c r="D7589" s="42"/>
    </row>
    <row r="7590" spans="2:4" ht="16" thickBot="1" x14ac:dyDescent="0.25">
      <c r="B7590" s="4">
        <v>7585</v>
      </c>
      <c r="C7590" s="10">
        <v>409.07618371086869</v>
      </c>
      <c r="D7590" s="42"/>
    </row>
    <row r="7591" spans="2:4" ht="16" thickBot="1" x14ac:dyDescent="0.25">
      <c r="B7591" s="5">
        <v>7586</v>
      </c>
      <c r="C7591" s="11">
        <v>210.53071325556186</v>
      </c>
      <c r="D7591" s="42"/>
    </row>
    <row r="7592" spans="2:4" ht="16" thickBot="1" x14ac:dyDescent="0.25">
      <c r="B7592" s="4">
        <v>7587</v>
      </c>
      <c r="C7592" s="10">
        <v>146.8941601207359</v>
      </c>
      <c r="D7592" s="42"/>
    </row>
    <row r="7593" spans="2:4" ht="16" thickBot="1" x14ac:dyDescent="0.25">
      <c r="B7593" s="5">
        <v>7588</v>
      </c>
      <c r="C7593" s="11">
        <v>176.45288703355018</v>
      </c>
      <c r="D7593" s="42"/>
    </row>
    <row r="7594" spans="2:4" ht="16" thickBot="1" x14ac:dyDescent="0.25">
      <c r="B7594" s="4">
        <v>7589</v>
      </c>
      <c r="C7594" s="10">
        <v>202.44808788498432</v>
      </c>
      <c r="D7594" s="42"/>
    </row>
    <row r="7595" spans="2:4" ht="16" thickBot="1" x14ac:dyDescent="0.25">
      <c r="B7595" s="5">
        <v>7590</v>
      </c>
      <c r="C7595" s="11">
        <v>510.99919609145439</v>
      </c>
      <c r="D7595" s="42"/>
    </row>
    <row r="7596" spans="2:4" ht="16" thickBot="1" x14ac:dyDescent="0.25">
      <c r="B7596" s="4">
        <v>7591</v>
      </c>
      <c r="C7596" s="10">
        <v>275.41936050373113</v>
      </c>
      <c r="D7596" s="42"/>
    </row>
    <row r="7597" spans="2:4" ht="16" thickBot="1" x14ac:dyDescent="0.25">
      <c r="B7597" s="5">
        <v>7592</v>
      </c>
      <c r="C7597" s="11">
        <v>188.76841018824007</v>
      </c>
      <c r="D7597" s="42"/>
    </row>
    <row r="7598" spans="2:4" ht="16" thickBot="1" x14ac:dyDescent="0.25">
      <c r="B7598" s="4">
        <v>7593</v>
      </c>
      <c r="C7598" s="10">
        <v>233.48545190245977</v>
      </c>
      <c r="D7598" s="42"/>
    </row>
    <row r="7599" spans="2:4" ht="16" thickBot="1" x14ac:dyDescent="0.25">
      <c r="B7599" s="5">
        <v>7594</v>
      </c>
      <c r="C7599" s="11">
        <v>332.91486118902304</v>
      </c>
      <c r="D7599" s="42"/>
    </row>
    <row r="7600" spans="2:4" ht="16" thickBot="1" x14ac:dyDescent="0.25">
      <c r="B7600" s="4">
        <v>7595</v>
      </c>
      <c r="C7600" s="10">
        <v>101.39230518671333</v>
      </c>
      <c r="D7600" s="42"/>
    </row>
    <row r="7601" spans="2:4" ht="16" thickBot="1" x14ac:dyDescent="0.25">
      <c r="B7601" s="5">
        <v>7596</v>
      </c>
      <c r="C7601" s="11">
        <v>357.63877881265751</v>
      </c>
      <c r="D7601" s="42"/>
    </row>
    <row r="7602" spans="2:4" ht="16" thickBot="1" x14ac:dyDescent="0.25">
      <c r="B7602" s="4">
        <v>7597</v>
      </c>
      <c r="C7602" s="10">
        <v>382.73848849050768</v>
      </c>
      <c r="D7602" s="42"/>
    </row>
    <row r="7603" spans="2:4" ht="16" thickBot="1" x14ac:dyDescent="0.25">
      <c r="B7603" s="5">
        <v>7598</v>
      </c>
      <c r="C7603" s="11">
        <v>348.647786328081</v>
      </c>
      <c r="D7603" s="42"/>
    </row>
    <row r="7604" spans="2:4" ht="16" thickBot="1" x14ac:dyDescent="0.25">
      <c r="B7604" s="4">
        <v>7599</v>
      </c>
      <c r="C7604" s="10">
        <v>225.02867792550117</v>
      </c>
      <c r="D7604" s="42"/>
    </row>
    <row r="7605" spans="2:4" ht="16" thickBot="1" x14ac:dyDescent="0.25">
      <c r="B7605" s="5">
        <v>7600</v>
      </c>
      <c r="C7605" s="11">
        <v>165.99215280395097</v>
      </c>
      <c r="D7605" s="42"/>
    </row>
    <row r="7606" spans="2:4" ht="16" thickBot="1" x14ac:dyDescent="0.25">
      <c r="B7606" s="4">
        <v>7601</v>
      </c>
      <c r="C7606" s="10">
        <v>175.26788774467667</v>
      </c>
      <c r="D7606" s="42"/>
    </row>
    <row r="7607" spans="2:4" ht="16" thickBot="1" x14ac:dyDescent="0.25">
      <c r="B7607" s="5">
        <v>7602</v>
      </c>
      <c r="C7607" s="11">
        <v>205.34822552732021</v>
      </c>
      <c r="D7607" s="42"/>
    </row>
    <row r="7608" spans="2:4" ht="16" thickBot="1" x14ac:dyDescent="0.25">
      <c r="B7608" s="4">
        <v>7603</v>
      </c>
      <c r="C7608" s="10">
        <v>240.5508529905278</v>
      </c>
      <c r="D7608" s="42"/>
    </row>
    <row r="7609" spans="2:4" ht="16" thickBot="1" x14ac:dyDescent="0.25">
      <c r="B7609" s="5">
        <v>7604</v>
      </c>
      <c r="C7609" s="11">
        <v>120.45079315685562</v>
      </c>
      <c r="D7609" s="42"/>
    </row>
    <row r="7610" spans="2:4" ht="16" thickBot="1" x14ac:dyDescent="0.25">
      <c r="B7610" s="4">
        <v>7605</v>
      </c>
      <c r="C7610" s="10">
        <v>236.42893921014857</v>
      </c>
      <c r="D7610" s="42"/>
    </row>
    <row r="7611" spans="2:4" ht="16" thickBot="1" x14ac:dyDescent="0.25">
      <c r="B7611" s="5">
        <v>7606</v>
      </c>
      <c r="C7611" s="11">
        <v>260.12355867241592</v>
      </c>
      <c r="D7611" s="42"/>
    </row>
    <row r="7612" spans="2:4" ht="16" thickBot="1" x14ac:dyDescent="0.25">
      <c r="B7612" s="4">
        <v>7607</v>
      </c>
      <c r="C7612" s="10">
        <v>245.67544112941536</v>
      </c>
      <c r="D7612" s="42"/>
    </row>
    <row r="7613" spans="2:4" ht="16" thickBot="1" x14ac:dyDescent="0.25">
      <c r="B7613" s="5">
        <v>7608</v>
      </c>
      <c r="C7613" s="11">
        <v>226.69909872318433</v>
      </c>
      <c r="D7613" s="42"/>
    </row>
    <row r="7614" spans="2:4" ht="16" thickBot="1" x14ac:dyDescent="0.25">
      <c r="B7614" s="4">
        <v>7609</v>
      </c>
      <c r="C7614" s="10">
        <v>197.89062455186573</v>
      </c>
      <c r="D7614" s="42"/>
    </row>
    <row r="7615" spans="2:4" ht="16" thickBot="1" x14ac:dyDescent="0.25">
      <c r="B7615" s="5">
        <v>7610</v>
      </c>
      <c r="C7615" s="11">
        <v>353.25552614537344</v>
      </c>
      <c r="D7615" s="42"/>
    </row>
    <row r="7616" spans="2:4" ht="16" thickBot="1" x14ac:dyDescent="0.25">
      <c r="B7616" s="4">
        <v>7611</v>
      </c>
      <c r="C7616" s="10">
        <v>274.91510182650512</v>
      </c>
      <c r="D7616" s="42"/>
    </row>
    <row r="7617" spans="2:4" ht="16" thickBot="1" x14ac:dyDescent="0.25">
      <c r="B7617" s="5">
        <v>7612</v>
      </c>
      <c r="C7617" s="11">
        <v>286.35472470099694</v>
      </c>
      <c r="D7617" s="42"/>
    </row>
    <row r="7618" spans="2:4" ht="16" thickBot="1" x14ac:dyDescent="0.25">
      <c r="B7618" s="4">
        <v>7613</v>
      </c>
      <c r="C7618" s="10">
        <v>492.8688547383519</v>
      </c>
      <c r="D7618" s="42"/>
    </row>
    <row r="7619" spans="2:4" ht="16" thickBot="1" x14ac:dyDescent="0.25">
      <c r="B7619" s="5">
        <v>7614</v>
      </c>
      <c r="C7619" s="11">
        <v>382.31013003442672</v>
      </c>
      <c r="D7619" s="42"/>
    </row>
    <row r="7620" spans="2:4" ht="16" thickBot="1" x14ac:dyDescent="0.25">
      <c r="B7620" s="4">
        <v>7615</v>
      </c>
      <c r="C7620" s="10">
        <v>232.33596582269595</v>
      </c>
      <c r="D7620" s="42"/>
    </row>
    <row r="7621" spans="2:4" ht="16" thickBot="1" x14ac:dyDescent="0.25">
      <c r="B7621" s="5">
        <v>7616</v>
      </c>
      <c r="C7621" s="11">
        <v>184.68141016140353</v>
      </c>
      <c r="D7621" s="42"/>
    </row>
    <row r="7622" spans="2:4" ht="16" thickBot="1" x14ac:dyDescent="0.25">
      <c r="B7622" s="4">
        <v>7617</v>
      </c>
      <c r="C7622" s="10">
        <v>274.03837121850114</v>
      </c>
      <c r="D7622" s="42"/>
    </row>
    <row r="7623" spans="2:4" ht="16" thickBot="1" x14ac:dyDescent="0.25">
      <c r="B7623" s="5">
        <v>7618</v>
      </c>
      <c r="C7623" s="11">
        <v>314.35202144659979</v>
      </c>
      <c r="D7623" s="42"/>
    </row>
    <row r="7624" spans="2:4" ht="16" thickBot="1" x14ac:dyDescent="0.25">
      <c r="B7624" s="4">
        <v>7619</v>
      </c>
      <c r="C7624" s="10">
        <v>131.18314454052611</v>
      </c>
      <c r="D7624" s="42"/>
    </row>
    <row r="7625" spans="2:4" ht="16" thickBot="1" x14ac:dyDescent="0.25">
      <c r="B7625" s="5">
        <v>7620</v>
      </c>
      <c r="C7625" s="11">
        <v>167.88102827782805</v>
      </c>
      <c r="D7625" s="42"/>
    </row>
    <row r="7626" spans="2:4" ht="16" thickBot="1" x14ac:dyDescent="0.25">
      <c r="B7626" s="4">
        <v>7621</v>
      </c>
      <c r="C7626" s="10">
        <v>85.909794444860481</v>
      </c>
      <c r="D7626" s="42"/>
    </row>
    <row r="7627" spans="2:4" ht="16" thickBot="1" x14ac:dyDescent="0.25">
      <c r="B7627" s="5">
        <v>7622</v>
      </c>
      <c r="C7627" s="11">
        <v>461.83856816845491</v>
      </c>
      <c r="D7627" s="42"/>
    </row>
    <row r="7628" spans="2:4" ht="16" thickBot="1" x14ac:dyDescent="0.25">
      <c r="B7628" s="4">
        <v>7623</v>
      </c>
      <c r="C7628" s="10">
        <v>92.521600167340736</v>
      </c>
      <c r="D7628" s="42"/>
    </row>
    <row r="7629" spans="2:4" ht="16" thickBot="1" x14ac:dyDescent="0.25">
      <c r="B7629" s="5">
        <v>7624</v>
      </c>
      <c r="C7629" s="11">
        <v>739.92414560154111</v>
      </c>
      <c r="D7629" s="42"/>
    </row>
    <row r="7630" spans="2:4" ht="16" thickBot="1" x14ac:dyDescent="0.25">
      <c r="B7630" s="4">
        <v>7625</v>
      </c>
      <c r="C7630" s="10">
        <v>207.45949445701919</v>
      </c>
      <c r="D7630" s="42"/>
    </row>
    <row r="7631" spans="2:4" ht="16" thickBot="1" x14ac:dyDescent="0.25">
      <c r="B7631" s="5">
        <v>7626</v>
      </c>
      <c r="C7631" s="11">
        <v>222.69510048439173</v>
      </c>
      <c r="D7631" s="42"/>
    </row>
    <row r="7632" spans="2:4" ht="16" thickBot="1" x14ac:dyDescent="0.25">
      <c r="B7632" s="4">
        <v>7627</v>
      </c>
      <c r="C7632" s="10">
        <v>130.14188862915972</v>
      </c>
      <c r="D7632" s="42"/>
    </row>
    <row r="7633" spans="2:4" ht="16" thickBot="1" x14ac:dyDescent="0.25">
      <c r="B7633" s="5">
        <v>7628</v>
      </c>
      <c r="C7633" s="11">
        <v>90.481129515456729</v>
      </c>
      <c r="D7633" s="42"/>
    </row>
    <row r="7634" spans="2:4" ht="16" thickBot="1" x14ac:dyDescent="0.25">
      <c r="B7634" s="4">
        <v>7629</v>
      </c>
      <c r="C7634" s="10">
        <v>262.86403413631666</v>
      </c>
      <c r="D7634" s="42"/>
    </row>
    <row r="7635" spans="2:4" ht="16" thickBot="1" x14ac:dyDescent="0.25">
      <c r="B7635" s="5">
        <v>7630</v>
      </c>
      <c r="C7635" s="11">
        <v>263.6454651229364</v>
      </c>
      <c r="D7635" s="42"/>
    </row>
    <row r="7636" spans="2:4" ht="16" thickBot="1" x14ac:dyDescent="0.25">
      <c r="B7636" s="4">
        <v>7631</v>
      </c>
      <c r="C7636" s="10">
        <v>637.56430182498514</v>
      </c>
      <c r="D7636" s="42"/>
    </row>
    <row r="7637" spans="2:4" ht="16" thickBot="1" x14ac:dyDescent="0.25">
      <c r="B7637" s="5">
        <v>7632</v>
      </c>
      <c r="C7637" s="11">
        <v>159.67716265221964</v>
      </c>
      <c r="D7637" s="42"/>
    </row>
    <row r="7638" spans="2:4" ht="16" thickBot="1" x14ac:dyDescent="0.25">
      <c r="B7638" s="4">
        <v>7633</v>
      </c>
      <c r="C7638" s="10">
        <v>218.06858654055776</v>
      </c>
      <c r="D7638" s="42"/>
    </row>
    <row r="7639" spans="2:4" ht="16" thickBot="1" x14ac:dyDescent="0.25">
      <c r="B7639" s="5">
        <v>7634</v>
      </c>
      <c r="C7639" s="11">
        <v>96.662366353932754</v>
      </c>
      <c r="D7639" s="42"/>
    </row>
    <row r="7640" spans="2:4" ht="16" thickBot="1" x14ac:dyDescent="0.25">
      <c r="B7640" s="4">
        <v>7635</v>
      </c>
      <c r="C7640" s="10">
        <v>108.04961203131955</v>
      </c>
      <c r="D7640" s="42"/>
    </row>
    <row r="7641" spans="2:4" ht="16" thickBot="1" x14ac:dyDescent="0.25">
      <c r="B7641" s="5">
        <v>7636</v>
      </c>
      <c r="C7641" s="11">
        <v>87.253422595533266</v>
      </c>
      <c r="D7641" s="42"/>
    </row>
    <row r="7642" spans="2:4" ht="16" thickBot="1" x14ac:dyDescent="0.25">
      <c r="B7642" s="4">
        <v>7637</v>
      </c>
      <c r="C7642" s="10">
        <v>97.115799035190662</v>
      </c>
      <c r="D7642" s="42"/>
    </row>
    <row r="7643" spans="2:4" ht="16" thickBot="1" x14ac:dyDescent="0.25">
      <c r="B7643" s="5">
        <v>7638</v>
      </c>
      <c r="C7643" s="11">
        <v>143.42349376900032</v>
      </c>
      <c r="D7643" s="42"/>
    </row>
    <row r="7644" spans="2:4" ht="16" thickBot="1" x14ac:dyDescent="0.25">
      <c r="B7644" s="4">
        <v>7639</v>
      </c>
      <c r="C7644" s="10">
        <v>382.58993920189766</v>
      </c>
      <c r="D7644" s="42"/>
    </row>
    <row r="7645" spans="2:4" ht="16" thickBot="1" x14ac:dyDescent="0.25">
      <c r="B7645" s="5">
        <v>7640</v>
      </c>
      <c r="C7645" s="11">
        <v>203.14086303569636</v>
      </c>
      <c r="D7645" s="42"/>
    </row>
    <row r="7646" spans="2:4" ht="16" thickBot="1" x14ac:dyDescent="0.25">
      <c r="B7646" s="4">
        <v>7641</v>
      </c>
      <c r="C7646" s="10">
        <v>185.04409273811581</v>
      </c>
      <c r="D7646" s="42"/>
    </row>
    <row r="7647" spans="2:4" ht="16" thickBot="1" x14ac:dyDescent="0.25">
      <c r="B7647" s="5">
        <v>7642</v>
      </c>
      <c r="C7647" s="11">
        <v>251.85457207987525</v>
      </c>
      <c r="D7647" s="42"/>
    </row>
    <row r="7648" spans="2:4" ht="16" thickBot="1" x14ac:dyDescent="0.25">
      <c r="B7648" s="4">
        <v>7643</v>
      </c>
      <c r="C7648" s="10">
        <v>188.40380006611247</v>
      </c>
      <c r="D7648" s="42"/>
    </row>
    <row r="7649" spans="2:4" ht="16" thickBot="1" x14ac:dyDescent="0.25">
      <c r="B7649" s="5">
        <v>7644</v>
      </c>
      <c r="C7649" s="11">
        <v>314.84853793054219</v>
      </c>
      <c r="D7649" s="42"/>
    </row>
    <row r="7650" spans="2:4" ht="16" thickBot="1" x14ac:dyDescent="0.25">
      <c r="B7650" s="4">
        <v>7645</v>
      </c>
      <c r="C7650" s="10">
        <v>317.46674727820368</v>
      </c>
      <c r="D7650" s="42"/>
    </row>
    <row r="7651" spans="2:4" ht="16" thickBot="1" x14ac:dyDescent="0.25">
      <c r="B7651" s="5">
        <v>7646</v>
      </c>
      <c r="C7651" s="11">
        <v>421.81893572892966</v>
      </c>
      <c r="D7651" s="42"/>
    </row>
    <row r="7652" spans="2:4" ht="16" thickBot="1" x14ac:dyDescent="0.25">
      <c r="B7652" s="4">
        <v>7647</v>
      </c>
      <c r="C7652" s="10">
        <v>390.17751207957963</v>
      </c>
      <c r="D7652" s="42"/>
    </row>
    <row r="7653" spans="2:4" ht="16" thickBot="1" x14ac:dyDescent="0.25">
      <c r="B7653" s="5">
        <v>7648</v>
      </c>
      <c r="C7653" s="11">
        <v>123.44547186221546</v>
      </c>
      <c r="D7653" s="42"/>
    </row>
    <row r="7654" spans="2:4" ht="16" thickBot="1" x14ac:dyDescent="0.25">
      <c r="B7654" s="4">
        <v>7649</v>
      </c>
      <c r="C7654" s="10">
        <v>54.073778786830275</v>
      </c>
      <c r="D7654" s="42"/>
    </row>
    <row r="7655" spans="2:4" ht="16" thickBot="1" x14ac:dyDescent="0.25">
      <c r="B7655" s="5">
        <v>7650</v>
      </c>
      <c r="C7655" s="11">
        <v>434.06648142993106</v>
      </c>
      <c r="D7655" s="42"/>
    </row>
    <row r="7656" spans="2:4" ht="16" thickBot="1" x14ac:dyDescent="0.25">
      <c r="B7656" s="4">
        <v>7651</v>
      </c>
      <c r="C7656" s="10">
        <v>658.92343528027141</v>
      </c>
      <c r="D7656" s="42"/>
    </row>
    <row r="7657" spans="2:4" ht="16" thickBot="1" x14ac:dyDescent="0.25">
      <c r="B7657" s="5">
        <v>7652</v>
      </c>
      <c r="C7657" s="11">
        <v>255.51478512167259</v>
      </c>
      <c r="D7657" s="42"/>
    </row>
    <row r="7658" spans="2:4" ht="16" thickBot="1" x14ac:dyDescent="0.25">
      <c r="B7658" s="4">
        <v>7653</v>
      </c>
      <c r="C7658" s="10">
        <v>193.26851395016746</v>
      </c>
      <c r="D7658" s="42"/>
    </row>
    <row r="7659" spans="2:4" ht="16" thickBot="1" x14ac:dyDescent="0.25">
      <c r="B7659" s="5">
        <v>7654</v>
      </c>
      <c r="C7659" s="11">
        <v>462.48212173532823</v>
      </c>
      <c r="D7659" s="42"/>
    </row>
    <row r="7660" spans="2:4" ht="16" thickBot="1" x14ac:dyDescent="0.25">
      <c r="B7660" s="4">
        <v>7655</v>
      </c>
      <c r="C7660" s="10">
        <v>148.16799815535421</v>
      </c>
      <c r="D7660" s="42"/>
    </row>
    <row r="7661" spans="2:4" ht="16" thickBot="1" x14ac:dyDescent="0.25">
      <c r="B7661" s="5">
        <v>7656</v>
      </c>
      <c r="C7661" s="11">
        <v>191.1680367028537</v>
      </c>
      <c r="D7661" s="42"/>
    </row>
    <row r="7662" spans="2:4" ht="16" thickBot="1" x14ac:dyDescent="0.25">
      <c r="B7662" s="4">
        <v>7657</v>
      </c>
      <c r="C7662" s="10">
        <v>464.12205879779498</v>
      </c>
      <c r="D7662" s="42"/>
    </row>
    <row r="7663" spans="2:4" ht="16" thickBot="1" x14ac:dyDescent="0.25">
      <c r="B7663" s="5">
        <v>7658</v>
      </c>
      <c r="C7663" s="11">
        <v>113.69016886152377</v>
      </c>
      <c r="D7663" s="42"/>
    </row>
    <row r="7664" spans="2:4" ht="16" thickBot="1" x14ac:dyDescent="0.25">
      <c r="B7664" s="4">
        <v>7659</v>
      </c>
      <c r="C7664" s="10">
        <v>726.11368476581299</v>
      </c>
      <c r="D7664" s="42"/>
    </row>
    <row r="7665" spans="2:4" ht="16" thickBot="1" x14ac:dyDescent="0.25">
      <c r="B7665" s="5">
        <v>7660</v>
      </c>
      <c r="C7665" s="11">
        <v>32.793925075426991</v>
      </c>
      <c r="D7665" s="42"/>
    </row>
    <row r="7666" spans="2:4" ht="16" thickBot="1" x14ac:dyDescent="0.25">
      <c r="B7666" s="4">
        <v>7661</v>
      </c>
      <c r="C7666" s="10">
        <v>307.4598276784389</v>
      </c>
      <c r="D7666" s="42"/>
    </row>
    <row r="7667" spans="2:4" ht="16" thickBot="1" x14ac:dyDescent="0.25">
      <c r="B7667" s="5">
        <v>7662</v>
      </c>
      <c r="C7667" s="11">
        <v>242.51719940466896</v>
      </c>
      <c r="D7667" s="42"/>
    </row>
    <row r="7668" spans="2:4" ht="16" thickBot="1" x14ac:dyDescent="0.25">
      <c r="B7668" s="4">
        <v>7663</v>
      </c>
      <c r="C7668" s="10">
        <v>64.024057255869209</v>
      </c>
      <c r="D7668" s="42"/>
    </row>
    <row r="7669" spans="2:4" ht="16" thickBot="1" x14ac:dyDescent="0.25">
      <c r="B7669" s="5">
        <v>7664</v>
      </c>
      <c r="C7669" s="11">
        <v>260.2484164708892</v>
      </c>
      <c r="D7669" s="42"/>
    </row>
    <row r="7670" spans="2:4" ht="16" thickBot="1" x14ac:dyDescent="0.25">
      <c r="B7670" s="4">
        <v>7665</v>
      </c>
      <c r="C7670" s="10">
        <v>332.3806285633334</v>
      </c>
      <c r="D7670" s="42"/>
    </row>
    <row r="7671" spans="2:4" ht="16" thickBot="1" x14ac:dyDescent="0.25">
      <c r="B7671" s="5">
        <v>7666</v>
      </c>
      <c r="C7671" s="11">
        <v>248.76333885904918</v>
      </c>
      <c r="D7671" s="42"/>
    </row>
    <row r="7672" spans="2:4" ht="16" thickBot="1" x14ac:dyDescent="0.25">
      <c r="B7672" s="4">
        <v>7667</v>
      </c>
      <c r="C7672" s="10">
        <v>611.22147715081803</v>
      </c>
      <c r="D7672" s="42"/>
    </row>
    <row r="7673" spans="2:4" ht="16" thickBot="1" x14ac:dyDescent="0.25">
      <c r="B7673" s="5">
        <v>7668</v>
      </c>
      <c r="C7673" s="11">
        <v>224.07658560694952</v>
      </c>
      <c r="D7673" s="42"/>
    </row>
    <row r="7674" spans="2:4" ht="16" thickBot="1" x14ac:dyDescent="0.25">
      <c r="B7674" s="4">
        <v>7669</v>
      </c>
      <c r="C7674" s="10">
        <v>538.59772518563364</v>
      </c>
      <c r="D7674" s="42"/>
    </row>
    <row r="7675" spans="2:4" ht="16" thickBot="1" x14ac:dyDescent="0.25">
      <c r="B7675" s="5">
        <v>7670</v>
      </c>
      <c r="C7675" s="11">
        <v>198.23038830238286</v>
      </c>
      <c r="D7675" s="42"/>
    </row>
    <row r="7676" spans="2:4" ht="16" thickBot="1" x14ac:dyDescent="0.25">
      <c r="B7676" s="4">
        <v>7671</v>
      </c>
      <c r="C7676" s="10">
        <v>323.19874628805462</v>
      </c>
      <c r="D7676" s="42"/>
    </row>
    <row r="7677" spans="2:4" ht="16" thickBot="1" x14ac:dyDescent="0.25">
      <c r="B7677" s="5">
        <v>7672</v>
      </c>
      <c r="C7677" s="11">
        <v>481.56028688541812</v>
      </c>
      <c r="D7677" s="42"/>
    </row>
    <row r="7678" spans="2:4" ht="16" thickBot="1" x14ac:dyDescent="0.25">
      <c r="B7678" s="4">
        <v>7673</v>
      </c>
      <c r="C7678" s="10">
        <v>95.056643892623086</v>
      </c>
      <c r="D7678" s="42"/>
    </row>
    <row r="7679" spans="2:4" ht="16" thickBot="1" x14ac:dyDescent="0.25">
      <c r="B7679" s="5">
        <v>7674</v>
      </c>
      <c r="C7679" s="11">
        <v>350.80815987969561</v>
      </c>
      <c r="D7679" s="42"/>
    </row>
    <row r="7680" spans="2:4" ht="16" thickBot="1" x14ac:dyDescent="0.25">
      <c r="B7680" s="4">
        <v>7675</v>
      </c>
      <c r="C7680" s="10">
        <v>163.94276049226698</v>
      </c>
      <c r="D7680" s="42"/>
    </row>
    <row r="7681" spans="2:4" ht="16" thickBot="1" x14ac:dyDescent="0.25">
      <c r="B7681" s="5">
        <v>7676</v>
      </c>
      <c r="C7681" s="11">
        <v>325.8331843816992</v>
      </c>
      <c r="D7681" s="42"/>
    </row>
    <row r="7682" spans="2:4" ht="16" thickBot="1" x14ac:dyDescent="0.25">
      <c r="B7682" s="4">
        <v>7677</v>
      </c>
      <c r="C7682" s="10">
        <v>393.70093068302782</v>
      </c>
      <c r="D7682" s="42"/>
    </row>
    <row r="7683" spans="2:4" ht="16" thickBot="1" x14ac:dyDescent="0.25">
      <c r="B7683" s="5">
        <v>7678</v>
      </c>
      <c r="C7683" s="11">
        <v>645.75702824743166</v>
      </c>
      <c r="D7683" s="42"/>
    </row>
    <row r="7684" spans="2:4" ht="16" thickBot="1" x14ac:dyDescent="0.25">
      <c r="B7684" s="4">
        <v>7679</v>
      </c>
      <c r="C7684" s="10">
        <v>75.350010604259396</v>
      </c>
      <c r="D7684" s="42"/>
    </row>
    <row r="7685" spans="2:4" ht="16" thickBot="1" x14ac:dyDescent="0.25">
      <c r="B7685" s="5">
        <v>7680</v>
      </c>
      <c r="C7685" s="11">
        <v>69.917325920198309</v>
      </c>
      <c r="D7685" s="42"/>
    </row>
    <row r="7686" spans="2:4" ht="16" thickBot="1" x14ac:dyDescent="0.25">
      <c r="B7686" s="4">
        <v>7681</v>
      </c>
      <c r="C7686" s="10">
        <v>270.68498939056661</v>
      </c>
      <c r="D7686" s="42"/>
    </row>
    <row r="7687" spans="2:4" ht="16" thickBot="1" x14ac:dyDescent="0.25">
      <c r="B7687" s="5">
        <v>7682</v>
      </c>
      <c r="C7687" s="11">
        <v>281.04860422385752</v>
      </c>
      <c r="D7687" s="42"/>
    </row>
    <row r="7688" spans="2:4" ht="16" thickBot="1" x14ac:dyDescent="0.25">
      <c r="B7688" s="4">
        <v>7683</v>
      </c>
      <c r="C7688" s="10">
        <v>476.72975642349803</v>
      </c>
      <c r="D7688" s="42"/>
    </row>
    <row r="7689" spans="2:4" ht="16" thickBot="1" x14ac:dyDescent="0.25">
      <c r="B7689" s="5">
        <v>7684</v>
      </c>
      <c r="C7689" s="11">
        <v>351.08855886593341</v>
      </c>
      <c r="D7689" s="42"/>
    </row>
    <row r="7690" spans="2:4" ht="16" thickBot="1" x14ac:dyDescent="0.25">
      <c r="B7690" s="4">
        <v>7685</v>
      </c>
      <c r="C7690" s="10">
        <v>175.46616110616176</v>
      </c>
      <c r="D7690" s="42"/>
    </row>
    <row r="7691" spans="2:4" ht="16" thickBot="1" x14ac:dyDescent="0.25">
      <c r="B7691" s="5">
        <v>7686</v>
      </c>
      <c r="C7691" s="11">
        <v>331.76151310588318</v>
      </c>
      <c r="D7691" s="42"/>
    </row>
    <row r="7692" spans="2:4" ht="16" thickBot="1" x14ac:dyDescent="0.25">
      <c r="B7692" s="4">
        <v>7687</v>
      </c>
      <c r="C7692" s="10">
        <v>452.41375171212286</v>
      </c>
      <c r="D7692" s="42"/>
    </row>
    <row r="7693" spans="2:4" ht="16" thickBot="1" x14ac:dyDescent="0.25">
      <c r="B7693" s="5">
        <v>7688</v>
      </c>
      <c r="C7693" s="11">
        <v>136.93404423397448</v>
      </c>
      <c r="D7693" s="42"/>
    </row>
    <row r="7694" spans="2:4" ht="16" thickBot="1" x14ac:dyDescent="0.25">
      <c r="B7694" s="4">
        <v>7689</v>
      </c>
      <c r="C7694" s="10">
        <v>292.18070551488199</v>
      </c>
      <c r="D7694" s="42"/>
    </row>
    <row r="7695" spans="2:4" ht="16" thickBot="1" x14ac:dyDescent="0.25">
      <c r="B7695" s="5">
        <v>7690</v>
      </c>
      <c r="C7695" s="11">
        <v>249.66318789498084</v>
      </c>
      <c r="D7695" s="42"/>
    </row>
    <row r="7696" spans="2:4" ht="16" thickBot="1" x14ac:dyDescent="0.25">
      <c r="B7696" s="4">
        <v>7691</v>
      </c>
      <c r="C7696" s="10">
        <v>473.04574830958029</v>
      </c>
      <c r="D7696" s="42"/>
    </row>
    <row r="7697" spans="2:4" ht="16" thickBot="1" x14ac:dyDescent="0.25">
      <c r="B7697" s="5">
        <v>7692</v>
      </c>
      <c r="C7697" s="11">
        <v>610.71319598243633</v>
      </c>
      <c r="D7697" s="42"/>
    </row>
    <row r="7698" spans="2:4" ht="16" thickBot="1" x14ac:dyDescent="0.25">
      <c r="B7698" s="4">
        <v>7693</v>
      </c>
      <c r="C7698" s="10">
        <v>248.38793249795236</v>
      </c>
      <c r="D7698" s="42"/>
    </row>
    <row r="7699" spans="2:4" ht="16" thickBot="1" x14ac:dyDescent="0.25">
      <c r="B7699" s="5">
        <v>7694</v>
      </c>
      <c r="C7699" s="11">
        <v>27.635292764141251</v>
      </c>
      <c r="D7699" s="42"/>
    </row>
    <row r="7700" spans="2:4" ht="16" thickBot="1" x14ac:dyDescent="0.25">
      <c r="B7700" s="4">
        <v>7695</v>
      </c>
      <c r="C7700" s="10">
        <v>450.58052221032023</v>
      </c>
      <c r="D7700" s="42"/>
    </row>
    <row r="7701" spans="2:4" ht="16" thickBot="1" x14ac:dyDescent="0.25">
      <c r="B7701" s="5">
        <v>7696</v>
      </c>
      <c r="C7701" s="11">
        <v>300.58731676414993</v>
      </c>
      <c r="D7701" s="42"/>
    </row>
    <row r="7702" spans="2:4" ht="16" thickBot="1" x14ac:dyDescent="0.25">
      <c r="B7702" s="4">
        <v>7697</v>
      </c>
      <c r="C7702" s="10">
        <v>200.09573517167416</v>
      </c>
      <c r="D7702" s="42"/>
    </row>
    <row r="7703" spans="2:4" ht="16" thickBot="1" x14ac:dyDescent="0.25">
      <c r="B7703" s="5">
        <v>7698</v>
      </c>
      <c r="C7703" s="11">
        <v>72.986621669228953</v>
      </c>
      <c r="D7703" s="42"/>
    </row>
    <row r="7704" spans="2:4" ht="16" thickBot="1" x14ac:dyDescent="0.25">
      <c r="B7704" s="4">
        <v>7699</v>
      </c>
      <c r="C7704" s="10">
        <v>73.962725472266214</v>
      </c>
      <c r="D7704" s="42"/>
    </row>
    <row r="7705" spans="2:4" ht="16" thickBot="1" x14ac:dyDescent="0.25">
      <c r="B7705" s="5">
        <v>7700</v>
      </c>
      <c r="C7705" s="11">
        <v>366.74442446013478</v>
      </c>
      <c r="D7705" s="42"/>
    </row>
    <row r="7706" spans="2:4" ht="16" thickBot="1" x14ac:dyDescent="0.25">
      <c r="B7706" s="4">
        <v>7701</v>
      </c>
      <c r="C7706" s="10">
        <v>140.88559181794483</v>
      </c>
      <c r="D7706" s="42"/>
    </row>
    <row r="7707" spans="2:4" ht="16" thickBot="1" x14ac:dyDescent="0.25">
      <c r="B7707" s="5">
        <v>7702</v>
      </c>
      <c r="C7707" s="11">
        <v>160.09890061753492</v>
      </c>
      <c r="D7707" s="42"/>
    </row>
    <row r="7708" spans="2:4" ht="16" thickBot="1" x14ac:dyDescent="0.25">
      <c r="B7708" s="4">
        <v>7703</v>
      </c>
      <c r="C7708" s="10">
        <v>104.52961385519239</v>
      </c>
      <c r="D7708" s="42"/>
    </row>
    <row r="7709" spans="2:4" ht="16" thickBot="1" x14ac:dyDescent="0.25">
      <c r="B7709" s="5">
        <v>7704</v>
      </c>
      <c r="C7709" s="11">
        <v>309.41224217537251</v>
      </c>
      <c r="D7709" s="42"/>
    </row>
    <row r="7710" spans="2:4" ht="16" thickBot="1" x14ac:dyDescent="0.25">
      <c r="B7710" s="4">
        <v>7705</v>
      </c>
      <c r="C7710" s="10">
        <v>69.712933888031728</v>
      </c>
      <c r="D7710" s="42"/>
    </row>
    <row r="7711" spans="2:4" ht="16" thickBot="1" x14ac:dyDescent="0.25">
      <c r="B7711" s="5">
        <v>7706</v>
      </c>
      <c r="C7711" s="11">
        <v>153.38620957322561</v>
      </c>
      <c r="D7711" s="42"/>
    </row>
    <row r="7712" spans="2:4" ht="16" thickBot="1" x14ac:dyDescent="0.25">
      <c r="B7712" s="4">
        <v>7707</v>
      </c>
      <c r="C7712" s="10">
        <v>340.30542441352094</v>
      </c>
      <c r="D7712" s="42"/>
    </row>
    <row r="7713" spans="2:4" ht="16" thickBot="1" x14ac:dyDescent="0.25">
      <c r="B7713" s="5">
        <v>7708</v>
      </c>
      <c r="C7713" s="11">
        <v>101.41590013854635</v>
      </c>
      <c r="D7713" s="42"/>
    </row>
    <row r="7714" spans="2:4" ht="16" thickBot="1" x14ac:dyDescent="0.25">
      <c r="B7714" s="4">
        <v>7709</v>
      </c>
      <c r="C7714" s="10">
        <v>230.482267344196</v>
      </c>
      <c r="D7714" s="42"/>
    </row>
    <row r="7715" spans="2:4" ht="16" thickBot="1" x14ac:dyDescent="0.25">
      <c r="B7715" s="5">
        <v>7710</v>
      </c>
      <c r="C7715" s="11">
        <v>527.23041476446883</v>
      </c>
      <c r="D7715" s="42"/>
    </row>
    <row r="7716" spans="2:4" ht="16" thickBot="1" x14ac:dyDescent="0.25">
      <c r="B7716" s="4">
        <v>7711</v>
      </c>
      <c r="C7716" s="10">
        <v>205.61773749468159</v>
      </c>
      <c r="D7716" s="42"/>
    </row>
    <row r="7717" spans="2:4" ht="16" thickBot="1" x14ac:dyDescent="0.25">
      <c r="B7717" s="5">
        <v>7712</v>
      </c>
      <c r="C7717" s="11">
        <v>506.31994330858754</v>
      </c>
      <c r="D7717" s="42"/>
    </row>
    <row r="7718" spans="2:4" ht="16" thickBot="1" x14ac:dyDescent="0.25">
      <c r="B7718" s="4">
        <v>7713</v>
      </c>
      <c r="C7718" s="10">
        <v>370.46545862106069</v>
      </c>
      <c r="D7718" s="42"/>
    </row>
    <row r="7719" spans="2:4" ht="16" thickBot="1" x14ac:dyDescent="0.25">
      <c r="B7719" s="5">
        <v>7714</v>
      </c>
      <c r="C7719" s="11">
        <v>82.83929390250448</v>
      </c>
      <c r="D7719" s="42"/>
    </row>
    <row r="7720" spans="2:4" ht="16" thickBot="1" x14ac:dyDescent="0.25">
      <c r="B7720" s="4">
        <v>7715</v>
      </c>
      <c r="C7720" s="10">
        <v>340.57018980238342</v>
      </c>
      <c r="D7720" s="42"/>
    </row>
    <row r="7721" spans="2:4" ht="16" thickBot="1" x14ac:dyDescent="0.25">
      <c r="B7721" s="5">
        <v>7716</v>
      </c>
      <c r="C7721" s="11">
        <v>285.65235671617523</v>
      </c>
      <c r="D7721" s="42"/>
    </row>
    <row r="7722" spans="2:4" ht="16" thickBot="1" x14ac:dyDescent="0.25">
      <c r="B7722" s="4">
        <v>7717</v>
      </c>
      <c r="C7722" s="10">
        <v>58.096874962896869</v>
      </c>
      <c r="D7722" s="42"/>
    </row>
    <row r="7723" spans="2:4" ht="16" thickBot="1" x14ac:dyDescent="0.25">
      <c r="B7723" s="5">
        <v>7718</v>
      </c>
      <c r="C7723" s="11">
        <v>108.53982141362823</v>
      </c>
      <c r="D7723" s="42"/>
    </row>
    <row r="7724" spans="2:4" ht="16" thickBot="1" x14ac:dyDescent="0.25">
      <c r="B7724" s="4">
        <v>7719</v>
      </c>
      <c r="C7724" s="10">
        <v>400.89004925569373</v>
      </c>
      <c r="D7724" s="42"/>
    </row>
    <row r="7725" spans="2:4" ht="16" thickBot="1" x14ac:dyDescent="0.25">
      <c r="B7725" s="5">
        <v>7720</v>
      </c>
      <c r="C7725" s="11">
        <v>496.13854080464858</v>
      </c>
      <c r="D7725" s="42"/>
    </row>
    <row r="7726" spans="2:4" ht="16" thickBot="1" x14ac:dyDescent="0.25">
      <c r="B7726" s="4">
        <v>7721</v>
      </c>
      <c r="C7726" s="10">
        <v>281.3645552637999</v>
      </c>
      <c r="D7726" s="42"/>
    </row>
    <row r="7727" spans="2:4" ht="16" thickBot="1" x14ac:dyDescent="0.25">
      <c r="B7727" s="5">
        <v>7722</v>
      </c>
      <c r="C7727" s="11">
        <v>142.39533989221928</v>
      </c>
      <c r="D7727" s="42"/>
    </row>
    <row r="7728" spans="2:4" ht="16" thickBot="1" x14ac:dyDescent="0.25">
      <c r="B7728" s="4">
        <v>7723</v>
      </c>
      <c r="C7728" s="10">
        <v>619.45751250136163</v>
      </c>
      <c r="D7728" s="42"/>
    </row>
    <row r="7729" spans="2:4" ht="16" thickBot="1" x14ac:dyDescent="0.25">
      <c r="B7729" s="5">
        <v>7724</v>
      </c>
      <c r="C7729" s="11">
        <v>307.67034890439112</v>
      </c>
      <c r="D7729" s="42"/>
    </row>
    <row r="7730" spans="2:4" ht="16" thickBot="1" x14ac:dyDescent="0.25">
      <c r="B7730" s="4">
        <v>7725</v>
      </c>
      <c r="C7730" s="10">
        <v>60.46975287705412</v>
      </c>
      <c r="D7730" s="42"/>
    </row>
    <row r="7731" spans="2:4" ht="16" thickBot="1" x14ac:dyDescent="0.25">
      <c r="B7731" s="5">
        <v>7726</v>
      </c>
      <c r="C7731" s="11">
        <v>85.392205268126389</v>
      </c>
      <c r="D7731" s="42"/>
    </row>
    <row r="7732" spans="2:4" ht="16" thickBot="1" x14ac:dyDescent="0.25">
      <c r="B7732" s="4">
        <v>7727</v>
      </c>
      <c r="C7732" s="10">
        <v>809.01811546998124</v>
      </c>
      <c r="D7732" s="42"/>
    </row>
    <row r="7733" spans="2:4" ht="16" thickBot="1" x14ac:dyDescent="0.25">
      <c r="B7733" s="5">
        <v>7728</v>
      </c>
      <c r="C7733" s="11">
        <v>48.628442112554055</v>
      </c>
      <c r="D7733" s="42"/>
    </row>
    <row r="7734" spans="2:4" ht="16" thickBot="1" x14ac:dyDescent="0.25">
      <c r="B7734" s="4">
        <v>7729</v>
      </c>
      <c r="C7734" s="10">
        <v>83.091401385237432</v>
      </c>
      <c r="D7734" s="42"/>
    </row>
    <row r="7735" spans="2:4" ht="16" thickBot="1" x14ac:dyDescent="0.25">
      <c r="B7735" s="5">
        <v>7730</v>
      </c>
      <c r="C7735" s="11">
        <v>292.23138012275444</v>
      </c>
      <c r="D7735" s="42"/>
    </row>
    <row r="7736" spans="2:4" ht="16" thickBot="1" x14ac:dyDescent="0.25">
      <c r="B7736" s="4">
        <v>7731</v>
      </c>
      <c r="C7736" s="10">
        <v>346.14538516974085</v>
      </c>
      <c r="D7736" s="42"/>
    </row>
    <row r="7737" spans="2:4" ht="16" thickBot="1" x14ac:dyDescent="0.25">
      <c r="B7737" s="5">
        <v>7732</v>
      </c>
      <c r="C7737" s="11">
        <v>162.63039635779629</v>
      </c>
      <c r="D7737" s="42"/>
    </row>
    <row r="7738" spans="2:4" ht="16" thickBot="1" x14ac:dyDescent="0.25">
      <c r="B7738" s="4">
        <v>7733</v>
      </c>
      <c r="C7738" s="10">
        <v>87.808584282510125</v>
      </c>
      <c r="D7738" s="42"/>
    </row>
    <row r="7739" spans="2:4" ht="16" thickBot="1" x14ac:dyDescent="0.25">
      <c r="B7739" s="5">
        <v>7734</v>
      </c>
      <c r="C7739" s="11">
        <v>387.35980136562421</v>
      </c>
      <c r="D7739" s="42"/>
    </row>
    <row r="7740" spans="2:4" ht="16" thickBot="1" x14ac:dyDescent="0.25">
      <c r="B7740" s="4">
        <v>7735</v>
      </c>
      <c r="C7740" s="10">
        <v>172.70524089111697</v>
      </c>
      <c r="D7740" s="42"/>
    </row>
    <row r="7741" spans="2:4" ht="16" thickBot="1" x14ac:dyDescent="0.25">
      <c r="B7741" s="5">
        <v>7736</v>
      </c>
      <c r="C7741" s="11">
        <v>727.87607979769166</v>
      </c>
      <c r="D7741" s="42"/>
    </row>
    <row r="7742" spans="2:4" ht="16" thickBot="1" x14ac:dyDescent="0.25">
      <c r="B7742" s="4">
        <v>7737</v>
      </c>
      <c r="C7742" s="10">
        <v>321.70994582126292</v>
      </c>
      <c r="D7742" s="42"/>
    </row>
    <row r="7743" spans="2:4" ht="16" thickBot="1" x14ac:dyDescent="0.25">
      <c r="B7743" s="5">
        <v>7738</v>
      </c>
      <c r="C7743" s="11">
        <v>373.63086725548919</v>
      </c>
      <c r="D7743" s="42"/>
    </row>
    <row r="7744" spans="2:4" ht="16" thickBot="1" x14ac:dyDescent="0.25">
      <c r="B7744" s="4">
        <v>7739</v>
      </c>
      <c r="C7744" s="10">
        <v>195.96043204905342</v>
      </c>
      <c r="D7744" s="42"/>
    </row>
    <row r="7745" spans="2:4" ht="16" thickBot="1" x14ac:dyDescent="0.25">
      <c r="B7745" s="5">
        <v>7740</v>
      </c>
      <c r="C7745" s="11">
        <v>385.77131715263482</v>
      </c>
      <c r="D7745" s="42"/>
    </row>
    <row r="7746" spans="2:4" ht="16" thickBot="1" x14ac:dyDescent="0.25">
      <c r="B7746" s="4">
        <v>7741</v>
      </c>
      <c r="C7746" s="10">
        <v>283.19279296467079</v>
      </c>
      <c r="D7746" s="42"/>
    </row>
    <row r="7747" spans="2:4" ht="16" thickBot="1" x14ac:dyDescent="0.25">
      <c r="B7747" s="5">
        <v>7742</v>
      </c>
      <c r="C7747" s="11">
        <v>468.3279668790845</v>
      </c>
      <c r="D7747" s="42"/>
    </row>
    <row r="7748" spans="2:4" ht="16" thickBot="1" x14ac:dyDescent="0.25">
      <c r="B7748" s="4">
        <v>7743</v>
      </c>
      <c r="C7748" s="10">
        <v>304.47996751014904</v>
      </c>
      <c r="D7748" s="42"/>
    </row>
    <row r="7749" spans="2:4" ht="16" thickBot="1" x14ac:dyDescent="0.25">
      <c r="B7749" s="5">
        <v>7744</v>
      </c>
      <c r="C7749" s="11">
        <v>65.975739066692313</v>
      </c>
      <c r="D7749" s="42"/>
    </row>
    <row r="7750" spans="2:4" ht="16" thickBot="1" x14ac:dyDescent="0.25">
      <c r="B7750" s="4">
        <v>7745</v>
      </c>
      <c r="C7750" s="10">
        <v>304.66988646260285</v>
      </c>
      <c r="D7750" s="42"/>
    </row>
    <row r="7751" spans="2:4" ht="16" thickBot="1" x14ac:dyDescent="0.25">
      <c r="B7751" s="5">
        <v>7746</v>
      </c>
      <c r="C7751" s="11">
        <v>280.39590179668778</v>
      </c>
      <c r="D7751" s="42"/>
    </row>
    <row r="7752" spans="2:4" ht="16" thickBot="1" x14ac:dyDescent="0.25">
      <c r="B7752" s="4">
        <v>7747</v>
      </c>
      <c r="C7752" s="10">
        <v>81.008180336324145</v>
      </c>
      <c r="D7752" s="42"/>
    </row>
    <row r="7753" spans="2:4" ht="16" thickBot="1" x14ac:dyDescent="0.25">
      <c r="B7753" s="5">
        <v>7748</v>
      </c>
      <c r="C7753" s="11">
        <v>326.96705475833681</v>
      </c>
      <c r="D7753" s="42"/>
    </row>
    <row r="7754" spans="2:4" ht="16" thickBot="1" x14ac:dyDescent="0.25">
      <c r="B7754" s="4">
        <v>7749</v>
      </c>
      <c r="C7754" s="10">
        <v>928.77250697133616</v>
      </c>
      <c r="D7754" s="42"/>
    </row>
    <row r="7755" spans="2:4" ht="16" thickBot="1" x14ac:dyDescent="0.25">
      <c r="B7755" s="5">
        <v>7750</v>
      </c>
      <c r="C7755" s="11">
        <v>94.468861762192603</v>
      </c>
      <c r="D7755" s="42"/>
    </row>
    <row r="7756" spans="2:4" ht="16" thickBot="1" x14ac:dyDescent="0.25">
      <c r="B7756" s="4">
        <v>7751</v>
      </c>
      <c r="C7756" s="10">
        <v>317.40733085227805</v>
      </c>
      <c r="D7756" s="42"/>
    </row>
    <row r="7757" spans="2:4" ht="16" thickBot="1" x14ac:dyDescent="0.25">
      <c r="B7757" s="5">
        <v>7752</v>
      </c>
      <c r="C7757" s="11">
        <v>552.59628950166655</v>
      </c>
      <c r="D7757" s="42"/>
    </row>
    <row r="7758" spans="2:4" ht="16" thickBot="1" x14ac:dyDescent="0.25">
      <c r="B7758" s="4">
        <v>7753</v>
      </c>
      <c r="C7758" s="10">
        <v>379.25062206164728</v>
      </c>
      <c r="D7758" s="42"/>
    </row>
    <row r="7759" spans="2:4" ht="16" thickBot="1" x14ac:dyDescent="0.25">
      <c r="B7759" s="5">
        <v>7754</v>
      </c>
      <c r="C7759" s="11">
        <v>483.4480978769954</v>
      </c>
      <c r="D7759" s="42"/>
    </row>
    <row r="7760" spans="2:4" ht="16" thickBot="1" x14ac:dyDescent="0.25">
      <c r="B7760" s="4">
        <v>7755</v>
      </c>
      <c r="C7760" s="10">
        <v>392.48015571179513</v>
      </c>
      <c r="D7760" s="42"/>
    </row>
    <row r="7761" spans="2:4" ht="16" thickBot="1" x14ac:dyDescent="0.25">
      <c r="B7761" s="5">
        <v>7756</v>
      </c>
      <c r="C7761" s="11">
        <v>80.018692869806614</v>
      </c>
      <c r="D7761" s="42"/>
    </row>
    <row r="7762" spans="2:4" ht="16" thickBot="1" x14ac:dyDescent="0.25">
      <c r="B7762" s="4">
        <v>7757</v>
      </c>
      <c r="C7762" s="10">
        <v>259.05335672936872</v>
      </c>
      <c r="D7762" s="42"/>
    </row>
    <row r="7763" spans="2:4" ht="16" thickBot="1" x14ac:dyDescent="0.25">
      <c r="B7763" s="5">
        <v>7758</v>
      </c>
      <c r="C7763" s="11">
        <v>322.55428234492928</v>
      </c>
      <c r="D7763" s="42"/>
    </row>
    <row r="7764" spans="2:4" ht="16" thickBot="1" x14ac:dyDescent="0.25">
      <c r="B7764" s="4">
        <v>7759</v>
      </c>
      <c r="C7764" s="10">
        <v>153.19010560011247</v>
      </c>
      <c r="D7764" s="42"/>
    </row>
    <row r="7765" spans="2:4" ht="16" thickBot="1" x14ac:dyDescent="0.25">
      <c r="B7765" s="5">
        <v>7760</v>
      </c>
      <c r="C7765" s="11">
        <v>895.65537661291978</v>
      </c>
      <c r="D7765" s="42"/>
    </row>
    <row r="7766" spans="2:4" ht="16" thickBot="1" x14ac:dyDescent="0.25">
      <c r="B7766" s="4">
        <v>7761</v>
      </c>
      <c r="C7766" s="10">
        <v>311.73585998206039</v>
      </c>
      <c r="D7766" s="42"/>
    </row>
    <row r="7767" spans="2:4" ht="16" thickBot="1" x14ac:dyDescent="0.25">
      <c r="B7767" s="5">
        <v>7762</v>
      </c>
      <c r="C7767" s="11">
        <v>576.30315897448588</v>
      </c>
      <c r="D7767" s="42"/>
    </row>
    <row r="7768" spans="2:4" ht="16" thickBot="1" x14ac:dyDescent="0.25">
      <c r="B7768" s="4">
        <v>7763</v>
      </c>
      <c r="C7768" s="10">
        <v>202.75330915730262</v>
      </c>
      <c r="D7768" s="42"/>
    </row>
    <row r="7769" spans="2:4" ht="16" thickBot="1" x14ac:dyDescent="0.25">
      <c r="B7769" s="5">
        <v>7764</v>
      </c>
      <c r="C7769" s="11">
        <v>179.51948497336244</v>
      </c>
      <c r="D7769" s="42"/>
    </row>
    <row r="7770" spans="2:4" ht="16" thickBot="1" x14ac:dyDescent="0.25">
      <c r="B7770" s="4">
        <v>7765</v>
      </c>
      <c r="C7770" s="10">
        <v>267.75755574932623</v>
      </c>
      <c r="D7770" s="42"/>
    </row>
    <row r="7771" spans="2:4" ht="16" thickBot="1" x14ac:dyDescent="0.25">
      <c r="B7771" s="5">
        <v>7766</v>
      </c>
      <c r="C7771" s="11">
        <v>257.86004439370282</v>
      </c>
      <c r="D7771" s="42"/>
    </row>
    <row r="7772" spans="2:4" ht="16" thickBot="1" x14ac:dyDescent="0.25">
      <c r="B7772" s="4">
        <v>7767</v>
      </c>
      <c r="C7772" s="10">
        <v>224.31339970215407</v>
      </c>
      <c r="D7772" s="42"/>
    </row>
    <row r="7773" spans="2:4" ht="16" thickBot="1" x14ac:dyDescent="0.25">
      <c r="B7773" s="5">
        <v>7768</v>
      </c>
      <c r="C7773" s="11">
        <v>244.90444349328013</v>
      </c>
      <c r="D7773" s="42"/>
    </row>
    <row r="7774" spans="2:4" ht="16" thickBot="1" x14ac:dyDescent="0.25">
      <c r="B7774" s="4">
        <v>7769</v>
      </c>
      <c r="C7774" s="10">
        <v>233.52018972331877</v>
      </c>
      <c r="D7774" s="42"/>
    </row>
    <row r="7775" spans="2:4" ht="16" thickBot="1" x14ac:dyDescent="0.25">
      <c r="B7775" s="5">
        <v>7770</v>
      </c>
      <c r="C7775" s="11">
        <v>455.45036040792502</v>
      </c>
      <c r="D7775" s="42"/>
    </row>
    <row r="7776" spans="2:4" ht="16" thickBot="1" x14ac:dyDescent="0.25">
      <c r="B7776" s="4">
        <v>7771</v>
      </c>
      <c r="C7776" s="10">
        <v>146.81106679060625</v>
      </c>
      <c r="D7776" s="42"/>
    </row>
    <row r="7777" spans="2:4" ht="16" thickBot="1" x14ac:dyDescent="0.25">
      <c r="B7777" s="5">
        <v>7772</v>
      </c>
      <c r="C7777" s="11">
        <v>49.372558234090221</v>
      </c>
      <c r="D7777" s="42"/>
    </row>
    <row r="7778" spans="2:4" ht="16" thickBot="1" x14ac:dyDescent="0.25">
      <c r="B7778" s="4">
        <v>7773</v>
      </c>
      <c r="C7778" s="10">
        <v>377.92747636463855</v>
      </c>
      <c r="D7778" s="42"/>
    </row>
    <row r="7779" spans="2:4" ht="16" thickBot="1" x14ac:dyDescent="0.25">
      <c r="B7779" s="5">
        <v>7774</v>
      </c>
      <c r="C7779" s="11">
        <v>162.51879359346711</v>
      </c>
      <c r="D7779" s="42"/>
    </row>
    <row r="7780" spans="2:4" ht="16" thickBot="1" x14ac:dyDescent="0.25">
      <c r="B7780" s="4">
        <v>7775</v>
      </c>
      <c r="C7780" s="10">
        <v>165.22605439779485</v>
      </c>
      <c r="D7780" s="42"/>
    </row>
    <row r="7781" spans="2:4" ht="16" thickBot="1" x14ac:dyDescent="0.25">
      <c r="B7781" s="5">
        <v>7776</v>
      </c>
      <c r="C7781" s="11">
        <v>440.27158018639443</v>
      </c>
      <c r="D7781" s="42"/>
    </row>
    <row r="7782" spans="2:4" ht="16" thickBot="1" x14ac:dyDescent="0.25">
      <c r="B7782" s="4">
        <v>7777</v>
      </c>
      <c r="C7782" s="10">
        <v>189.91376517647311</v>
      </c>
      <c r="D7782" s="42"/>
    </row>
    <row r="7783" spans="2:4" ht="16" thickBot="1" x14ac:dyDescent="0.25">
      <c r="B7783" s="5">
        <v>7778</v>
      </c>
      <c r="C7783" s="11">
        <v>182.36811313623667</v>
      </c>
      <c r="D7783" s="42"/>
    </row>
    <row r="7784" spans="2:4" ht="16" thickBot="1" x14ac:dyDescent="0.25">
      <c r="B7784" s="4">
        <v>7779</v>
      </c>
      <c r="C7784" s="10">
        <v>588.89131304778221</v>
      </c>
      <c r="D7784" s="42"/>
    </row>
    <row r="7785" spans="2:4" ht="16" thickBot="1" x14ac:dyDescent="0.25">
      <c r="B7785" s="5">
        <v>7780</v>
      </c>
      <c r="C7785" s="11">
        <v>205.65629333094518</v>
      </c>
      <c r="D7785" s="42"/>
    </row>
    <row r="7786" spans="2:4" ht="16" thickBot="1" x14ac:dyDescent="0.25">
      <c r="B7786" s="4">
        <v>7781</v>
      </c>
      <c r="C7786" s="10">
        <v>111.50891757638415</v>
      </c>
      <c r="D7786" s="42"/>
    </row>
    <row r="7787" spans="2:4" ht="16" thickBot="1" x14ac:dyDescent="0.25">
      <c r="B7787" s="5">
        <v>7782</v>
      </c>
      <c r="C7787" s="11">
        <v>252.65475633185966</v>
      </c>
      <c r="D7787" s="42"/>
    </row>
    <row r="7788" spans="2:4" ht="16" thickBot="1" x14ac:dyDescent="0.25">
      <c r="B7788" s="4">
        <v>7783</v>
      </c>
      <c r="C7788" s="10">
        <v>374.19488017375903</v>
      </c>
      <c r="D7788" s="42"/>
    </row>
    <row r="7789" spans="2:4" ht="16" thickBot="1" x14ac:dyDescent="0.25">
      <c r="B7789" s="5">
        <v>7784</v>
      </c>
      <c r="C7789" s="11">
        <v>487.60664019672572</v>
      </c>
      <c r="D7789" s="42"/>
    </row>
    <row r="7790" spans="2:4" ht="16" thickBot="1" x14ac:dyDescent="0.25">
      <c r="B7790" s="4">
        <v>7785</v>
      </c>
      <c r="C7790" s="10">
        <v>204.34624506922387</v>
      </c>
      <c r="D7790" s="42"/>
    </row>
    <row r="7791" spans="2:4" ht="16" thickBot="1" x14ac:dyDescent="0.25">
      <c r="B7791" s="5">
        <v>7786</v>
      </c>
      <c r="C7791" s="11">
        <v>341.38372030668609</v>
      </c>
      <c r="D7791" s="42"/>
    </row>
    <row r="7792" spans="2:4" ht="16" thickBot="1" x14ac:dyDescent="0.25">
      <c r="B7792" s="4">
        <v>7787</v>
      </c>
      <c r="C7792" s="10">
        <v>141.10208957315865</v>
      </c>
      <c r="D7792" s="42"/>
    </row>
    <row r="7793" spans="2:4" ht="16" thickBot="1" x14ac:dyDescent="0.25">
      <c r="B7793" s="5">
        <v>7788</v>
      </c>
      <c r="C7793" s="11">
        <v>223.0016381557333</v>
      </c>
      <c r="D7793" s="42"/>
    </row>
    <row r="7794" spans="2:4" ht="16" thickBot="1" x14ac:dyDescent="0.25">
      <c r="B7794" s="4">
        <v>7789</v>
      </c>
      <c r="C7794" s="10">
        <v>124.77463089429791</v>
      </c>
      <c r="D7794" s="42"/>
    </row>
    <row r="7795" spans="2:4" ht="16" thickBot="1" x14ac:dyDescent="0.25">
      <c r="B7795" s="5">
        <v>7790</v>
      </c>
      <c r="C7795" s="11">
        <v>356.97271305727742</v>
      </c>
      <c r="D7795" s="42"/>
    </row>
    <row r="7796" spans="2:4" ht="16" thickBot="1" x14ac:dyDescent="0.25">
      <c r="B7796" s="4">
        <v>7791</v>
      </c>
      <c r="C7796" s="10">
        <v>264.81140582720644</v>
      </c>
      <c r="D7796" s="42"/>
    </row>
    <row r="7797" spans="2:4" ht="16" thickBot="1" x14ac:dyDescent="0.25">
      <c r="B7797" s="5">
        <v>7792</v>
      </c>
      <c r="C7797" s="11">
        <v>253.88591413501715</v>
      </c>
      <c r="D7797" s="42"/>
    </row>
    <row r="7798" spans="2:4" ht="16" thickBot="1" x14ac:dyDescent="0.25">
      <c r="B7798" s="4">
        <v>7793</v>
      </c>
      <c r="C7798" s="10">
        <v>184.02898227456046</v>
      </c>
      <c r="D7798" s="42"/>
    </row>
    <row r="7799" spans="2:4" ht="16" thickBot="1" x14ac:dyDescent="0.25">
      <c r="B7799" s="5">
        <v>7794</v>
      </c>
      <c r="C7799" s="11">
        <v>651.13889050941259</v>
      </c>
      <c r="D7799" s="42"/>
    </row>
    <row r="7800" spans="2:4" ht="16" thickBot="1" x14ac:dyDescent="0.25">
      <c r="B7800" s="4">
        <v>7795</v>
      </c>
      <c r="C7800" s="10">
        <v>287.53948502172784</v>
      </c>
      <c r="D7800" s="42"/>
    </row>
    <row r="7801" spans="2:4" ht="16" thickBot="1" x14ac:dyDescent="0.25">
      <c r="B7801" s="5">
        <v>7796</v>
      </c>
      <c r="C7801" s="11">
        <v>254.42348300295234</v>
      </c>
      <c r="D7801" s="42"/>
    </row>
    <row r="7802" spans="2:4" ht="16" thickBot="1" x14ac:dyDescent="0.25">
      <c r="B7802" s="4">
        <v>7797</v>
      </c>
      <c r="C7802" s="10">
        <v>205.72581289700142</v>
      </c>
      <c r="D7802" s="42"/>
    </row>
    <row r="7803" spans="2:4" ht="16" thickBot="1" x14ac:dyDescent="0.25">
      <c r="B7803" s="5">
        <v>7798</v>
      </c>
      <c r="C7803" s="11">
        <v>369.0962247975491</v>
      </c>
      <c r="D7803" s="42"/>
    </row>
    <row r="7804" spans="2:4" ht="16" thickBot="1" x14ac:dyDescent="0.25">
      <c r="B7804" s="4">
        <v>7799</v>
      </c>
      <c r="C7804" s="10">
        <v>286.73454372479682</v>
      </c>
      <c r="D7804" s="42"/>
    </row>
    <row r="7805" spans="2:4" ht="16" thickBot="1" x14ac:dyDescent="0.25">
      <c r="B7805" s="5">
        <v>7800</v>
      </c>
      <c r="C7805" s="11">
        <v>259.55837115078026</v>
      </c>
      <c r="D7805" s="42"/>
    </row>
    <row r="7806" spans="2:4" ht="16" thickBot="1" x14ac:dyDescent="0.25">
      <c r="B7806" s="4">
        <v>7801</v>
      </c>
      <c r="C7806" s="10">
        <v>228.80895451034681</v>
      </c>
      <c r="D7806" s="42"/>
    </row>
    <row r="7807" spans="2:4" ht="16" thickBot="1" x14ac:dyDescent="0.25">
      <c r="B7807" s="5">
        <v>7802</v>
      </c>
      <c r="C7807" s="11">
        <v>200.93982500579648</v>
      </c>
      <c r="D7807" s="42"/>
    </row>
    <row r="7808" spans="2:4" ht="16" thickBot="1" x14ac:dyDescent="0.25">
      <c r="B7808" s="4">
        <v>7803</v>
      </c>
      <c r="C7808" s="10">
        <v>125.22490300027526</v>
      </c>
      <c r="D7808" s="42"/>
    </row>
    <row r="7809" spans="2:4" ht="16" thickBot="1" x14ac:dyDescent="0.25">
      <c r="B7809" s="5">
        <v>7804</v>
      </c>
      <c r="C7809" s="11">
        <v>478.55026048682481</v>
      </c>
      <c r="D7809" s="42"/>
    </row>
    <row r="7810" spans="2:4" ht="16" thickBot="1" x14ac:dyDescent="0.25">
      <c r="B7810" s="4">
        <v>7805</v>
      </c>
      <c r="C7810" s="10">
        <v>202.03932756390134</v>
      </c>
      <c r="D7810" s="42"/>
    </row>
    <row r="7811" spans="2:4" ht="16" thickBot="1" x14ac:dyDescent="0.25">
      <c r="B7811" s="5">
        <v>7806</v>
      </c>
      <c r="C7811" s="11">
        <v>131.19911737424741</v>
      </c>
      <c r="D7811" s="42"/>
    </row>
    <row r="7812" spans="2:4" ht="16" thickBot="1" x14ac:dyDescent="0.25">
      <c r="B7812" s="4">
        <v>7807</v>
      </c>
      <c r="C7812" s="10">
        <v>413.05179145180654</v>
      </c>
      <c r="D7812" s="42"/>
    </row>
    <row r="7813" spans="2:4" ht="16" thickBot="1" x14ac:dyDescent="0.25">
      <c r="B7813" s="5">
        <v>7808</v>
      </c>
      <c r="C7813" s="11">
        <v>267.24827871212159</v>
      </c>
      <c r="D7813" s="42"/>
    </row>
    <row r="7814" spans="2:4" ht="16" thickBot="1" x14ac:dyDescent="0.25">
      <c r="B7814" s="4">
        <v>7809</v>
      </c>
      <c r="C7814" s="10">
        <v>440.85867022372162</v>
      </c>
      <c r="D7814" s="42"/>
    </row>
    <row r="7815" spans="2:4" ht="16" thickBot="1" x14ac:dyDescent="0.25">
      <c r="B7815" s="5">
        <v>7810</v>
      </c>
      <c r="C7815" s="11">
        <v>268.9583990849585</v>
      </c>
      <c r="D7815" s="42"/>
    </row>
    <row r="7816" spans="2:4" ht="16" thickBot="1" x14ac:dyDescent="0.25">
      <c r="B7816" s="4">
        <v>7811</v>
      </c>
      <c r="C7816" s="10">
        <v>70.25214775266393</v>
      </c>
      <c r="D7816" s="42"/>
    </row>
    <row r="7817" spans="2:4" ht="16" thickBot="1" x14ac:dyDescent="0.25">
      <c r="B7817" s="5">
        <v>7812</v>
      </c>
      <c r="C7817" s="11">
        <v>70.058215456546861</v>
      </c>
      <c r="D7817" s="42"/>
    </row>
    <row r="7818" spans="2:4" ht="16" thickBot="1" x14ac:dyDescent="0.25">
      <c r="B7818" s="4">
        <v>7813</v>
      </c>
      <c r="C7818" s="10">
        <v>373.09464920770927</v>
      </c>
      <c r="D7818" s="42"/>
    </row>
    <row r="7819" spans="2:4" ht="16" thickBot="1" x14ac:dyDescent="0.25">
      <c r="B7819" s="5">
        <v>7814</v>
      </c>
      <c r="C7819" s="11">
        <v>63.030723091518283</v>
      </c>
      <c r="D7819" s="42"/>
    </row>
    <row r="7820" spans="2:4" ht="16" thickBot="1" x14ac:dyDescent="0.25">
      <c r="B7820" s="4">
        <v>7815</v>
      </c>
      <c r="C7820" s="10">
        <v>236.29778819309757</v>
      </c>
      <c r="D7820" s="42"/>
    </row>
    <row r="7821" spans="2:4" ht="16" thickBot="1" x14ac:dyDescent="0.25">
      <c r="B7821" s="5">
        <v>7816</v>
      </c>
      <c r="C7821" s="11">
        <v>428.69539849932056</v>
      </c>
      <c r="D7821" s="42"/>
    </row>
    <row r="7822" spans="2:4" ht="16" thickBot="1" x14ac:dyDescent="0.25">
      <c r="B7822" s="4">
        <v>7817</v>
      </c>
      <c r="C7822" s="10">
        <v>640.44483933497236</v>
      </c>
      <c r="D7822" s="42"/>
    </row>
    <row r="7823" spans="2:4" ht="16" thickBot="1" x14ac:dyDescent="0.25">
      <c r="B7823" s="5">
        <v>7818</v>
      </c>
      <c r="C7823" s="11">
        <v>454.93120906267046</v>
      </c>
      <c r="D7823" s="42"/>
    </row>
    <row r="7824" spans="2:4" ht="16" thickBot="1" x14ac:dyDescent="0.25">
      <c r="B7824" s="4">
        <v>7819</v>
      </c>
      <c r="C7824" s="10">
        <v>333.91322646666845</v>
      </c>
      <c r="D7824" s="42"/>
    </row>
    <row r="7825" spans="2:4" ht="16" thickBot="1" x14ac:dyDescent="0.25">
      <c r="B7825" s="5">
        <v>7820</v>
      </c>
      <c r="C7825" s="11">
        <v>331.84789923032707</v>
      </c>
      <c r="D7825" s="42"/>
    </row>
    <row r="7826" spans="2:4" ht="16" thickBot="1" x14ac:dyDescent="0.25">
      <c r="B7826" s="4">
        <v>7821</v>
      </c>
      <c r="C7826" s="10">
        <v>157.12477042133099</v>
      </c>
      <c r="D7826" s="42"/>
    </row>
    <row r="7827" spans="2:4" ht="16" thickBot="1" x14ac:dyDescent="0.25">
      <c r="B7827" s="5">
        <v>7822</v>
      </c>
      <c r="C7827" s="11">
        <v>421.80510902922975</v>
      </c>
      <c r="D7827" s="42"/>
    </row>
    <row r="7828" spans="2:4" ht="16" thickBot="1" x14ac:dyDescent="0.25">
      <c r="B7828" s="4">
        <v>7823</v>
      </c>
      <c r="C7828" s="10">
        <v>182.53465376342234</v>
      </c>
      <c r="D7828" s="42"/>
    </row>
    <row r="7829" spans="2:4" ht="16" thickBot="1" x14ac:dyDescent="0.25">
      <c r="B7829" s="5">
        <v>7824</v>
      </c>
      <c r="C7829" s="11">
        <v>194.85231621046751</v>
      </c>
      <c r="D7829" s="42"/>
    </row>
    <row r="7830" spans="2:4" ht="16" thickBot="1" x14ac:dyDescent="0.25">
      <c r="B7830" s="4">
        <v>7825</v>
      </c>
      <c r="C7830" s="10">
        <v>220.37495132775703</v>
      </c>
      <c r="D7830" s="42"/>
    </row>
    <row r="7831" spans="2:4" ht="16" thickBot="1" x14ac:dyDescent="0.25">
      <c r="B7831" s="5">
        <v>7826</v>
      </c>
      <c r="C7831" s="11">
        <v>361.44322369557671</v>
      </c>
      <c r="D7831" s="42"/>
    </row>
    <row r="7832" spans="2:4" ht="16" thickBot="1" x14ac:dyDescent="0.25">
      <c r="B7832" s="4">
        <v>7827</v>
      </c>
      <c r="C7832" s="10">
        <v>481.84272018614189</v>
      </c>
      <c r="D7832" s="42"/>
    </row>
    <row r="7833" spans="2:4" ht="16" thickBot="1" x14ac:dyDescent="0.25">
      <c r="B7833" s="5">
        <v>7828</v>
      </c>
      <c r="C7833" s="11">
        <v>366.40996113913911</v>
      </c>
      <c r="D7833" s="42"/>
    </row>
    <row r="7834" spans="2:4" ht="16" thickBot="1" x14ac:dyDescent="0.25">
      <c r="B7834" s="4">
        <v>7829</v>
      </c>
      <c r="C7834" s="10">
        <v>295.70063946351951</v>
      </c>
      <c r="D7834" s="42"/>
    </row>
    <row r="7835" spans="2:4" ht="16" thickBot="1" x14ac:dyDescent="0.25">
      <c r="B7835" s="5">
        <v>7830</v>
      </c>
      <c r="C7835" s="11">
        <v>386.04259877101265</v>
      </c>
      <c r="D7835" s="42"/>
    </row>
    <row r="7836" spans="2:4" ht="16" thickBot="1" x14ac:dyDescent="0.25">
      <c r="B7836" s="4">
        <v>7831</v>
      </c>
      <c r="C7836" s="10">
        <v>265.27522634653462</v>
      </c>
      <c r="D7836" s="42"/>
    </row>
    <row r="7837" spans="2:4" ht="16" thickBot="1" x14ac:dyDescent="0.25">
      <c r="B7837" s="5">
        <v>7832</v>
      </c>
      <c r="C7837" s="11">
        <v>121.36089419080307</v>
      </c>
      <c r="D7837" s="42"/>
    </row>
    <row r="7838" spans="2:4" ht="16" thickBot="1" x14ac:dyDescent="0.25">
      <c r="B7838" s="4">
        <v>7833</v>
      </c>
      <c r="C7838" s="10">
        <v>268.23756915701648</v>
      </c>
      <c r="D7838" s="42"/>
    </row>
    <row r="7839" spans="2:4" ht="16" thickBot="1" x14ac:dyDescent="0.25">
      <c r="B7839" s="5">
        <v>7834</v>
      </c>
      <c r="C7839" s="11">
        <v>303.25715205417572</v>
      </c>
      <c r="D7839" s="42"/>
    </row>
    <row r="7840" spans="2:4" ht="16" thickBot="1" x14ac:dyDescent="0.25">
      <c r="B7840" s="4">
        <v>7835</v>
      </c>
      <c r="C7840" s="10">
        <v>216.79310130657751</v>
      </c>
      <c r="D7840" s="42"/>
    </row>
    <row r="7841" spans="2:4" ht="16" thickBot="1" x14ac:dyDescent="0.25">
      <c r="B7841" s="5">
        <v>7836</v>
      </c>
      <c r="C7841" s="11">
        <v>336.01969180118465</v>
      </c>
      <c r="D7841" s="42"/>
    </row>
    <row r="7842" spans="2:4" ht="16" thickBot="1" x14ac:dyDescent="0.25">
      <c r="B7842" s="4">
        <v>7837</v>
      </c>
      <c r="C7842" s="10">
        <v>578.53288895168953</v>
      </c>
      <c r="D7842" s="42"/>
    </row>
    <row r="7843" spans="2:4" ht="16" thickBot="1" x14ac:dyDescent="0.25">
      <c r="B7843" s="5">
        <v>7838</v>
      </c>
      <c r="C7843" s="11">
        <v>99.862406190886304</v>
      </c>
      <c r="D7843" s="42"/>
    </row>
    <row r="7844" spans="2:4" ht="16" thickBot="1" x14ac:dyDescent="0.25">
      <c r="B7844" s="4">
        <v>7839</v>
      </c>
      <c r="C7844" s="10">
        <v>93.50177182184683</v>
      </c>
      <c r="D7844" s="42"/>
    </row>
    <row r="7845" spans="2:4" ht="16" thickBot="1" x14ac:dyDescent="0.25">
      <c r="B7845" s="5">
        <v>7840</v>
      </c>
      <c r="C7845" s="11">
        <v>147.45529690832669</v>
      </c>
      <c r="D7845" s="42"/>
    </row>
    <row r="7846" spans="2:4" ht="16" thickBot="1" x14ac:dyDescent="0.25">
      <c r="B7846" s="4">
        <v>7841</v>
      </c>
      <c r="C7846" s="10">
        <v>613.61106540076571</v>
      </c>
      <c r="D7846" s="42"/>
    </row>
    <row r="7847" spans="2:4" ht="16" thickBot="1" x14ac:dyDescent="0.25">
      <c r="B7847" s="5">
        <v>7842</v>
      </c>
      <c r="C7847" s="11">
        <v>98.064244327333654</v>
      </c>
      <c r="D7847" s="42"/>
    </row>
    <row r="7848" spans="2:4" ht="16" thickBot="1" x14ac:dyDescent="0.25">
      <c r="B7848" s="4">
        <v>7843</v>
      </c>
      <c r="C7848" s="10">
        <v>367.35924583559046</v>
      </c>
      <c r="D7848" s="42"/>
    </row>
    <row r="7849" spans="2:4" ht="16" thickBot="1" x14ac:dyDescent="0.25">
      <c r="B7849" s="5">
        <v>7844</v>
      </c>
      <c r="C7849" s="11">
        <v>87.928544121996524</v>
      </c>
      <c r="D7849" s="42"/>
    </row>
    <row r="7850" spans="2:4" ht="16" thickBot="1" x14ac:dyDescent="0.25">
      <c r="B7850" s="4">
        <v>7845</v>
      </c>
      <c r="C7850" s="10">
        <v>126.11929194966268</v>
      </c>
      <c r="D7850" s="42"/>
    </row>
    <row r="7851" spans="2:4" ht="16" thickBot="1" x14ac:dyDescent="0.25">
      <c r="B7851" s="5">
        <v>7846</v>
      </c>
      <c r="C7851" s="11">
        <v>335.61847900058632</v>
      </c>
      <c r="D7851" s="42"/>
    </row>
    <row r="7852" spans="2:4" ht="16" thickBot="1" x14ac:dyDescent="0.25">
      <c r="B7852" s="4">
        <v>7847</v>
      </c>
      <c r="C7852" s="10">
        <v>548.3643634852516</v>
      </c>
      <c r="D7852" s="42"/>
    </row>
    <row r="7853" spans="2:4" ht="16" thickBot="1" x14ac:dyDescent="0.25">
      <c r="B7853" s="5">
        <v>7848</v>
      </c>
      <c r="C7853" s="11">
        <v>84.740010908603878</v>
      </c>
      <c r="D7853" s="42"/>
    </row>
    <row r="7854" spans="2:4" ht="16" thickBot="1" x14ac:dyDescent="0.25">
      <c r="B7854" s="4">
        <v>7849</v>
      </c>
      <c r="C7854" s="10">
        <v>118.78361109864345</v>
      </c>
      <c r="D7854" s="42"/>
    </row>
    <row r="7855" spans="2:4" ht="16" thickBot="1" x14ac:dyDescent="0.25">
      <c r="B7855" s="5">
        <v>7850</v>
      </c>
      <c r="C7855" s="11">
        <v>375.36613188925736</v>
      </c>
      <c r="D7855" s="42"/>
    </row>
    <row r="7856" spans="2:4" ht="16" thickBot="1" x14ac:dyDescent="0.25">
      <c r="B7856" s="4">
        <v>7851</v>
      </c>
      <c r="C7856" s="10">
        <v>352.2650691117621</v>
      </c>
      <c r="D7856" s="42"/>
    </row>
    <row r="7857" spans="2:4" ht="16" thickBot="1" x14ac:dyDescent="0.25">
      <c r="B7857" s="5">
        <v>7852</v>
      </c>
      <c r="C7857" s="11">
        <v>222.77859144288183</v>
      </c>
      <c r="D7857" s="42"/>
    </row>
    <row r="7858" spans="2:4" ht="16" thickBot="1" x14ac:dyDescent="0.25">
      <c r="B7858" s="4">
        <v>7853</v>
      </c>
      <c r="C7858" s="10">
        <v>307.18655258561654</v>
      </c>
      <c r="D7858" s="42"/>
    </row>
    <row r="7859" spans="2:4" ht="16" thickBot="1" x14ac:dyDescent="0.25">
      <c r="B7859" s="5">
        <v>7854</v>
      </c>
      <c r="C7859" s="11">
        <v>251.29868387375581</v>
      </c>
      <c r="D7859" s="42"/>
    </row>
    <row r="7860" spans="2:4" ht="16" thickBot="1" x14ac:dyDescent="0.25">
      <c r="B7860" s="4">
        <v>7855</v>
      </c>
      <c r="C7860" s="10">
        <v>149.45383727155726</v>
      </c>
      <c r="D7860" s="42"/>
    </row>
    <row r="7861" spans="2:4" ht="16" thickBot="1" x14ac:dyDescent="0.25">
      <c r="B7861" s="5">
        <v>7856</v>
      </c>
      <c r="C7861" s="11">
        <v>366.32215248380186</v>
      </c>
      <c r="D7861" s="42"/>
    </row>
    <row r="7862" spans="2:4" ht="16" thickBot="1" x14ac:dyDescent="0.25">
      <c r="B7862" s="4">
        <v>7857</v>
      </c>
      <c r="C7862" s="10">
        <v>392.63464752458935</v>
      </c>
      <c r="D7862" s="42"/>
    </row>
    <row r="7863" spans="2:4" ht="16" thickBot="1" x14ac:dyDescent="0.25">
      <c r="B7863" s="5">
        <v>7858</v>
      </c>
      <c r="C7863" s="11">
        <v>266.12622656624342</v>
      </c>
      <c r="D7863" s="42"/>
    </row>
    <row r="7864" spans="2:4" ht="16" thickBot="1" x14ac:dyDescent="0.25">
      <c r="B7864" s="4">
        <v>7859</v>
      </c>
      <c r="C7864" s="10">
        <v>385.21455427139131</v>
      </c>
      <c r="D7864" s="42"/>
    </row>
    <row r="7865" spans="2:4" ht="16" thickBot="1" x14ac:dyDescent="0.25">
      <c r="B7865" s="5">
        <v>7860</v>
      </c>
      <c r="C7865" s="11">
        <v>122.56278403138624</v>
      </c>
      <c r="D7865" s="42"/>
    </row>
    <row r="7866" spans="2:4" ht="16" thickBot="1" x14ac:dyDescent="0.25">
      <c r="B7866" s="4">
        <v>7861</v>
      </c>
      <c r="C7866" s="10">
        <v>348.41717386245358</v>
      </c>
      <c r="D7866" s="42"/>
    </row>
    <row r="7867" spans="2:4" ht="16" thickBot="1" x14ac:dyDescent="0.25">
      <c r="B7867" s="5">
        <v>7862</v>
      </c>
      <c r="C7867" s="11">
        <v>77.782457563217463</v>
      </c>
      <c r="D7867" s="42"/>
    </row>
    <row r="7868" spans="2:4" ht="16" thickBot="1" x14ac:dyDescent="0.25">
      <c r="B7868" s="4">
        <v>7863</v>
      </c>
      <c r="C7868" s="10">
        <v>207.24475774218533</v>
      </c>
      <c r="D7868" s="42"/>
    </row>
    <row r="7869" spans="2:4" ht="16" thickBot="1" x14ac:dyDescent="0.25">
      <c r="B7869" s="5">
        <v>7864</v>
      </c>
      <c r="C7869" s="11">
        <v>811.69292264256433</v>
      </c>
      <c r="D7869" s="42"/>
    </row>
    <row r="7870" spans="2:4" ht="16" thickBot="1" x14ac:dyDescent="0.25">
      <c r="B7870" s="4">
        <v>7865</v>
      </c>
      <c r="C7870" s="10">
        <v>185.77067964898899</v>
      </c>
      <c r="D7870" s="42"/>
    </row>
    <row r="7871" spans="2:4" ht="16" thickBot="1" x14ac:dyDescent="0.25">
      <c r="B7871" s="5">
        <v>7866</v>
      </c>
      <c r="C7871" s="11">
        <v>265.87259552774424</v>
      </c>
      <c r="D7871" s="42"/>
    </row>
    <row r="7872" spans="2:4" ht="16" thickBot="1" x14ac:dyDescent="0.25">
      <c r="B7872" s="4">
        <v>7867</v>
      </c>
      <c r="C7872" s="10">
        <v>358.18578837037938</v>
      </c>
      <c r="D7872" s="42"/>
    </row>
    <row r="7873" spans="2:4" ht="16" thickBot="1" x14ac:dyDescent="0.25">
      <c r="B7873" s="5">
        <v>7868</v>
      </c>
      <c r="C7873" s="11">
        <v>127.01119325218471</v>
      </c>
      <c r="D7873" s="42"/>
    </row>
    <row r="7874" spans="2:4" ht="16" thickBot="1" x14ac:dyDescent="0.25">
      <c r="B7874" s="4">
        <v>7869</v>
      </c>
      <c r="C7874" s="10">
        <v>108.07016634984262</v>
      </c>
      <c r="D7874" s="42"/>
    </row>
    <row r="7875" spans="2:4" ht="16" thickBot="1" x14ac:dyDescent="0.25">
      <c r="B7875" s="5">
        <v>7870</v>
      </c>
      <c r="C7875" s="11">
        <v>147.09347506068113</v>
      </c>
      <c r="D7875" s="42"/>
    </row>
    <row r="7876" spans="2:4" ht="16" thickBot="1" x14ac:dyDescent="0.25">
      <c r="B7876" s="4">
        <v>7871</v>
      </c>
      <c r="C7876" s="10">
        <v>239.7731600766316</v>
      </c>
      <c r="D7876" s="42"/>
    </row>
    <row r="7877" spans="2:4" ht="16" thickBot="1" x14ac:dyDescent="0.25">
      <c r="B7877" s="5">
        <v>7872</v>
      </c>
      <c r="C7877" s="11">
        <v>106.2526088193609</v>
      </c>
      <c r="D7877" s="42"/>
    </row>
    <row r="7878" spans="2:4" ht="16" thickBot="1" x14ac:dyDescent="0.25">
      <c r="B7878" s="4">
        <v>7873</v>
      </c>
      <c r="C7878" s="10">
        <v>459.02795523751661</v>
      </c>
      <c r="D7878" s="42"/>
    </row>
    <row r="7879" spans="2:4" ht="16" thickBot="1" x14ac:dyDescent="0.25">
      <c r="B7879" s="5">
        <v>7874</v>
      </c>
      <c r="C7879" s="11">
        <v>463.78134468849623</v>
      </c>
      <c r="D7879" s="42"/>
    </row>
    <row r="7880" spans="2:4" ht="16" thickBot="1" x14ac:dyDescent="0.25">
      <c r="B7880" s="4">
        <v>7875</v>
      </c>
      <c r="C7880" s="10">
        <v>377.78344188576011</v>
      </c>
      <c r="D7880" s="42"/>
    </row>
    <row r="7881" spans="2:4" ht="16" thickBot="1" x14ac:dyDescent="0.25">
      <c r="B7881" s="5">
        <v>7876</v>
      </c>
      <c r="C7881" s="11">
        <v>557.71120396661092</v>
      </c>
      <c r="D7881" s="42"/>
    </row>
    <row r="7882" spans="2:4" ht="16" thickBot="1" x14ac:dyDescent="0.25">
      <c r="B7882" s="4">
        <v>7877</v>
      </c>
      <c r="C7882" s="10">
        <v>211.56279474861054</v>
      </c>
      <c r="D7882" s="42"/>
    </row>
    <row r="7883" spans="2:4" ht="16" thickBot="1" x14ac:dyDescent="0.25">
      <c r="B7883" s="5">
        <v>7878</v>
      </c>
      <c r="C7883" s="11">
        <v>310.44483136226324</v>
      </c>
      <c r="D7883" s="42"/>
    </row>
    <row r="7884" spans="2:4" ht="16" thickBot="1" x14ac:dyDescent="0.25">
      <c r="B7884" s="4">
        <v>7879</v>
      </c>
      <c r="C7884" s="10">
        <v>394.35138683766672</v>
      </c>
      <c r="D7884" s="42"/>
    </row>
    <row r="7885" spans="2:4" ht="16" thickBot="1" x14ac:dyDescent="0.25">
      <c r="B7885" s="5">
        <v>7880</v>
      </c>
      <c r="C7885" s="11">
        <v>282.79749177490169</v>
      </c>
      <c r="D7885" s="42"/>
    </row>
    <row r="7886" spans="2:4" ht="16" thickBot="1" x14ac:dyDescent="0.25">
      <c r="B7886" s="4">
        <v>7881</v>
      </c>
      <c r="C7886" s="10">
        <v>159.7684686959615</v>
      </c>
      <c r="D7886" s="42"/>
    </row>
    <row r="7887" spans="2:4" ht="16" thickBot="1" x14ac:dyDescent="0.25">
      <c r="B7887" s="5">
        <v>7882</v>
      </c>
      <c r="C7887" s="11">
        <v>215.14508159233583</v>
      </c>
      <c r="D7887" s="42"/>
    </row>
    <row r="7888" spans="2:4" ht="16" thickBot="1" x14ac:dyDescent="0.25">
      <c r="B7888" s="4">
        <v>7883</v>
      </c>
      <c r="C7888" s="10">
        <v>61.538554193202678</v>
      </c>
      <c r="D7888" s="42"/>
    </row>
    <row r="7889" spans="2:4" ht="16" thickBot="1" x14ac:dyDescent="0.25">
      <c r="B7889" s="5">
        <v>7884</v>
      </c>
      <c r="C7889" s="11">
        <v>208.64043378129563</v>
      </c>
      <c r="D7889" s="42"/>
    </row>
    <row r="7890" spans="2:4" ht="16" thickBot="1" x14ac:dyDescent="0.25">
      <c r="B7890" s="4">
        <v>7885</v>
      </c>
      <c r="C7890" s="10">
        <v>274.61446035528121</v>
      </c>
      <c r="D7890" s="42"/>
    </row>
    <row r="7891" spans="2:4" ht="16" thickBot="1" x14ac:dyDescent="0.25">
      <c r="B7891" s="5">
        <v>7886</v>
      </c>
      <c r="C7891" s="11">
        <v>145.39702158950877</v>
      </c>
      <c r="D7891" s="42"/>
    </row>
    <row r="7892" spans="2:4" ht="16" thickBot="1" x14ac:dyDescent="0.25">
      <c r="B7892" s="4">
        <v>7887</v>
      </c>
      <c r="C7892" s="10">
        <v>256.14041296638021</v>
      </c>
      <c r="D7892" s="42"/>
    </row>
    <row r="7893" spans="2:4" ht="16" thickBot="1" x14ac:dyDescent="0.25">
      <c r="B7893" s="5">
        <v>7888</v>
      </c>
      <c r="C7893" s="11">
        <v>315.13799147060314</v>
      </c>
      <c r="D7893" s="42"/>
    </row>
    <row r="7894" spans="2:4" ht="16" thickBot="1" x14ac:dyDescent="0.25">
      <c r="B7894" s="4">
        <v>7889</v>
      </c>
      <c r="C7894" s="10">
        <v>215.13022445410778</v>
      </c>
      <c r="D7894" s="42"/>
    </row>
    <row r="7895" spans="2:4" ht="16" thickBot="1" x14ac:dyDescent="0.25">
      <c r="B7895" s="5">
        <v>7890</v>
      </c>
      <c r="C7895" s="11">
        <v>292.61204373067432</v>
      </c>
      <c r="D7895" s="42"/>
    </row>
    <row r="7896" spans="2:4" ht="16" thickBot="1" x14ac:dyDescent="0.25">
      <c r="B7896" s="4">
        <v>7891</v>
      </c>
      <c r="C7896" s="10">
        <v>191.28821265679994</v>
      </c>
      <c r="D7896" s="42"/>
    </row>
    <row r="7897" spans="2:4" ht="16" thickBot="1" x14ac:dyDescent="0.25">
      <c r="B7897" s="5">
        <v>7892</v>
      </c>
      <c r="C7897" s="11">
        <v>157.65386936580646</v>
      </c>
      <c r="D7897" s="42"/>
    </row>
    <row r="7898" spans="2:4" ht="16" thickBot="1" x14ac:dyDescent="0.25">
      <c r="B7898" s="4">
        <v>7893</v>
      </c>
      <c r="C7898" s="10">
        <v>139.02951255596031</v>
      </c>
      <c r="D7898" s="42"/>
    </row>
    <row r="7899" spans="2:4" ht="16" thickBot="1" x14ac:dyDescent="0.25">
      <c r="B7899" s="5">
        <v>7894</v>
      </c>
      <c r="C7899" s="11">
        <v>136.00935580658276</v>
      </c>
      <c r="D7899" s="42"/>
    </row>
    <row r="7900" spans="2:4" ht="16" thickBot="1" x14ac:dyDescent="0.25">
      <c r="B7900" s="4">
        <v>7895</v>
      </c>
      <c r="C7900" s="10">
        <v>502.4750811448169</v>
      </c>
      <c r="D7900" s="42"/>
    </row>
    <row r="7901" spans="2:4" ht="16" thickBot="1" x14ac:dyDescent="0.25">
      <c r="B7901" s="5">
        <v>7896</v>
      </c>
      <c r="C7901" s="11">
        <v>85.625548276404857</v>
      </c>
      <c r="D7901" s="42"/>
    </row>
    <row r="7902" spans="2:4" ht="16" thickBot="1" x14ac:dyDescent="0.25">
      <c r="B7902" s="4">
        <v>7897</v>
      </c>
      <c r="C7902" s="10">
        <v>223.02013920472541</v>
      </c>
      <c r="D7902" s="42"/>
    </row>
    <row r="7903" spans="2:4" ht="16" thickBot="1" x14ac:dyDescent="0.25">
      <c r="B7903" s="5">
        <v>7898</v>
      </c>
      <c r="C7903" s="11">
        <v>212.51791568197143</v>
      </c>
      <c r="D7903" s="42"/>
    </row>
    <row r="7904" spans="2:4" ht="16" thickBot="1" x14ac:dyDescent="0.25">
      <c r="B7904" s="4">
        <v>7899</v>
      </c>
      <c r="C7904" s="10">
        <v>227.84181554698921</v>
      </c>
      <c r="D7904" s="42"/>
    </row>
    <row r="7905" spans="2:4" ht="16" thickBot="1" x14ac:dyDescent="0.25">
      <c r="B7905" s="5">
        <v>7900</v>
      </c>
      <c r="C7905" s="11">
        <v>332.24618621685391</v>
      </c>
      <c r="D7905" s="42"/>
    </row>
    <row r="7906" spans="2:4" ht="16" thickBot="1" x14ac:dyDescent="0.25">
      <c r="B7906" s="4">
        <v>7901</v>
      </c>
      <c r="C7906" s="10">
        <v>251.99295278705014</v>
      </c>
      <c r="D7906" s="42"/>
    </row>
    <row r="7907" spans="2:4" ht="16" thickBot="1" x14ac:dyDescent="0.25">
      <c r="B7907" s="5">
        <v>7902</v>
      </c>
      <c r="C7907" s="11">
        <v>509.56719307526703</v>
      </c>
      <c r="D7907" s="42"/>
    </row>
    <row r="7908" spans="2:4" ht="16" thickBot="1" x14ac:dyDescent="0.25">
      <c r="B7908" s="4">
        <v>7903</v>
      </c>
      <c r="C7908" s="10">
        <v>260.39932018127524</v>
      </c>
      <c r="D7908" s="42"/>
    </row>
    <row r="7909" spans="2:4" ht="16" thickBot="1" x14ac:dyDescent="0.25">
      <c r="B7909" s="5">
        <v>7904</v>
      </c>
      <c r="C7909" s="11">
        <v>629.51348202083091</v>
      </c>
      <c r="D7909" s="42"/>
    </row>
    <row r="7910" spans="2:4" ht="16" thickBot="1" x14ac:dyDescent="0.25">
      <c r="B7910" s="4">
        <v>7905</v>
      </c>
      <c r="C7910" s="10">
        <v>998.14237865087887</v>
      </c>
      <c r="D7910" s="42"/>
    </row>
    <row r="7911" spans="2:4" ht="16" thickBot="1" x14ac:dyDescent="0.25">
      <c r="B7911" s="5">
        <v>7906</v>
      </c>
      <c r="C7911" s="11">
        <v>247.66360914962732</v>
      </c>
      <c r="D7911" s="42"/>
    </row>
    <row r="7912" spans="2:4" ht="16" thickBot="1" x14ac:dyDescent="0.25">
      <c r="B7912" s="4">
        <v>7907</v>
      </c>
      <c r="C7912" s="10">
        <v>310.22700186437277</v>
      </c>
      <c r="D7912" s="42"/>
    </row>
    <row r="7913" spans="2:4" ht="16" thickBot="1" x14ac:dyDescent="0.25">
      <c r="B7913" s="5">
        <v>7908</v>
      </c>
      <c r="C7913" s="11">
        <v>134.05605249134382</v>
      </c>
      <c r="D7913" s="42"/>
    </row>
    <row r="7914" spans="2:4" ht="16" thickBot="1" x14ac:dyDescent="0.25">
      <c r="B7914" s="4">
        <v>7909</v>
      </c>
      <c r="C7914" s="10">
        <v>333.13427308520926</v>
      </c>
      <c r="D7914" s="42"/>
    </row>
    <row r="7915" spans="2:4" ht="16" thickBot="1" x14ac:dyDescent="0.25">
      <c r="B7915" s="5">
        <v>7910</v>
      </c>
      <c r="C7915" s="11">
        <v>557.64211473779915</v>
      </c>
      <c r="D7915" s="42"/>
    </row>
    <row r="7916" spans="2:4" ht="16" thickBot="1" x14ac:dyDescent="0.25">
      <c r="B7916" s="4">
        <v>7911</v>
      </c>
      <c r="C7916" s="10">
        <v>108.38655137068801</v>
      </c>
      <c r="D7916" s="42"/>
    </row>
    <row r="7917" spans="2:4" ht="16" thickBot="1" x14ac:dyDescent="0.25">
      <c r="B7917" s="5">
        <v>7912</v>
      </c>
      <c r="C7917" s="11">
        <v>708.93603435252328</v>
      </c>
      <c r="D7917" s="42"/>
    </row>
    <row r="7918" spans="2:4" ht="16" thickBot="1" x14ac:dyDescent="0.25">
      <c r="B7918" s="4">
        <v>7913</v>
      </c>
      <c r="C7918" s="10">
        <v>94.080055527376174</v>
      </c>
      <c r="D7918" s="42"/>
    </row>
    <row r="7919" spans="2:4" ht="16" thickBot="1" x14ac:dyDescent="0.25">
      <c r="B7919" s="5">
        <v>7914</v>
      </c>
      <c r="C7919" s="11">
        <v>137.88780204243668</v>
      </c>
      <c r="D7919" s="42"/>
    </row>
    <row r="7920" spans="2:4" ht="16" thickBot="1" x14ac:dyDescent="0.25">
      <c r="B7920" s="4">
        <v>7915</v>
      </c>
      <c r="C7920" s="10">
        <v>422.57193362739179</v>
      </c>
      <c r="D7920" s="42"/>
    </row>
    <row r="7921" spans="2:4" ht="16" thickBot="1" x14ac:dyDescent="0.25">
      <c r="B7921" s="5">
        <v>7916</v>
      </c>
      <c r="C7921" s="11">
        <v>260.68389430187648</v>
      </c>
      <c r="D7921" s="42"/>
    </row>
    <row r="7922" spans="2:4" ht="16" thickBot="1" x14ac:dyDescent="0.25">
      <c r="B7922" s="4">
        <v>7917</v>
      </c>
      <c r="C7922" s="10">
        <v>102.86587472087048</v>
      </c>
      <c r="D7922" s="42"/>
    </row>
    <row r="7923" spans="2:4" ht="16" thickBot="1" x14ac:dyDescent="0.25">
      <c r="B7923" s="5">
        <v>7918</v>
      </c>
      <c r="C7923" s="11">
        <v>163.12114427775438</v>
      </c>
      <c r="D7923" s="42"/>
    </row>
    <row r="7924" spans="2:4" ht="16" thickBot="1" x14ac:dyDescent="0.25">
      <c r="B7924" s="4">
        <v>7919</v>
      </c>
      <c r="C7924" s="10">
        <v>30.078501129868577</v>
      </c>
      <c r="D7924" s="42"/>
    </row>
    <row r="7925" spans="2:4" ht="16" thickBot="1" x14ac:dyDescent="0.25">
      <c r="B7925" s="5">
        <v>7920</v>
      </c>
      <c r="C7925" s="11">
        <v>261.09688868756353</v>
      </c>
      <c r="D7925" s="42"/>
    </row>
    <row r="7926" spans="2:4" ht="16" thickBot="1" x14ac:dyDescent="0.25">
      <c r="B7926" s="4">
        <v>7921</v>
      </c>
      <c r="C7926" s="10">
        <v>201.84128399991744</v>
      </c>
      <c r="D7926" s="42"/>
    </row>
    <row r="7927" spans="2:4" ht="16" thickBot="1" x14ac:dyDescent="0.25">
      <c r="B7927" s="5">
        <v>7922</v>
      </c>
      <c r="C7927" s="11">
        <v>341.69943327860386</v>
      </c>
      <c r="D7927" s="42"/>
    </row>
    <row r="7928" spans="2:4" ht="16" thickBot="1" x14ac:dyDescent="0.25">
      <c r="B7928" s="4">
        <v>7923</v>
      </c>
      <c r="C7928" s="10">
        <v>607.05234379285105</v>
      </c>
      <c r="D7928" s="42"/>
    </row>
    <row r="7929" spans="2:4" ht="16" thickBot="1" x14ac:dyDescent="0.25">
      <c r="B7929" s="5">
        <v>7924</v>
      </c>
      <c r="C7929" s="11">
        <v>383.47349742089852</v>
      </c>
      <c r="D7929" s="42"/>
    </row>
    <row r="7930" spans="2:4" ht="16" thickBot="1" x14ac:dyDescent="0.25">
      <c r="B7930" s="4">
        <v>7925</v>
      </c>
      <c r="C7930" s="10">
        <v>116.48177227741856</v>
      </c>
      <c r="D7930" s="42"/>
    </row>
    <row r="7931" spans="2:4" ht="16" thickBot="1" x14ac:dyDescent="0.25">
      <c r="B7931" s="5">
        <v>7926</v>
      </c>
      <c r="C7931" s="11">
        <v>228.87928332124071</v>
      </c>
      <c r="D7931" s="42"/>
    </row>
    <row r="7932" spans="2:4" ht="16" thickBot="1" x14ac:dyDescent="0.25">
      <c r="B7932" s="4">
        <v>7927</v>
      </c>
      <c r="C7932" s="10">
        <v>215.80254856777725</v>
      </c>
      <c r="D7932" s="42"/>
    </row>
    <row r="7933" spans="2:4" ht="16" thickBot="1" x14ac:dyDescent="0.25">
      <c r="B7933" s="5">
        <v>7928</v>
      </c>
      <c r="C7933" s="11">
        <v>252.3848825913135</v>
      </c>
      <c r="D7933" s="42"/>
    </row>
    <row r="7934" spans="2:4" ht="16" thickBot="1" x14ac:dyDescent="0.25">
      <c r="B7934" s="4">
        <v>7929</v>
      </c>
      <c r="C7934" s="10">
        <v>449.27607818964145</v>
      </c>
      <c r="D7934" s="42"/>
    </row>
    <row r="7935" spans="2:4" ht="16" thickBot="1" x14ac:dyDescent="0.25">
      <c r="B7935" s="5">
        <v>7930</v>
      </c>
      <c r="C7935" s="11">
        <v>373.43755654715204</v>
      </c>
      <c r="D7935" s="42"/>
    </row>
    <row r="7936" spans="2:4" ht="16" thickBot="1" x14ac:dyDescent="0.25">
      <c r="B7936" s="4">
        <v>7931</v>
      </c>
      <c r="C7936" s="10">
        <v>417.12106568012115</v>
      </c>
      <c r="D7936" s="42"/>
    </row>
    <row r="7937" spans="2:4" ht="16" thickBot="1" x14ac:dyDescent="0.25">
      <c r="B7937" s="5">
        <v>7932</v>
      </c>
      <c r="C7937" s="11">
        <v>207.33400293585964</v>
      </c>
      <c r="D7937" s="42"/>
    </row>
    <row r="7938" spans="2:4" ht="16" thickBot="1" x14ac:dyDescent="0.25">
      <c r="B7938" s="4">
        <v>7933</v>
      </c>
      <c r="C7938" s="10">
        <v>163.16551372872519</v>
      </c>
      <c r="D7938" s="42"/>
    </row>
    <row r="7939" spans="2:4" ht="16" thickBot="1" x14ac:dyDescent="0.25">
      <c r="B7939" s="5">
        <v>7934</v>
      </c>
      <c r="C7939" s="11">
        <v>424.03118124073472</v>
      </c>
      <c r="D7939" s="42"/>
    </row>
    <row r="7940" spans="2:4" ht="16" thickBot="1" x14ac:dyDescent="0.25">
      <c r="B7940" s="4">
        <v>7935</v>
      </c>
      <c r="C7940" s="10">
        <v>237.70155356410902</v>
      </c>
      <c r="D7940" s="42"/>
    </row>
    <row r="7941" spans="2:4" ht="16" thickBot="1" x14ac:dyDescent="0.25">
      <c r="B7941" s="5">
        <v>7936</v>
      </c>
      <c r="C7941" s="11">
        <v>172.98179814497414</v>
      </c>
      <c r="D7941" s="42"/>
    </row>
    <row r="7942" spans="2:4" ht="16" thickBot="1" x14ac:dyDescent="0.25">
      <c r="B7942" s="4">
        <v>7937</v>
      </c>
      <c r="C7942" s="10">
        <v>461.59411837874609</v>
      </c>
      <c r="D7942" s="42"/>
    </row>
    <row r="7943" spans="2:4" ht="16" thickBot="1" x14ac:dyDescent="0.25">
      <c r="B7943" s="5">
        <v>7938</v>
      </c>
      <c r="C7943" s="11">
        <v>330.82593455786758</v>
      </c>
      <c r="D7943" s="42"/>
    </row>
    <row r="7944" spans="2:4" ht="16" thickBot="1" x14ac:dyDescent="0.25">
      <c r="B7944" s="4">
        <v>7939</v>
      </c>
      <c r="C7944" s="10">
        <v>80.069410168381523</v>
      </c>
      <c r="D7944" s="42"/>
    </row>
    <row r="7945" spans="2:4" ht="16" thickBot="1" x14ac:dyDescent="0.25">
      <c r="B7945" s="5">
        <v>7940</v>
      </c>
      <c r="C7945" s="11">
        <v>655.08493791356682</v>
      </c>
      <c r="D7945" s="42"/>
    </row>
    <row r="7946" spans="2:4" ht="16" thickBot="1" x14ac:dyDescent="0.25">
      <c r="B7946" s="4">
        <v>7941</v>
      </c>
      <c r="C7946" s="10">
        <v>250.65030159569838</v>
      </c>
      <c r="D7946" s="42"/>
    </row>
    <row r="7947" spans="2:4" ht="16" thickBot="1" x14ac:dyDescent="0.25">
      <c r="B7947" s="5">
        <v>7942</v>
      </c>
      <c r="C7947" s="11">
        <v>158.49954499800876</v>
      </c>
      <c r="D7947" s="42"/>
    </row>
    <row r="7948" spans="2:4" ht="16" thickBot="1" x14ac:dyDescent="0.25">
      <c r="B7948" s="4">
        <v>7943</v>
      </c>
      <c r="C7948" s="10">
        <v>507.08365231397391</v>
      </c>
      <c r="D7948" s="42"/>
    </row>
    <row r="7949" spans="2:4" ht="16" thickBot="1" x14ac:dyDescent="0.25">
      <c r="B7949" s="5">
        <v>7944</v>
      </c>
      <c r="C7949" s="11">
        <v>214.52304679094146</v>
      </c>
      <c r="D7949" s="42"/>
    </row>
    <row r="7950" spans="2:4" ht="16" thickBot="1" x14ac:dyDescent="0.25">
      <c r="B7950" s="4">
        <v>7945</v>
      </c>
      <c r="C7950" s="10">
        <v>159.10463614663996</v>
      </c>
      <c r="D7950" s="42"/>
    </row>
    <row r="7951" spans="2:4" ht="16" thickBot="1" x14ac:dyDescent="0.25">
      <c r="B7951" s="5">
        <v>7946</v>
      </c>
      <c r="C7951" s="11">
        <v>462.88317018496315</v>
      </c>
      <c r="D7951" s="42"/>
    </row>
    <row r="7952" spans="2:4" ht="16" thickBot="1" x14ac:dyDescent="0.25">
      <c r="B7952" s="4">
        <v>7947</v>
      </c>
      <c r="C7952" s="10">
        <v>86.157011611721359</v>
      </c>
      <c r="D7952" s="42"/>
    </row>
    <row r="7953" spans="2:4" ht="16" thickBot="1" x14ac:dyDescent="0.25">
      <c r="B7953" s="5">
        <v>7948</v>
      </c>
      <c r="C7953" s="11">
        <v>518.68993937775781</v>
      </c>
      <c r="D7953" s="42"/>
    </row>
    <row r="7954" spans="2:4" ht="16" thickBot="1" x14ac:dyDescent="0.25">
      <c r="B7954" s="4">
        <v>7949</v>
      </c>
      <c r="C7954" s="10">
        <v>262.17814522387289</v>
      </c>
      <c r="D7954" s="42"/>
    </row>
    <row r="7955" spans="2:4" ht="16" thickBot="1" x14ac:dyDescent="0.25">
      <c r="B7955" s="5">
        <v>7950</v>
      </c>
      <c r="C7955" s="11">
        <v>60.67568710337644</v>
      </c>
      <c r="D7955" s="42"/>
    </row>
    <row r="7956" spans="2:4" ht="16" thickBot="1" x14ac:dyDescent="0.25">
      <c r="B7956" s="4">
        <v>7951</v>
      </c>
      <c r="C7956" s="10">
        <v>100.20313802458699</v>
      </c>
      <c r="D7956" s="42"/>
    </row>
    <row r="7957" spans="2:4" ht="16" thickBot="1" x14ac:dyDescent="0.25">
      <c r="B7957" s="5">
        <v>7952</v>
      </c>
      <c r="C7957" s="11">
        <v>316.95148458610373</v>
      </c>
      <c r="D7957" s="42"/>
    </row>
    <row r="7958" spans="2:4" ht="16" thickBot="1" x14ac:dyDescent="0.25">
      <c r="B7958" s="4">
        <v>7953</v>
      </c>
      <c r="C7958" s="10">
        <v>131.76143778244702</v>
      </c>
      <c r="D7958" s="42"/>
    </row>
    <row r="7959" spans="2:4" ht="16" thickBot="1" x14ac:dyDescent="0.25">
      <c r="B7959" s="5">
        <v>7954</v>
      </c>
      <c r="C7959" s="11">
        <v>428.04671820308664</v>
      </c>
      <c r="D7959" s="42"/>
    </row>
    <row r="7960" spans="2:4" ht="16" thickBot="1" x14ac:dyDescent="0.25">
      <c r="B7960" s="4">
        <v>7955</v>
      </c>
      <c r="C7960" s="10">
        <v>168.37730977970048</v>
      </c>
      <c r="D7960" s="42"/>
    </row>
    <row r="7961" spans="2:4" ht="16" thickBot="1" x14ac:dyDescent="0.25">
      <c r="B7961" s="5">
        <v>7956</v>
      </c>
      <c r="C7961" s="11">
        <v>323.84018762579149</v>
      </c>
      <c r="D7961" s="42"/>
    </row>
    <row r="7962" spans="2:4" ht="16" thickBot="1" x14ac:dyDescent="0.25">
      <c r="B7962" s="4">
        <v>7957</v>
      </c>
      <c r="C7962" s="10">
        <v>325.55250851575357</v>
      </c>
      <c r="D7962" s="42"/>
    </row>
    <row r="7963" spans="2:4" ht="16" thickBot="1" x14ac:dyDescent="0.25">
      <c r="B7963" s="5">
        <v>7958</v>
      </c>
      <c r="C7963" s="11">
        <v>476.61852031154348</v>
      </c>
      <c r="D7963" s="42"/>
    </row>
    <row r="7964" spans="2:4" ht="16" thickBot="1" x14ac:dyDescent="0.25">
      <c r="B7964" s="4">
        <v>7959</v>
      </c>
      <c r="C7964" s="10">
        <v>187.83207830236955</v>
      </c>
      <c r="D7964" s="42"/>
    </row>
    <row r="7965" spans="2:4" ht="16" thickBot="1" x14ac:dyDescent="0.25">
      <c r="B7965" s="5">
        <v>7960</v>
      </c>
      <c r="C7965" s="11">
        <v>316.70279856202467</v>
      </c>
      <c r="D7965" s="42"/>
    </row>
    <row r="7966" spans="2:4" ht="16" thickBot="1" x14ac:dyDescent="0.25">
      <c r="B7966" s="4">
        <v>7961</v>
      </c>
      <c r="C7966" s="10">
        <v>168.23861740555168</v>
      </c>
      <c r="D7966" s="42"/>
    </row>
    <row r="7967" spans="2:4" ht="16" thickBot="1" x14ac:dyDescent="0.25">
      <c r="B7967" s="5">
        <v>7962</v>
      </c>
      <c r="C7967" s="11">
        <v>288.31082646499311</v>
      </c>
      <c r="D7967" s="42"/>
    </row>
    <row r="7968" spans="2:4" ht="16" thickBot="1" x14ac:dyDescent="0.25">
      <c r="B7968" s="4">
        <v>7963</v>
      </c>
      <c r="C7968" s="10">
        <v>147.78988945179677</v>
      </c>
      <c r="D7968" s="42"/>
    </row>
    <row r="7969" spans="2:4" ht="16" thickBot="1" x14ac:dyDescent="0.25">
      <c r="B7969" s="5">
        <v>7964</v>
      </c>
      <c r="C7969" s="11">
        <v>283.14301298067898</v>
      </c>
      <c r="D7969" s="42"/>
    </row>
    <row r="7970" spans="2:4" ht="16" thickBot="1" x14ac:dyDescent="0.25">
      <c r="B7970" s="4">
        <v>7965</v>
      </c>
      <c r="C7970" s="10">
        <v>388.31403364767834</v>
      </c>
      <c r="D7970" s="42"/>
    </row>
    <row r="7971" spans="2:4" ht="16" thickBot="1" x14ac:dyDescent="0.25">
      <c r="B7971" s="5">
        <v>7966</v>
      </c>
      <c r="C7971" s="11">
        <v>285.13308161868059</v>
      </c>
      <c r="D7971" s="42"/>
    </row>
    <row r="7972" spans="2:4" ht="16" thickBot="1" x14ac:dyDescent="0.25">
      <c r="B7972" s="4">
        <v>7967</v>
      </c>
      <c r="C7972" s="10">
        <v>45.159881395051634</v>
      </c>
      <c r="D7972" s="42"/>
    </row>
    <row r="7973" spans="2:4" ht="16" thickBot="1" x14ac:dyDescent="0.25">
      <c r="B7973" s="5">
        <v>7968</v>
      </c>
      <c r="C7973" s="11">
        <v>179.03651481222784</v>
      </c>
      <c r="D7973" s="42"/>
    </row>
    <row r="7974" spans="2:4" ht="16" thickBot="1" x14ac:dyDescent="0.25">
      <c r="B7974" s="4">
        <v>7969</v>
      </c>
      <c r="C7974" s="10">
        <v>341.47612058828219</v>
      </c>
      <c r="D7974" s="42"/>
    </row>
    <row r="7975" spans="2:4" ht="16" thickBot="1" x14ac:dyDescent="0.25">
      <c r="B7975" s="5">
        <v>7970</v>
      </c>
      <c r="C7975" s="11">
        <v>194.9615772130243</v>
      </c>
      <c r="D7975" s="42"/>
    </row>
    <row r="7976" spans="2:4" ht="16" thickBot="1" x14ac:dyDescent="0.25">
      <c r="B7976" s="4">
        <v>7971</v>
      </c>
      <c r="C7976" s="10">
        <v>259.71118391770324</v>
      </c>
      <c r="D7976" s="42"/>
    </row>
    <row r="7977" spans="2:4" ht="16" thickBot="1" x14ac:dyDescent="0.25">
      <c r="B7977" s="5">
        <v>7972</v>
      </c>
      <c r="C7977" s="11">
        <v>105.82265642316874</v>
      </c>
      <c r="D7977" s="42"/>
    </row>
    <row r="7978" spans="2:4" ht="16" thickBot="1" x14ac:dyDescent="0.25">
      <c r="B7978" s="4">
        <v>7973</v>
      </c>
      <c r="C7978" s="10">
        <v>146.17557096104682</v>
      </c>
      <c r="D7978" s="42"/>
    </row>
    <row r="7979" spans="2:4" ht="16" thickBot="1" x14ac:dyDescent="0.25">
      <c r="B7979" s="5">
        <v>7974</v>
      </c>
      <c r="C7979" s="11">
        <v>139.36819929390703</v>
      </c>
      <c r="D7979" s="42"/>
    </row>
    <row r="7980" spans="2:4" ht="16" thickBot="1" x14ac:dyDescent="0.25">
      <c r="B7980" s="4">
        <v>7975</v>
      </c>
      <c r="C7980" s="10">
        <v>220.56021102504297</v>
      </c>
      <c r="D7980" s="42"/>
    </row>
    <row r="7981" spans="2:4" ht="16" thickBot="1" x14ac:dyDescent="0.25">
      <c r="B7981" s="5">
        <v>7976</v>
      </c>
      <c r="C7981" s="11">
        <v>391.14391404164792</v>
      </c>
      <c r="D7981" s="42"/>
    </row>
    <row r="7982" spans="2:4" ht="16" thickBot="1" x14ac:dyDescent="0.25">
      <c r="B7982" s="4">
        <v>7977</v>
      </c>
      <c r="C7982" s="10">
        <v>153.39978407846749</v>
      </c>
      <c r="D7982" s="42"/>
    </row>
    <row r="7983" spans="2:4" ht="16" thickBot="1" x14ac:dyDescent="0.25">
      <c r="B7983" s="5">
        <v>7978</v>
      </c>
      <c r="C7983" s="11">
        <v>130.12423853911292</v>
      </c>
      <c r="D7983" s="42"/>
    </row>
    <row r="7984" spans="2:4" ht="16" thickBot="1" x14ac:dyDescent="0.25">
      <c r="B7984" s="4">
        <v>7979</v>
      </c>
      <c r="C7984" s="10">
        <v>511.23742728603986</v>
      </c>
      <c r="D7984" s="42"/>
    </row>
    <row r="7985" spans="2:4" ht="16" thickBot="1" x14ac:dyDescent="0.25">
      <c r="B7985" s="5">
        <v>7980</v>
      </c>
      <c r="C7985" s="11">
        <v>313.71955389097502</v>
      </c>
      <c r="D7985" s="42"/>
    </row>
    <row r="7986" spans="2:4" ht="16" thickBot="1" x14ac:dyDescent="0.25">
      <c r="B7986" s="4">
        <v>7981</v>
      </c>
      <c r="C7986" s="10">
        <v>540.45519849518325</v>
      </c>
      <c r="D7986" s="42"/>
    </row>
    <row r="7987" spans="2:4" ht="16" thickBot="1" x14ac:dyDescent="0.25">
      <c r="B7987" s="5">
        <v>7982</v>
      </c>
      <c r="C7987" s="11">
        <v>188.05851302800562</v>
      </c>
      <c r="D7987" s="42"/>
    </row>
    <row r="7988" spans="2:4" ht="16" thickBot="1" x14ac:dyDescent="0.25">
      <c r="B7988" s="4">
        <v>7983</v>
      </c>
      <c r="C7988" s="10">
        <v>233.65916567428638</v>
      </c>
      <c r="D7988" s="42"/>
    </row>
    <row r="7989" spans="2:4" ht="16" thickBot="1" x14ac:dyDescent="0.25">
      <c r="B7989" s="5">
        <v>7984</v>
      </c>
      <c r="C7989" s="11">
        <v>49.696211326191772</v>
      </c>
      <c r="D7989" s="42"/>
    </row>
    <row r="7990" spans="2:4" ht="16" thickBot="1" x14ac:dyDescent="0.25">
      <c r="B7990" s="4">
        <v>7985</v>
      </c>
      <c r="C7990" s="10">
        <v>323.79812767981321</v>
      </c>
      <c r="D7990" s="42"/>
    </row>
    <row r="7991" spans="2:4" ht="16" thickBot="1" x14ac:dyDescent="0.25">
      <c r="B7991" s="5">
        <v>7986</v>
      </c>
      <c r="C7991" s="11">
        <v>335.37639273470899</v>
      </c>
      <c r="D7991" s="42"/>
    </row>
    <row r="7992" spans="2:4" ht="16" thickBot="1" x14ac:dyDescent="0.25">
      <c r="B7992" s="4">
        <v>7987</v>
      </c>
      <c r="C7992" s="10">
        <v>101.4601049191091</v>
      </c>
      <c r="D7992" s="42"/>
    </row>
    <row r="7993" spans="2:4" ht="16" thickBot="1" x14ac:dyDescent="0.25">
      <c r="B7993" s="5">
        <v>7988</v>
      </c>
      <c r="C7993" s="11">
        <v>189.40681871644807</v>
      </c>
      <c r="D7993" s="42"/>
    </row>
    <row r="7994" spans="2:4" ht="16" thickBot="1" x14ac:dyDescent="0.25">
      <c r="B7994" s="4">
        <v>7989</v>
      </c>
      <c r="C7994" s="10">
        <v>345.33502944058563</v>
      </c>
      <c r="D7994" s="42"/>
    </row>
    <row r="7995" spans="2:4" ht="16" thickBot="1" x14ac:dyDescent="0.25">
      <c r="B7995" s="5">
        <v>7990</v>
      </c>
      <c r="C7995" s="11">
        <v>367.73939646799636</v>
      </c>
      <c r="D7995" s="42"/>
    </row>
    <row r="7996" spans="2:4" ht="16" thickBot="1" x14ac:dyDescent="0.25">
      <c r="B7996" s="4">
        <v>7991</v>
      </c>
      <c r="C7996" s="10">
        <v>109.67759903259578</v>
      </c>
      <c r="D7996" s="42"/>
    </row>
    <row r="7997" spans="2:4" ht="16" thickBot="1" x14ac:dyDescent="0.25">
      <c r="B7997" s="5">
        <v>7992</v>
      </c>
      <c r="C7997" s="11">
        <v>396.52258060069875</v>
      </c>
      <c r="D7997" s="42"/>
    </row>
    <row r="7998" spans="2:4" ht="16" thickBot="1" x14ac:dyDescent="0.25">
      <c r="B7998" s="4">
        <v>7993</v>
      </c>
      <c r="C7998" s="10">
        <v>315.19411455413797</v>
      </c>
      <c r="D7998" s="42"/>
    </row>
    <row r="7999" spans="2:4" ht="16" thickBot="1" x14ac:dyDescent="0.25">
      <c r="B7999" s="5">
        <v>7994</v>
      </c>
      <c r="C7999" s="11">
        <v>187.11367120161884</v>
      </c>
      <c r="D7999" s="42"/>
    </row>
    <row r="8000" spans="2:4" ht="16" thickBot="1" x14ac:dyDescent="0.25">
      <c r="B8000" s="4">
        <v>7995</v>
      </c>
      <c r="C8000" s="10">
        <v>140.87258254643041</v>
      </c>
      <c r="D8000" s="42"/>
    </row>
    <row r="8001" spans="2:4" ht="16" thickBot="1" x14ac:dyDescent="0.25">
      <c r="B8001" s="5">
        <v>7996</v>
      </c>
      <c r="C8001" s="11">
        <v>144.32579094775619</v>
      </c>
      <c r="D8001" s="42"/>
    </row>
    <row r="8002" spans="2:4" ht="16" thickBot="1" x14ac:dyDescent="0.25">
      <c r="B8002" s="4">
        <v>7997</v>
      </c>
      <c r="C8002" s="10">
        <v>177.32380556762388</v>
      </c>
      <c r="D8002" s="42"/>
    </row>
    <row r="8003" spans="2:4" ht="16" thickBot="1" x14ac:dyDescent="0.25">
      <c r="B8003" s="5">
        <v>7998</v>
      </c>
      <c r="C8003" s="11">
        <v>395.36602803090318</v>
      </c>
      <c r="D8003" s="42"/>
    </row>
    <row r="8004" spans="2:4" ht="16" thickBot="1" x14ac:dyDescent="0.25">
      <c r="B8004" s="4">
        <v>7999</v>
      </c>
      <c r="C8004" s="10">
        <v>103.27422537475287</v>
      </c>
      <c r="D8004" s="42"/>
    </row>
    <row r="8005" spans="2:4" ht="16" thickBot="1" x14ac:dyDescent="0.25">
      <c r="B8005" s="5">
        <v>8000</v>
      </c>
      <c r="C8005" s="11">
        <v>146.8371322315638</v>
      </c>
      <c r="D8005" s="42"/>
    </row>
    <row r="8006" spans="2:4" ht="16" thickBot="1" x14ac:dyDescent="0.25">
      <c r="B8006" s="4">
        <v>8001</v>
      </c>
      <c r="C8006" s="10">
        <v>309.85438939010919</v>
      </c>
      <c r="D8006" s="42"/>
    </row>
    <row r="8007" spans="2:4" ht="16" thickBot="1" x14ac:dyDescent="0.25">
      <c r="B8007" s="5">
        <v>8002</v>
      </c>
      <c r="C8007" s="11">
        <v>72.967759278571677</v>
      </c>
      <c r="D8007" s="42"/>
    </row>
    <row r="8008" spans="2:4" ht="16" thickBot="1" x14ac:dyDescent="0.25">
      <c r="B8008" s="4">
        <v>8003</v>
      </c>
      <c r="C8008" s="10">
        <v>247.04554082038601</v>
      </c>
      <c r="D8008" s="42"/>
    </row>
    <row r="8009" spans="2:4" ht="16" thickBot="1" x14ac:dyDescent="0.25">
      <c r="B8009" s="5">
        <v>8004</v>
      </c>
      <c r="C8009" s="11">
        <v>93.295480468893402</v>
      </c>
      <c r="D8009" s="42"/>
    </row>
    <row r="8010" spans="2:4" ht="16" thickBot="1" x14ac:dyDescent="0.25">
      <c r="B8010" s="4">
        <v>8005</v>
      </c>
      <c r="C8010" s="10">
        <v>106.79398977058339</v>
      </c>
      <c r="D8010" s="42"/>
    </row>
    <row r="8011" spans="2:4" ht="16" thickBot="1" x14ac:dyDescent="0.25">
      <c r="B8011" s="5">
        <v>8006</v>
      </c>
      <c r="C8011" s="11">
        <v>139.26099712682861</v>
      </c>
      <c r="D8011" s="42"/>
    </row>
    <row r="8012" spans="2:4" ht="16" thickBot="1" x14ac:dyDescent="0.25">
      <c r="B8012" s="4">
        <v>8007</v>
      </c>
      <c r="C8012" s="10">
        <v>398.68914542912313</v>
      </c>
      <c r="D8012" s="42"/>
    </row>
    <row r="8013" spans="2:4" ht="16" thickBot="1" x14ac:dyDescent="0.25">
      <c r="B8013" s="5">
        <v>8008</v>
      </c>
      <c r="C8013" s="11">
        <v>140.35157597434187</v>
      </c>
      <c r="D8013" s="42"/>
    </row>
    <row r="8014" spans="2:4" ht="16" thickBot="1" x14ac:dyDescent="0.25">
      <c r="B8014" s="4">
        <v>8009</v>
      </c>
      <c r="C8014" s="10">
        <v>412.76185241035694</v>
      </c>
      <c r="D8014" s="42"/>
    </row>
    <row r="8015" spans="2:4" ht="16" thickBot="1" x14ac:dyDescent="0.25">
      <c r="B8015" s="5">
        <v>8010</v>
      </c>
      <c r="C8015" s="11">
        <v>342.52221579147493</v>
      </c>
      <c r="D8015" s="42"/>
    </row>
    <row r="8016" spans="2:4" ht="16" thickBot="1" x14ac:dyDescent="0.25">
      <c r="B8016" s="4">
        <v>8011</v>
      </c>
      <c r="C8016" s="10">
        <v>368.12605689788609</v>
      </c>
      <c r="D8016" s="42"/>
    </row>
    <row r="8017" spans="2:4" ht="16" thickBot="1" x14ac:dyDescent="0.25">
      <c r="B8017" s="5">
        <v>8012</v>
      </c>
      <c r="C8017" s="11">
        <v>84.161824132538726</v>
      </c>
      <c r="D8017" s="42"/>
    </row>
    <row r="8018" spans="2:4" ht="16" thickBot="1" x14ac:dyDescent="0.25">
      <c r="B8018" s="4">
        <v>8013</v>
      </c>
      <c r="C8018" s="10">
        <v>280.31831130085681</v>
      </c>
      <c r="D8018" s="42"/>
    </row>
    <row r="8019" spans="2:4" ht="16" thickBot="1" x14ac:dyDescent="0.25">
      <c r="B8019" s="5">
        <v>8014</v>
      </c>
      <c r="C8019" s="11">
        <v>316.22068951911263</v>
      </c>
      <c r="D8019" s="42"/>
    </row>
    <row r="8020" spans="2:4" ht="16" thickBot="1" x14ac:dyDescent="0.25">
      <c r="B8020" s="4">
        <v>8015</v>
      </c>
      <c r="C8020" s="10">
        <v>201.02051384956482</v>
      </c>
      <c r="D8020" s="42"/>
    </row>
    <row r="8021" spans="2:4" ht="16" thickBot="1" x14ac:dyDescent="0.25">
      <c r="B8021" s="5">
        <v>8016</v>
      </c>
      <c r="C8021" s="11">
        <v>166.48156534652466</v>
      </c>
      <c r="D8021" s="42"/>
    </row>
    <row r="8022" spans="2:4" ht="16" thickBot="1" x14ac:dyDescent="0.25">
      <c r="B8022" s="4">
        <v>8017</v>
      </c>
      <c r="C8022" s="10">
        <v>234.883690076178</v>
      </c>
      <c r="D8022" s="42"/>
    </row>
    <row r="8023" spans="2:4" ht="16" thickBot="1" x14ac:dyDescent="0.25">
      <c r="B8023" s="5">
        <v>8018</v>
      </c>
      <c r="C8023" s="11">
        <v>330.39131832524816</v>
      </c>
      <c r="D8023" s="42"/>
    </row>
    <row r="8024" spans="2:4" ht="16" thickBot="1" x14ac:dyDescent="0.25">
      <c r="B8024" s="4">
        <v>8019</v>
      </c>
      <c r="C8024" s="10">
        <v>622.41322654536884</v>
      </c>
      <c r="D8024" s="42"/>
    </row>
    <row r="8025" spans="2:4" ht="16" thickBot="1" x14ac:dyDescent="0.25">
      <c r="B8025" s="5">
        <v>8020</v>
      </c>
      <c r="C8025" s="11">
        <v>383.68169703153865</v>
      </c>
      <c r="D8025" s="42"/>
    </row>
    <row r="8026" spans="2:4" ht="16" thickBot="1" x14ac:dyDescent="0.25">
      <c r="B8026" s="4">
        <v>8021</v>
      </c>
      <c r="C8026" s="10">
        <v>71.989869387878031</v>
      </c>
      <c r="D8026" s="42"/>
    </row>
    <row r="8027" spans="2:4" ht="16" thickBot="1" x14ac:dyDescent="0.25">
      <c r="B8027" s="5">
        <v>8022</v>
      </c>
      <c r="C8027" s="11">
        <v>85.495381941077895</v>
      </c>
      <c r="D8027" s="42"/>
    </row>
    <row r="8028" spans="2:4" ht="16" thickBot="1" x14ac:dyDescent="0.25">
      <c r="B8028" s="4">
        <v>8023</v>
      </c>
      <c r="C8028" s="10">
        <v>373.8854305385139</v>
      </c>
      <c r="D8028" s="42"/>
    </row>
    <row r="8029" spans="2:4" ht="16" thickBot="1" x14ac:dyDescent="0.25">
      <c r="B8029" s="5">
        <v>8024</v>
      </c>
      <c r="C8029" s="11">
        <v>173.65484200931593</v>
      </c>
      <c r="D8029" s="42"/>
    </row>
    <row r="8030" spans="2:4" ht="16" thickBot="1" x14ac:dyDescent="0.25">
      <c r="B8030" s="4">
        <v>8025</v>
      </c>
      <c r="C8030" s="10">
        <v>145.03047501404461</v>
      </c>
      <c r="D8030" s="42"/>
    </row>
    <row r="8031" spans="2:4" ht="16" thickBot="1" x14ac:dyDescent="0.25">
      <c r="B8031" s="5">
        <v>8026</v>
      </c>
      <c r="C8031" s="11">
        <v>146.91261881503763</v>
      </c>
      <c r="D8031" s="42"/>
    </row>
    <row r="8032" spans="2:4" ht="16" thickBot="1" x14ac:dyDescent="0.25">
      <c r="B8032" s="4">
        <v>8027</v>
      </c>
      <c r="C8032" s="10">
        <v>430.00474484306318</v>
      </c>
      <c r="D8032" s="42"/>
    </row>
    <row r="8033" spans="2:4" ht="16" thickBot="1" x14ac:dyDescent="0.25">
      <c r="B8033" s="5">
        <v>8028</v>
      </c>
      <c r="C8033" s="11">
        <v>126.50766709849474</v>
      </c>
      <c r="D8033" s="42"/>
    </row>
    <row r="8034" spans="2:4" ht="16" thickBot="1" x14ac:dyDescent="0.25">
      <c r="B8034" s="4">
        <v>8029</v>
      </c>
      <c r="C8034" s="10">
        <v>330.43644982120003</v>
      </c>
      <c r="D8034" s="42"/>
    </row>
    <row r="8035" spans="2:4" ht="16" thickBot="1" x14ac:dyDescent="0.25">
      <c r="B8035" s="5">
        <v>8030</v>
      </c>
      <c r="C8035" s="11">
        <v>178.90967713593056</v>
      </c>
      <c r="D8035" s="42"/>
    </row>
    <row r="8036" spans="2:4" ht="16" thickBot="1" x14ac:dyDescent="0.25">
      <c r="B8036" s="4">
        <v>8031</v>
      </c>
      <c r="C8036" s="10">
        <v>250.22023764634312</v>
      </c>
      <c r="D8036" s="42"/>
    </row>
    <row r="8037" spans="2:4" ht="16" thickBot="1" x14ac:dyDescent="0.25">
      <c r="B8037" s="5">
        <v>8032</v>
      </c>
      <c r="C8037" s="11">
        <v>700.2352266203244</v>
      </c>
      <c r="D8037" s="42"/>
    </row>
    <row r="8038" spans="2:4" ht="16" thickBot="1" x14ac:dyDescent="0.25">
      <c r="B8038" s="4">
        <v>8033</v>
      </c>
      <c r="C8038" s="10">
        <v>83.035860408774425</v>
      </c>
      <c r="D8038" s="42"/>
    </row>
    <row r="8039" spans="2:4" ht="16" thickBot="1" x14ac:dyDescent="0.25">
      <c r="B8039" s="5">
        <v>8034</v>
      </c>
      <c r="C8039" s="11">
        <v>273.54232196702117</v>
      </c>
      <c r="D8039" s="42"/>
    </row>
    <row r="8040" spans="2:4" ht="16" thickBot="1" x14ac:dyDescent="0.25">
      <c r="B8040" s="4">
        <v>8035</v>
      </c>
      <c r="C8040" s="10">
        <v>116.13182817048406</v>
      </c>
      <c r="D8040" s="42"/>
    </row>
    <row r="8041" spans="2:4" ht="16" thickBot="1" x14ac:dyDescent="0.25">
      <c r="B8041" s="5">
        <v>8036</v>
      </c>
      <c r="C8041" s="11">
        <v>535.12063254348379</v>
      </c>
      <c r="D8041" s="42"/>
    </row>
    <row r="8042" spans="2:4" ht="16" thickBot="1" x14ac:dyDescent="0.25">
      <c r="B8042" s="4">
        <v>8037</v>
      </c>
      <c r="C8042" s="10">
        <v>194.62844526381693</v>
      </c>
      <c r="D8042" s="42"/>
    </row>
    <row r="8043" spans="2:4" ht="16" thickBot="1" x14ac:dyDescent="0.25">
      <c r="B8043" s="5">
        <v>8038</v>
      </c>
      <c r="C8043" s="11">
        <v>342.37107285303199</v>
      </c>
      <c r="D8043" s="42"/>
    </row>
    <row r="8044" spans="2:4" ht="16" thickBot="1" x14ac:dyDescent="0.25">
      <c r="B8044" s="4">
        <v>8039</v>
      </c>
      <c r="C8044" s="10">
        <v>423.83749840626928</v>
      </c>
      <c r="D8044" s="42"/>
    </row>
    <row r="8045" spans="2:4" ht="16" thickBot="1" x14ac:dyDescent="0.25">
      <c r="B8045" s="5">
        <v>8040</v>
      </c>
      <c r="C8045" s="11">
        <v>526.70411781469022</v>
      </c>
      <c r="D8045" s="42"/>
    </row>
    <row r="8046" spans="2:4" ht="16" thickBot="1" x14ac:dyDescent="0.25">
      <c r="B8046" s="4">
        <v>8041</v>
      </c>
      <c r="C8046" s="10">
        <v>57.410561516188153</v>
      </c>
      <c r="D8046" s="42"/>
    </row>
    <row r="8047" spans="2:4" ht="16" thickBot="1" x14ac:dyDescent="0.25">
      <c r="B8047" s="5">
        <v>8042</v>
      </c>
      <c r="C8047" s="11">
        <v>170.33054069625339</v>
      </c>
      <c r="D8047" s="42"/>
    </row>
    <row r="8048" spans="2:4" ht="16" thickBot="1" x14ac:dyDescent="0.25">
      <c r="B8048" s="4">
        <v>8043</v>
      </c>
      <c r="C8048" s="10">
        <v>285.66975363592974</v>
      </c>
      <c r="D8048" s="42"/>
    </row>
    <row r="8049" spans="2:4" ht="16" thickBot="1" x14ac:dyDescent="0.25">
      <c r="B8049" s="5">
        <v>8044</v>
      </c>
      <c r="C8049" s="11">
        <v>549.72259781059518</v>
      </c>
      <c r="D8049" s="42"/>
    </row>
    <row r="8050" spans="2:4" ht="16" thickBot="1" x14ac:dyDescent="0.25">
      <c r="B8050" s="4">
        <v>8045</v>
      </c>
      <c r="C8050" s="10">
        <v>430.46056975036123</v>
      </c>
      <c r="D8050" s="42"/>
    </row>
    <row r="8051" spans="2:4" ht="16" thickBot="1" x14ac:dyDescent="0.25">
      <c r="B8051" s="5">
        <v>8046</v>
      </c>
      <c r="C8051" s="11">
        <v>362.13117835938908</v>
      </c>
      <c r="D8051" s="42"/>
    </row>
    <row r="8052" spans="2:4" ht="16" thickBot="1" x14ac:dyDescent="0.25">
      <c r="B8052" s="4">
        <v>8047</v>
      </c>
      <c r="C8052" s="10">
        <v>482.33567855049654</v>
      </c>
      <c r="D8052" s="42"/>
    </row>
    <row r="8053" spans="2:4" ht="16" thickBot="1" x14ac:dyDescent="0.25">
      <c r="B8053" s="5">
        <v>8048</v>
      </c>
      <c r="C8053" s="11">
        <v>285.46605363861062</v>
      </c>
      <c r="D8053" s="42"/>
    </row>
    <row r="8054" spans="2:4" ht="16" thickBot="1" x14ac:dyDescent="0.25">
      <c r="B8054" s="4">
        <v>8049</v>
      </c>
      <c r="C8054" s="10">
        <v>164.88232335169079</v>
      </c>
      <c r="D8054" s="42"/>
    </row>
    <row r="8055" spans="2:4" ht="16" thickBot="1" x14ac:dyDescent="0.25">
      <c r="B8055" s="5">
        <v>8050</v>
      </c>
      <c r="C8055" s="11">
        <v>244.85197131063049</v>
      </c>
      <c r="D8055" s="42"/>
    </row>
    <row r="8056" spans="2:4" ht="16" thickBot="1" x14ac:dyDescent="0.25">
      <c r="B8056" s="4">
        <v>8051</v>
      </c>
      <c r="C8056" s="10">
        <v>429.09790193229611</v>
      </c>
      <c r="D8056" s="42"/>
    </row>
    <row r="8057" spans="2:4" ht="16" thickBot="1" x14ac:dyDescent="0.25">
      <c r="B8057" s="5">
        <v>8052</v>
      </c>
      <c r="C8057" s="11">
        <v>121.62853259691292</v>
      </c>
      <c r="D8057" s="42"/>
    </row>
    <row r="8058" spans="2:4" ht="16" thickBot="1" x14ac:dyDescent="0.25">
      <c r="B8058" s="4">
        <v>8053</v>
      </c>
      <c r="C8058" s="10">
        <v>273.51433416296379</v>
      </c>
      <c r="D8058" s="42"/>
    </row>
    <row r="8059" spans="2:4" ht="16" thickBot="1" x14ac:dyDescent="0.25">
      <c r="B8059" s="5">
        <v>8054</v>
      </c>
      <c r="C8059" s="11">
        <v>61.657083247551554</v>
      </c>
      <c r="D8059" s="42"/>
    </row>
    <row r="8060" spans="2:4" ht="16" thickBot="1" x14ac:dyDescent="0.25">
      <c r="B8060" s="4">
        <v>8055</v>
      </c>
      <c r="C8060" s="10">
        <v>121.76178871027705</v>
      </c>
      <c r="D8060" s="42"/>
    </row>
    <row r="8061" spans="2:4" ht="16" thickBot="1" x14ac:dyDescent="0.25">
      <c r="B8061" s="5">
        <v>8056</v>
      </c>
      <c r="C8061" s="11">
        <v>161.85622773130311</v>
      </c>
      <c r="D8061" s="42"/>
    </row>
    <row r="8062" spans="2:4" ht="16" thickBot="1" x14ac:dyDescent="0.25">
      <c r="B8062" s="4">
        <v>8057</v>
      </c>
      <c r="C8062" s="10">
        <v>295.67463324630796</v>
      </c>
      <c r="D8062" s="42"/>
    </row>
    <row r="8063" spans="2:4" ht="16" thickBot="1" x14ac:dyDescent="0.25">
      <c r="B8063" s="5">
        <v>8058</v>
      </c>
      <c r="C8063" s="11">
        <v>96.237705395421827</v>
      </c>
      <c r="D8063" s="42"/>
    </row>
    <row r="8064" spans="2:4" ht="16" thickBot="1" x14ac:dyDescent="0.25">
      <c r="B8064" s="4">
        <v>8059</v>
      </c>
      <c r="C8064" s="10">
        <v>235.24371171312325</v>
      </c>
      <c r="D8064" s="42"/>
    </row>
    <row r="8065" spans="2:4" ht="16" thickBot="1" x14ac:dyDescent="0.25">
      <c r="B8065" s="5">
        <v>8060</v>
      </c>
      <c r="C8065" s="11">
        <v>144.64075840281592</v>
      </c>
      <c r="D8065" s="42"/>
    </row>
    <row r="8066" spans="2:4" ht="16" thickBot="1" x14ac:dyDescent="0.25">
      <c r="B8066" s="4">
        <v>8061</v>
      </c>
      <c r="C8066" s="10">
        <v>344.12152766849709</v>
      </c>
      <c r="D8066" s="42"/>
    </row>
    <row r="8067" spans="2:4" ht="16" thickBot="1" x14ac:dyDescent="0.25">
      <c r="B8067" s="5">
        <v>8062</v>
      </c>
      <c r="C8067" s="11">
        <v>362.07313237664385</v>
      </c>
      <c r="D8067" s="42"/>
    </row>
    <row r="8068" spans="2:4" ht="16" thickBot="1" x14ac:dyDescent="0.25">
      <c r="B8068" s="4">
        <v>8063</v>
      </c>
      <c r="C8068" s="10">
        <v>343.33555603514066</v>
      </c>
      <c r="D8068" s="42"/>
    </row>
    <row r="8069" spans="2:4" ht="16" thickBot="1" x14ac:dyDescent="0.25">
      <c r="B8069" s="5">
        <v>8064</v>
      </c>
      <c r="C8069" s="11">
        <v>75.838836504983178</v>
      </c>
      <c r="D8069" s="42"/>
    </row>
    <row r="8070" spans="2:4" ht="16" thickBot="1" x14ac:dyDescent="0.25">
      <c r="B8070" s="4">
        <v>8065</v>
      </c>
      <c r="C8070" s="10">
        <v>76.829316345347436</v>
      </c>
      <c r="D8070" s="42"/>
    </row>
    <row r="8071" spans="2:4" ht="16" thickBot="1" x14ac:dyDescent="0.25">
      <c r="B8071" s="5">
        <v>8066</v>
      </c>
      <c r="C8071" s="11">
        <v>229.17964045231074</v>
      </c>
      <c r="D8071" s="42"/>
    </row>
    <row r="8072" spans="2:4" ht="16" thickBot="1" x14ac:dyDescent="0.25">
      <c r="B8072" s="4">
        <v>8067</v>
      </c>
      <c r="C8072" s="10">
        <v>134.08458366274783</v>
      </c>
      <c r="D8072" s="42"/>
    </row>
    <row r="8073" spans="2:4" ht="16" thickBot="1" x14ac:dyDescent="0.25">
      <c r="B8073" s="5">
        <v>8068</v>
      </c>
      <c r="C8073" s="11">
        <v>296.97528888282147</v>
      </c>
      <c r="D8073" s="42"/>
    </row>
    <row r="8074" spans="2:4" ht="16" thickBot="1" x14ac:dyDescent="0.25">
      <c r="B8074" s="4">
        <v>8069</v>
      </c>
      <c r="C8074" s="10">
        <v>195.51514691314762</v>
      </c>
      <c r="D8074" s="42"/>
    </row>
    <row r="8075" spans="2:4" ht="16" thickBot="1" x14ac:dyDescent="0.25">
      <c r="B8075" s="5">
        <v>8070</v>
      </c>
      <c r="C8075" s="11">
        <v>109.61494314532511</v>
      </c>
      <c r="D8075" s="42"/>
    </row>
    <row r="8076" spans="2:4" ht="16" thickBot="1" x14ac:dyDescent="0.25">
      <c r="B8076" s="4">
        <v>8071</v>
      </c>
      <c r="C8076" s="10">
        <v>402.71942611877938</v>
      </c>
      <c r="D8076" s="42"/>
    </row>
    <row r="8077" spans="2:4" ht="16" thickBot="1" x14ac:dyDescent="0.25">
      <c r="B8077" s="5">
        <v>8072</v>
      </c>
      <c r="C8077" s="11">
        <v>346.59241947936653</v>
      </c>
      <c r="D8077" s="42"/>
    </row>
    <row r="8078" spans="2:4" ht="16" thickBot="1" x14ac:dyDescent="0.25">
      <c r="B8078" s="4">
        <v>8073</v>
      </c>
      <c r="C8078" s="10">
        <v>203.9218547863897</v>
      </c>
      <c r="D8078" s="42"/>
    </row>
    <row r="8079" spans="2:4" ht="16" thickBot="1" x14ac:dyDescent="0.25">
      <c r="B8079" s="5">
        <v>8074</v>
      </c>
      <c r="C8079" s="11">
        <v>204.8503434860082</v>
      </c>
      <c r="D8079" s="42"/>
    </row>
    <row r="8080" spans="2:4" ht="16" thickBot="1" x14ac:dyDescent="0.25">
      <c r="B8080" s="4">
        <v>8075</v>
      </c>
      <c r="C8080" s="10">
        <v>225.51853790080582</v>
      </c>
      <c r="D8080" s="42"/>
    </row>
    <row r="8081" spans="2:4" ht="16" thickBot="1" x14ac:dyDescent="0.25">
      <c r="B8081" s="5">
        <v>8076</v>
      </c>
      <c r="C8081" s="11">
        <v>288.41557382746646</v>
      </c>
      <c r="D8081" s="42"/>
    </row>
    <row r="8082" spans="2:4" ht="16" thickBot="1" x14ac:dyDescent="0.25">
      <c r="B8082" s="4">
        <v>8077</v>
      </c>
      <c r="C8082" s="10">
        <v>238.36564448837547</v>
      </c>
      <c r="D8082" s="42"/>
    </row>
    <row r="8083" spans="2:4" ht="16" thickBot="1" x14ac:dyDescent="0.25">
      <c r="B8083" s="5">
        <v>8078</v>
      </c>
      <c r="C8083" s="11">
        <v>289.68007339229951</v>
      </c>
      <c r="D8083" s="42"/>
    </row>
    <row r="8084" spans="2:4" ht="16" thickBot="1" x14ac:dyDescent="0.25">
      <c r="B8084" s="4">
        <v>8079</v>
      </c>
      <c r="C8084" s="10">
        <v>198.77411884673086</v>
      </c>
      <c r="D8084" s="42"/>
    </row>
    <row r="8085" spans="2:4" ht="16" thickBot="1" x14ac:dyDescent="0.25">
      <c r="B8085" s="5">
        <v>8080</v>
      </c>
      <c r="C8085" s="11">
        <v>193.01704656581705</v>
      </c>
      <c r="D8085" s="42"/>
    </row>
    <row r="8086" spans="2:4" ht="16" thickBot="1" x14ac:dyDescent="0.25">
      <c r="B8086" s="4">
        <v>8081</v>
      </c>
      <c r="C8086" s="10">
        <v>111.0649016602398</v>
      </c>
      <c r="D8086" s="42"/>
    </row>
    <row r="8087" spans="2:4" ht="16" thickBot="1" x14ac:dyDescent="0.25">
      <c r="B8087" s="5">
        <v>8082</v>
      </c>
      <c r="C8087" s="11">
        <v>334.8886538429245</v>
      </c>
      <c r="D8087" s="42"/>
    </row>
    <row r="8088" spans="2:4" ht="16" thickBot="1" x14ac:dyDescent="0.25">
      <c r="B8088" s="4">
        <v>8083</v>
      </c>
      <c r="C8088" s="10">
        <v>181.39619408235004</v>
      </c>
      <c r="D8088" s="42"/>
    </row>
    <row r="8089" spans="2:4" ht="16" thickBot="1" x14ac:dyDescent="0.25">
      <c r="B8089" s="5">
        <v>8084</v>
      </c>
      <c r="C8089" s="11">
        <v>244.69050190070169</v>
      </c>
      <c r="D8089" s="42"/>
    </row>
    <row r="8090" spans="2:4" ht="16" thickBot="1" x14ac:dyDescent="0.25">
      <c r="B8090" s="4">
        <v>8085</v>
      </c>
      <c r="C8090" s="10">
        <v>238.89114265520482</v>
      </c>
      <c r="D8090" s="42"/>
    </row>
    <row r="8091" spans="2:4" ht="16" thickBot="1" x14ac:dyDescent="0.25">
      <c r="B8091" s="5">
        <v>8086</v>
      </c>
      <c r="C8091" s="11">
        <v>316.77863739377995</v>
      </c>
      <c r="D8091" s="42"/>
    </row>
    <row r="8092" spans="2:4" ht="16" thickBot="1" x14ac:dyDescent="0.25">
      <c r="B8092" s="4">
        <v>8087</v>
      </c>
      <c r="C8092" s="10">
        <v>309.38121654182362</v>
      </c>
      <c r="D8092" s="42"/>
    </row>
    <row r="8093" spans="2:4" ht="16" thickBot="1" x14ac:dyDescent="0.25">
      <c r="B8093" s="5">
        <v>8088</v>
      </c>
      <c r="C8093" s="11">
        <v>721.82656639923641</v>
      </c>
      <c r="D8093" s="42"/>
    </row>
    <row r="8094" spans="2:4" ht="16" thickBot="1" x14ac:dyDescent="0.25">
      <c r="B8094" s="4">
        <v>8089</v>
      </c>
      <c r="C8094" s="10">
        <v>83.273762859941655</v>
      </c>
      <c r="D8094" s="42"/>
    </row>
    <row r="8095" spans="2:4" ht="16" thickBot="1" x14ac:dyDescent="0.25">
      <c r="B8095" s="5">
        <v>8090</v>
      </c>
      <c r="C8095" s="11">
        <v>238.36209040744345</v>
      </c>
      <c r="D8095" s="42"/>
    </row>
    <row r="8096" spans="2:4" ht="16" thickBot="1" x14ac:dyDescent="0.25">
      <c r="B8096" s="4">
        <v>8091</v>
      </c>
      <c r="C8096" s="10">
        <v>204.91081295942661</v>
      </c>
      <c r="D8096" s="42"/>
    </row>
    <row r="8097" spans="2:4" ht="16" thickBot="1" x14ac:dyDescent="0.25">
      <c r="B8097" s="5">
        <v>8092</v>
      </c>
      <c r="C8097" s="11">
        <v>56.856452955789386</v>
      </c>
      <c r="D8097" s="42"/>
    </row>
    <row r="8098" spans="2:4" ht="16" thickBot="1" x14ac:dyDescent="0.25">
      <c r="B8098" s="4">
        <v>8093</v>
      </c>
      <c r="C8098" s="10">
        <v>188.06222236161565</v>
      </c>
      <c r="D8098" s="42"/>
    </row>
    <row r="8099" spans="2:4" ht="16" thickBot="1" x14ac:dyDescent="0.25">
      <c r="B8099" s="5">
        <v>8094</v>
      </c>
      <c r="C8099" s="11">
        <v>174.50224889010826</v>
      </c>
      <c r="D8099" s="42"/>
    </row>
    <row r="8100" spans="2:4" ht="16" thickBot="1" x14ac:dyDescent="0.25">
      <c r="B8100" s="4">
        <v>8095</v>
      </c>
      <c r="C8100" s="10">
        <v>50.15606107893916</v>
      </c>
      <c r="D8100" s="42"/>
    </row>
    <row r="8101" spans="2:4" ht="16" thickBot="1" x14ac:dyDescent="0.25">
      <c r="B8101" s="5">
        <v>8096</v>
      </c>
      <c r="C8101" s="11">
        <v>332.89661334057297</v>
      </c>
      <c r="D8101" s="42"/>
    </row>
    <row r="8102" spans="2:4" ht="16" thickBot="1" x14ac:dyDescent="0.25">
      <c r="B8102" s="4">
        <v>8097</v>
      </c>
      <c r="C8102" s="10">
        <v>395.298592651614</v>
      </c>
      <c r="D8102" s="42"/>
    </row>
    <row r="8103" spans="2:4" ht="16" thickBot="1" x14ac:dyDescent="0.25">
      <c r="B8103" s="5">
        <v>8098</v>
      </c>
      <c r="C8103" s="11">
        <v>289.05280885159641</v>
      </c>
      <c r="D8103" s="42"/>
    </row>
    <row r="8104" spans="2:4" ht="16" thickBot="1" x14ac:dyDescent="0.25">
      <c r="B8104" s="4">
        <v>8099</v>
      </c>
      <c r="C8104" s="10">
        <v>273.04286811980325</v>
      </c>
      <c r="D8104" s="42"/>
    </row>
    <row r="8105" spans="2:4" ht="16" thickBot="1" x14ac:dyDescent="0.25">
      <c r="B8105" s="5">
        <v>8100</v>
      </c>
      <c r="C8105" s="11">
        <v>195.05946878235756</v>
      </c>
      <c r="D8105" s="42"/>
    </row>
    <row r="8106" spans="2:4" ht="16" thickBot="1" x14ac:dyDescent="0.25">
      <c r="B8106" s="4">
        <v>8101</v>
      </c>
      <c r="C8106" s="10">
        <v>92.362969733697625</v>
      </c>
      <c r="D8106" s="42"/>
    </row>
    <row r="8107" spans="2:4" ht="16" thickBot="1" x14ac:dyDescent="0.25">
      <c r="B8107" s="5">
        <v>8102</v>
      </c>
      <c r="C8107" s="11">
        <v>210.05285341337719</v>
      </c>
      <c r="D8107" s="42"/>
    </row>
    <row r="8108" spans="2:4" ht="16" thickBot="1" x14ac:dyDescent="0.25">
      <c r="B8108" s="4">
        <v>8103</v>
      </c>
      <c r="C8108" s="10">
        <v>219.07750038360237</v>
      </c>
      <c r="D8108" s="42"/>
    </row>
    <row r="8109" spans="2:4" ht="16" thickBot="1" x14ac:dyDescent="0.25">
      <c r="B8109" s="5">
        <v>8104</v>
      </c>
      <c r="C8109" s="11">
        <v>203.23893981699862</v>
      </c>
      <c r="D8109" s="42"/>
    </row>
    <row r="8110" spans="2:4" ht="16" thickBot="1" x14ac:dyDescent="0.25">
      <c r="B8110" s="4">
        <v>8105</v>
      </c>
      <c r="C8110" s="10">
        <v>259.66848529864762</v>
      </c>
      <c r="D8110" s="42"/>
    </row>
    <row r="8111" spans="2:4" ht="16" thickBot="1" x14ac:dyDescent="0.25">
      <c r="B8111" s="5">
        <v>8106</v>
      </c>
      <c r="C8111" s="11">
        <v>150.53106794395404</v>
      </c>
      <c r="D8111" s="42"/>
    </row>
    <row r="8112" spans="2:4" ht="16" thickBot="1" x14ac:dyDescent="0.25">
      <c r="B8112" s="4">
        <v>8107</v>
      </c>
      <c r="C8112" s="10">
        <v>435.04041475341728</v>
      </c>
      <c r="D8112" s="42"/>
    </row>
    <row r="8113" spans="2:4" ht="16" thickBot="1" x14ac:dyDescent="0.25">
      <c r="B8113" s="5">
        <v>8108</v>
      </c>
      <c r="C8113" s="11">
        <v>568.94370459925369</v>
      </c>
      <c r="D8113" s="42"/>
    </row>
    <row r="8114" spans="2:4" ht="16" thickBot="1" x14ac:dyDescent="0.25">
      <c r="B8114" s="4">
        <v>8109</v>
      </c>
      <c r="C8114" s="10">
        <v>255.53550290137451</v>
      </c>
      <c r="D8114" s="42"/>
    </row>
    <row r="8115" spans="2:4" ht="16" thickBot="1" x14ac:dyDescent="0.25">
      <c r="B8115" s="5">
        <v>8110</v>
      </c>
      <c r="C8115" s="11">
        <v>102.72806090367173</v>
      </c>
      <c r="D8115" s="42"/>
    </row>
    <row r="8116" spans="2:4" ht="16" thickBot="1" x14ac:dyDescent="0.25">
      <c r="B8116" s="4">
        <v>8111</v>
      </c>
      <c r="C8116" s="10">
        <v>62.408782655131802</v>
      </c>
      <c r="D8116" s="42"/>
    </row>
    <row r="8117" spans="2:4" ht="16" thickBot="1" x14ac:dyDescent="0.25">
      <c r="B8117" s="5">
        <v>8112</v>
      </c>
      <c r="C8117" s="11">
        <v>295.62377123290781</v>
      </c>
      <c r="D8117" s="42"/>
    </row>
    <row r="8118" spans="2:4" ht="16" thickBot="1" x14ac:dyDescent="0.25">
      <c r="B8118" s="4">
        <v>8113</v>
      </c>
      <c r="C8118" s="10">
        <v>138.12039012787926</v>
      </c>
      <c r="D8118" s="42"/>
    </row>
    <row r="8119" spans="2:4" ht="16" thickBot="1" x14ac:dyDescent="0.25">
      <c r="B8119" s="5">
        <v>8114</v>
      </c>
      <c r="C8119" s="11">
        <v>362.33610523723593</v>
      </c>
      <c r="D8119" s="42"/>
    </row>
    <row r="8120" spans="2:4" ht="16" thickBot="1" x14ac:dyDescent="0.25">
      <c r="B8120" s="4">
        <v>8115</v>
      </c>
      <c r="C8120" s="10">
        <v>177.13190674746775</v>
      </c>
      <c r="D8120" s="42"/>
    </row>
    <row r="8121" spans="2:4" ht="16" thickBot="1" x14ac:dyDescent="0.25">
      <c r="B8121" s="5">
        <v>8116</v>
      </c>
      <c r="C8121" s="11">
        <v>303.33095325451569</v>
      </c>
      <c r="D8121" s="42"/>
    </row>
    <row r="8122" spans="2:4" ht="16" thickBot="1" x14ac:dyDescent="0.25">
      <c r="B8122" s="4">
        <v>8117</v>
      </c>
      <c r="C8122" s="10">
        <v>529.25248123272115</v>
      </c>
      <c r="D8122" s="42"/>
    </row>
    <row r="8123" spans="2:4" ht="16" thickBot="1" x14ac:dyDescent="0.25">
      <c r="B8123" s="5">
        <v>8118</v>
      </c>
      <c r="C8123" s="11">
        <v>418.32978705100135</v>
      </c>
      <c r="D8123" s="42"/>
    </row>
    <row r="8124" spans="2:4" ht="16" thickBot="1" x14ac:dyDescent="0.25">
      <c r="B8124" s="4">
        <v>8119</v>
      </c>
      <c r="C8124" s="10">
        <v>127.689667513427</v>
      </c>
      <c r="D8124" s="42"/>
    </row>
    <row r="8125" spans="2:4" ht="16" thickBot="1" x14ac:dyDescent="0.25">
      <c r="B8125" s="5">
        <v>8120</v>
      </c>
      <c r="C8125" s="11">
        <v>288.41758553895068</v>
      </c>
      <c r="D8125" s="42"/>
    </row>
    <row r="8126" spans="2:4" ht="16" thickBot="1" x14ac:dyDescent="0.25">
      <c r="B8126" s="4">
        <v>8121</v>
      </c>
      <c r="C8126" s="10">
        <v>180.9100789377155</v>
      </c>
      <c r="D8126" s="42"/>
    </row>
    <row r="8127" spans="2:4" ht="16" thickBot="1" x14ac:dyDescent="0.25">
      <c r="B8127" s="5">
        <v>8122</v>
      </c>
      <c r="C8127" s="11">
        <v>366.20630537975273</v>
      </c>
      <c r="D8127" s="42"/>
    </row>
    <row r="8128" spans="2:4" ht="16" thickBot="1" x14ac:dyDescent="0.25">
      <c r="B8128" s="4">
        <v>8123</v>
      </c>
      <c r="C8128" s="10">
        <v>198.60800038291859</v>
      </c>
      <c r="D8128" s="42"/>
    </row>
    <row r="8129" spans="2:4" ht="16" thickBot="1" x14ac:dyDescent="0.25">
      <c r="B8129" s="5">
        <v>8124</v>
      </c>
      <c r="C8129" s="11">
        <v>304.46605042955417</v>
      </c>
      <c r="D8129" s="42"/>
    </row>
    <row r="8130" spans="2:4" ht="16" thickBot="1" x14ac:dyDescent="0.25">
      <c r="B8130" s="4">
        <v>8125</v>
      </c>
      <c r="C8130" s="10">
        <v>71.841355055315717</v>
      </c>
      <c r="D8130" s="42"/>
    </row>
    <row r="8131" spans="2:4" ht="16" thickBot="1" x14ac:dyDescent="0.25">
      <c r="B8131" s="5">
        <v>8126</v>
      </c>
      <c r="C8131" s="11">
        <v>77.044123956528964</v>
      </c>
      <c r="D8131" s="42"/>
    </row>
    <row r="8132" spans="2:4" ht="16" thickBot="1" x14ac:dyDescent="0.25">
      <c r="B8132" s="4">
        <v>8127</v>
      </c>
      <c r="C8132" s="10">
        <v>83.64580407977499</v>
      </c>
      <c r="D8132" s="42"/>
    </row>
    <row r="8133" spans="2:4" ht="16" thickBot="1" x14ac:dyDescent="0.25">
      <c r="B8133" s="5">
        <v>8128</v>
      </c>
      <c r="C8133" s="11">
        <v>187.62419646659311</v>
      </c>
      <c r="D8133" s="42"/>
    </row>
    <row r="8134" spans="2:4" ht="16" thickBot="1" x14ac:dyDescent="0.25">
      <c r="B8134" s="4">
        <v>8129</v>
      </c>
      <c r="C8134" s="10">
        <v>560.02819813692759</v>
      </c>
      <c r="D8134" s="42"/>
    </row>
    <row r="8135" spans="2:4" ht="16" thickBot="1" x14ac:dyDescent="0.25">
      <c r="B8135" s="5">
        <v>8130</v>
      </c>
      <c r="C8135" s="11">
        <v>145.30950416713586</v>
      </c>
      <c r="D8135" s="42"/>
    </row>
    <row r="8136" spans="2:4" ht="16" thickBot="1" x14ac:dyDescent="0.25">
      <c r="B8136" s="4">
        <v>8131</v>
      </c>
      <c r="C8136" s="10">
        <v>423.62646333483383</v>
      </c>
      <c r="D8136" s="42"/>
    </row>
    <row r="8137" spans="2:4" ht="16" thickBot="1" x14ac:dyDescent="0.25">
      <c r="B8137" s="5">
        <v>8132</v>
      </c>
      <c r="C8137" s="11">
        <v>220.08472532896255</v>
      </c>
      <c r="D8137" s="42"/>
    </row>
    <row r="8138" spans="2:4" ht="16" thickBot="1" x14ac:dyDescent="0.25">
      <c r="B8138" s="4">
        <v>8133</v>
      </c>
      <c r="C8138" s="10">
        <v>153.49677610576339</v>
      </c>
      <c r="D8138" s="42"/>
    </row>
    <row r="8139" spans="2:4" ht="16" thickBot="1" x14ac:dyDescent="0.25">
      <c r="B8139" s="5">
        <v>8134</v>
      </c>
      <c r="C8139" s="11">
        <v>249.17789874943225</v>
      </c>
      <c r="D8139" s="42"/>
    </row>
    <row r="8140" spans="2:4" ht="16" thickBot="1" x14ac:dyDescent="0.25">
      <c r="B8140" s="4">
        <v>8135</v>
      </c>
      <c r="C8140" s="10">
        <v>143.84954271227602</v>
      </c>
      <c r="D8140" s="42"/>
    </row>
    <row r="8141" spans="2:4" ht="16" thickBot="1" x14ac:dyDescent="0.25">
      <c r="B8141" s="5">
        <v>8136</v>
      </c>
      <c r="C8141" s="11">
        <v>330.21207863466066</v>
      </c>
      <c r="D8141" s="42"/>
    </row>
    <row r="8142" spans="2:4" ht="16" thickBot="1" x14ac:dyDescent="0.25">
      <c r="B8142" s="4">
        <v>8137</v>
      </c>
      <c r="C8142" s="10">
        <v>121.4230425282079</v>
      </c>
      <c r="D8142" s="42"/>
    </row>
    <row r="8143" spans="2:4" ht="16" thickBot="1" x14ac:dyDescent="0.25">
      <c r="B8143" s="5">
        <v>8138</v>
      </c>
      <c r="C8143" s="11">
        <v>310.4416346045337</v>
      </c>
      <c r="D8143" s="42"/>
    </row>
    <row r="8144" spans="2:4" ht="16" thickBot="1" x14ac:dyDescent="0.25">
      <c r="B8144" s="4">
        <v>8139</v>
      </c>
      <c r="C8144" s="10">
        <v>100.73340535320936</v>
      </c>
      <c r="D8144" s="42"/>
    </row>
    <row r="8145" spans="2:4" ht="16" thickBot="1" x14ac:dyDescent="0.25">
      <c r="B8145" s="5">
        <v>8140</v>
      </c>
      <c r="C8145" s="11">
        <v>174.96981350141508</v>
      </c>
      <c r="D8145" s="42"/>
    </row>
    <row r="8146" spans="2:4" ht="16" thickBot="1" x14ac:dyDescent="0.25">
      <c r="B8146" s="4">
        <v>8141</v>
      </c>
      <c r="C8146" s="10">
        <v>123.64720139139391</v>
      </c>
      <c r="D8146" s="42"/>
    </row>
    <row r="8147" spans="2:4" ht="16" thickBot="1" x14ac:dyDescent="0.25">
      <c r="B8147" s="5">
        <v>8142</v>
      </c>
      <c r="C8147" s="11">
        <v>91.149865261129079</v>
      </c>
      <c r="D8147" s="42"/>
    </row>
    <row r="8148" spans="2:4" ht="16" thickBot="1" x14ac:dyDescent="0.25">
      <c r="B8148" s="4">
        <v>8143</v>
      </c>
      <c r="C8148" s="10">
        <v>151.41476989119732</v>
      </c>
      <c r="D8148" s="42"/>
    </row>
    <row r="8149" spans="2:4" ht="16" thickBot="1" x14ac:dyDescent="0.25">
      <c r="B8149" s="5">
        <v>8144</v>
      </c>
      <c r="C8149" s="11">
        <v>167.19664731654177</v>
      </c>
      <c r="D8149" s="42"/>
    </row>
    <row r="8150" spans="2:4" ht="16" thickBot="1" x14ac:dyDescent="0.25">
      <c r="B8150" s="4">
        <v>8145</v>
      </c>
      <c r="C8150" s="10">
        <v>201.63355295243306</v>
      </c>
      <c r="D8150" s="42"/>
    </row>
    <row r="8151" spans="2:4" ht="16" thickBot="1" x14ac:dyDescent="0.25">
      <c r="B8151" s="5">
        <v>8146</v>
      </c>
      <c r="C8151" s="11">
        <v>212.80640756228266</v>
      </c>
      <c r="D8151" s="42"/>
    </row>
    <row r="8152" spans="2:4" ht="16" thickBot="1" x14ac:dyDescent="0.25">
      <c r="B8152" s="4">
        <v>8147</v>
      </c>
      <c r="C8152" s="10">
        <v>213.66128791820086</v>
      </c>
      <c r="D8152" s="42"/>
    </row>
    <row r="8153" spans="2:4" ht="16" thickBot="1" x14ac:dyDescent="0.25">
      <c r="B8153" s="5">
        <v>8148</v>
      </c>
      <c r="C8153" s="11">
        <v>31.632344046092964</v>
      </c>
      <c r="D8153" s="42"/>
    </row>
    <row r="8154" spans="2:4" ht="16" thickBot="1" x14ac:dyDescent="0.25">
      <c r="B8154" s="4">
        <v>8149</v>
      </c>
      <c r="C8154" s="10">
        <v>169.000469262031</v>
      </c>
      <c r="D8154" s="42"/>
    </row>
    <row r="8155" spans="2:4" ht="16" thickBot="1" x14ac:dyDescent="0.25">
      <c r="B8155" s="5">
        <v>8150</v>
      </c>
      <c r="C8155" s="11">
        <v>103.81629002052428</v>
      </c>
      <c r="D8155" s="42"/>
    </row>
    <row r="8156" spans="2:4" ht="16" thickBot="1" x14ac:dyDescent="0.25">
      <c r="B8156" s="4">
        <v>8151</v>
      </c>
      <c r="C8156" s="10">
        <v>125.67832679344828</v>
      </c>
      <c r="D8156" s="42"/>
    </row>
    <row r="8157" spans="2:4" ht="16" thickBot="1" x14ac:dyDescent="0.25">
      <c r="B8157" s="5">
        <v>8152</v>
      </c>
      <c r="C8157" s="11">
        <v>236.36904653513014</v>
      </c>
      <c r="D8157" s="42"/>
    </row>
    <row r="8158" spans="2:4" ht="16" thickBot="1" x14ac:dyDescent="0.25">
      <c r="B8158" s="4">
        <v>8153</v>
      </c>
      <c r="C8158" s="10">
        <v>269.14536987601304</v>
      </c>
      <c r="D8158" s="42"/>
    </row>
    <row r="8159" spans="2:4" ht="16" thickBot="1" x14ac:dyDescent="0.25">
      <c r="B8159" s="5">
        <v>8154</v>
      </c>
      <c r="C8159" s="11">
        <v>137.03156399055891</v>
      </c>
      <c r="D8159" s="42"/>
    </row>
    <row r="8160" spans="2:4" ht="16" thickBot="1" x14ac:dyDescent="0.25">
      <c r="B8160" s="4">
        <v>8155</v>
      </c>
      <c r="C8160" s="10">
        <v>181.45746513003405</v>
      </c>
      <c r="D8160" s="42"/>
    </row>
    <row r="8161" spans="2:4" ht="16" thickBot="1" x14ac:dyDescent="0.25">
      <c r="B8161" s="5">
        <v>8156</v>
      </c>
      <c r="C8161" s="11">
        <v>594.49284119159768</v>
      </c>
      <c r="D8161" s="42"/>
    </row>
    <row r="8162" spans="2:4" ht="16" thickBot="1" x14ac:dyDescent="0.25">
      <c r="B8162" s="4">
        <v>8157</v>
      </c>
      <c r="C8162" s="10">
        <v>357.81230736547758</v>
      </c>
      <c r="D8162" s="42"/>
    </row>
    <row r="8163" spans="2:4" ht="16" thickBot="1" x14ac:dyDescent="0.25">
      <c r="B8163" s="5">
        <v>8158</v>
      </c>
      <c r="C8163" s="11">
        <v>251.00844254278726</v>
      </c>
      <c r="D8163" s="42"/>
    </row>
    <row r="8164" spans="2:4" ht="16" thickBot="1" x14ac:dyDescent="0.25">
      <c r="B8164" s="4">
        <v>8159</v>
      </c>
      <c r="C8164" s="10">
        <v>332.74097533576145</v>
      </c>
      <c r="D8164" s="42"/>
    </row>
    <row r="8165" spans="2:4" ht="16" thickBot="1" x14ac:dyDescent="0.25">
      <c r="B8165" s="5">
        <v>8160</v>
      </c>
      <c r="C8165" s="11">
        <v>591.32219398125869</v>
      </c>
      <c r="D8165" s="42"/>
    </row>
    <row r="8166" spans="2:4" ht="16" thickBot="1" x14ac:dyDescent="0.25">
      <c r="B8166" s="4">
        <v>8161</v>
      </c>
      <c r="C8166" s="10">
        <v>192.48615816912726</v>
      </c>
      <c r="D8166" s="42"/>
    </row>
    <row r="8167" spans="2:4" ht="16" thickBot="1" x14ac:dyDescent="0.25">
      <c r="B8167" s="5">
        <v>8162</v>
      </c>
      <c r="C8167" s="11">
        <v>164.62531350523813</v>
      </c>
      <c r="D8167" s="42"/>
    </row>
    <row r="8168" spans="2:4" ht="16" thickBot="1" x14ac:dyDescent="0.25">
      <c r="B8168" s="4">
        <v>8163</v>
      </c>
      <c r="C8168" s="10">
        <v>163.93134117947866</v>
      </c>
      <c r="D8168" s="42"/>
    </row>
    <row r="8169" spans="2:4" ht="16" thickBot="1" x14ac:dyDescent="0.25">
      <c r="B8169" s="5">
        <v>8164</v>
      </c>
      <c r="C8169" s="11">
        <v>364.24132262460716</v>
      </c>
      <c r="D8169" s="42"/>
    </row>
    <row r="8170" spans="2:4" ht="16" thickBot="1" x14ac:dyDescent="0.25">
      <c r="B8170" s="4">
        <v>8165</v>
      </c>
      <c r="C8170" s="10">
        <v>202.649479439148</v>
      </c>
      <c r="D8170" s="42"/>
    </row>
    <row r="8171" spans="2:4" ht="16" thickBot="1" x14ac:dyDescent="0.25">
      <c r="B8171" s="5">
        <v>8166</v>
      </c>
      <c r="C8171" s="11">
        <v>251.28823452870546</v>
      </c>
      <c r="D8171" s="42"/>
    </row>
    <row r="8172" spans="2:4" ht="16" thickBot="1" x14ac:dyDescent="0.25">
      <c r="B8172" s="4">
        <v>8167</v>
      </c>
      <c r="C8172" s="10">
        <v>460.68248352807956</v>
      </c>
      <c r="D8172" s="42"/>
    </row>
    <row r="8173" spans="2:4" ht="16" thickBot="1" x14ac:dyDescent="0.25">
      <c r="B8173" s="5">
        <v>8168</v>
      </c>
      <c r="C8173" s="11">
        <v>564.09904220964142</v>
      </c>
      <c r="D8173" s="42"/>
    </row>
    <row r="8174" spans="2:4" ht="16" thickBot="1" x14ac:dyDescent="0.25">
      <c r="B8174" s="4">
        <v>8169</v>
      </c>
      <c r="C8174" s="10">
        <v>93.600778732193987</v>
      </c>
      <c r="D8174" s="42"/>
    </row>
    <row r="8175" spans="2:4" ht="16" thickBot="1" x14ac:dyDescent="0.25">
      <c r="B8175" s="5">
        <v>8170</v>
      </c>
      <c r="C8175" s="11">
        <v>194.6092295468826</v>
      </c>
      <c r="D8175" s="42"/>
    </row>
    <row r="8176" spans="2:4" ht="16" thickBot="1" x14ac:dyDescent="0.25">
      <c r="B8176" s="4">
        <v>8171</v>
      </c>
      <c r="C8176" s="10">
        <v>165.90012730337347</v>
      </c>
      <c r="D8176" s="42"/>
    </row>
    <row r="8177" spans="2:4" ht="16" thickBot="1" x14ac:dyDescent="0.25">
      <c r="B8177" s="5">
        <v>8172</v>
      </c>
      <c r="C8177" s="11">
        <v>182.40101685910929</v>
      </c>
      <c r="D8177" s="42"/>
    </row>
    <row r="8178" spans="2:4" ht="16" thickBot="1" x14ac:dyDescent="0.25">
      <c r="B8178" s="4">
        <v>8173</v>
      </c>
      <c r="C8178" s="10">
        <v>213.83112044806518</v>
      </c>
      <c r="D8178" s="42"/>
    </row>
    <row r="8179" spans="2:4" ht="16" thickBot="1" x14ac:dyDescent="0.25">
      <c r="B8179" s="5">
        <v>8174</v>
      </c>
      <c r="C8179" s="11">
        <v>84.506787672473081</v>
      </c>
      <c r="D8179" s="42"/>
    </row>
    <row r="8180" spans="2:4" ht="16" thickBot="1" x14ac:dyDescent="0.25">
      <c r="B8180" s="4">
        <v>8175</v>
      </c>
      <c r="C8180" s="10">
        <v>187.91975488849732</v>
      </c>
      <c r="D8180" s="42"/>
    </row>
    <row r="8181" spans="2:4" ht="16" thickBot="1" x14ac:dyDescent="0.25">
      <c r="B8181" s="5">
        <v>8176</v>
      </c>
      <c r="C8181" s="11">
        <v>350.19377999344863</v>
      </c>
      <c r="D8181" s="42"/>
    </row>
    <row r="8182" spans="2:4" ht="16" thickBot="1" x14ac:dyDescent="0.25">
      <c r="B8182" s="4">
        <v>8177</v>
      </c>
      <c r="C8182" s="10">
        <v>314.86813843605034</v>
      </c>
      <c r="D8182" s="42"/>
    </row>
    <row r="8183" spans="2:4" ht="16" thickBot="1" x14ac:dyDescent="0.25">
      <c r="B8183" s="5">
        <v>8178</v>
      </c>
      <c r="C8183" s="11">
        <v>117.02070407382621</v>
      </c>
      <c r="D8183" s="42"/>
    </row>
    <row r="8184" spans="2:4" ht="16" thickBot="1" x14ac:dyDescent="0.25">
      <c r="B8184" s="4">
        <v>8179</v>
      </c>
      <c r="C8184" s="10">
        <v>69.794268408808563</v>
      </c>
      <c r="D8184" s="42"/>
    </row>
    <row r="8185" spans="2:4" ht="16" thickBot="1" x14ac:dyDescent="0.25">
      <c r="B8185" s="5">
        <v>8180</v>
      </c>
      <c r="C8185" s="11">
        <v>69.820104917544782</v>
      </c>
      <c r="D8185" s="42"/>
    </row>
    <row r="8186" spans="2:4" ht="16" thickBot="1" x14ac:dyDescent="0.25">
      <c r="B8186" s="4">
        <v>8181</v>
      </c>
      <c r="C8186" s="10">
        <v>273.83772554692189</v>
      </c>
      <c r="D8186" s="42"/>
    </row>
    <row r="8187" spans="2:4" ht="16" thickBot="1" x14ac:dyDescent="0.25">
      <c r="B8187" s="5">
        <v>8182</v>
      </c>
      <c r="C8187" s="11">
        <v>400.22927082286787</v>
      </c>
      <c r="D8187" s="42"/>
    </row>
    <row r="8188" spans="2:4" ht="16" thickBot="1" x14ac:dyDescent="0.25">
      <c r="B8188" s="4">
        <v>8183</v>
      </c>
      <c r="C8188" s="10">
        <v>160.15198717062887</v>
      </c>
      <c r="D8188" s="42"/>
    </row>
    <row r="8189" spans="2:4" ht="16" thickBot="1" x14ac:dyDescent="0.25">
      <c r="B8189" s="5">
        <v>8184</v>
      </c>
      <c r="C8189" s="11">
        <v>189.94214147987495</v>
      </c>
      <c r="D8189" s="42"/>
    </row>
    <row r="8190" spans="2:4" ht="16" thickBot="1" x14ac:dyDescent="0.25">
      <c r="B8190" s="4">
        <v>8185</v>
      </c>
      <c r="C8190" s="10">
        <v>127.28970554842353</v>
      </c>
      <c r="D8190" s="42"/>
    </row>
    <row r="8191" spans="2:4" ht="16" thickBot="1" x14ac:dyDescent="0.25">
      <c r="B8191" s="5">
        <v>8186</v>
      </c>
      <c r="C8191" s="11">
        <v>470.93112966238044</v>
      </c>
      <c r="D8191" s="42"/>
    </row>
    <row r="8192" spans="2:4" ht="16" thickBot="1" x14ac:dyDescent="0.25">
      <c r="B8192" s="4">
        <v>8187</v>
      </c>
      <c r="C8192" s="10">
        <v>220.50483895334128</v>
      </c>
      <c r="D8192" s="42"/>
    </row>
    <row r="8193" spans="2:4" ht="16" thickBot="1" x14ac:dyDescent="0.25">
      <c r="B8193" s="5">
        <v>8188</v>
      </c>
      <c r="C8193" s="11">
        <v>454.18272537954704</v>
      </c>
      <c r="D8193" s="42"/>
    </row>
    <row r="8194" spans="2:4" ht="16" thickBot="1" x14ac:dyDescent="0.25">
      <c r="B8194" s="4">
        <v>8189</v>
      </c>
      <c r="C8194" s="10">
        <v>319.42067323867241</v>
      </c>
      <c r="D8194" s="42"/>
    </row>
    <row r="8195" spans="2:4" ht="16" thickBot="1" x14ac:dyDescent="0.25">
      <c r="B8195" s="5">
        <v>8190</v>
      </c>
      <c r="C8195" s="11">
        <v>378.92901876738745</v>
      </c>
      <c r="D8195" s="42"/>
    </row>
    <row r="8196" spans="2:4" ht="16" thickBot="1" x14ac:dyDescent="0.25">
      <c r="B8196" s="4">
        <v>8191</v>
      </c>
      <c r="C8196" s="10">
        <v>604.38978922767046</v>
      </c>
      <c r="D8196" s="42"/>
    </row>
    <row r="8197" spans="2:4" ht="16" thickBot="1" x14ac:dyDescent="0.25">
      <c r="B8197" s="5">
        <v>8192</v>
      </c>
      <c r="C8197" s="11">
        <v>344.41888677854223</v>
      </c>
      <c r="D8197" s="42"/>
    </row>
    <row r="8198" spans="2:4" ht="16" thickBot="1" x14ac:dyDescent="0.25">
      <c r="B8198" s="4">
        <v>8193</v>
      </c>
      <c r="C8198" s="10">
        <v>70.550513806169249</v>
      </c>
      <c r="D8198" s="42"/>
    </row>
    <row r="8199" spans="2:4" ht="16" thickBot="1" x14ac:dyDescent="0.25">
      <c r="B8199" s="5">
        <v>8194</v>
      </c>
      <c r="C8199" s="11">
        <v>157.95578350353929</v>
      </c>
      <c r="D8199" s="42"/>
    </row>
    <row r="8200" spans="2:4" ht="16" thickBot="1" x14ac:dyDescent="0.25">
      <c r="B8200" s="4">
        <v>8195</v>
      </c>
      <c r="C8200" s="10">
        <v>189.79677748898766</v>
      </c>
      <c r="D8200" s="42"/>
    </row>
    <row r="8201" spans="2:4" ht="16" thickBot="1" x14ac:dyDescent="0.25">
      <c r="B8201" s="5">
        <v>8196</v>
      </c>
      <c r="C8201" s="11">
        <v>330.8921677343252</v>
      </c>
      <c r="D8201" s="42"/>
    </row>
    <row r="8202" spans="2:4" ht="16" thickBot="1" x14ac:dyDescent="0.25">
      <c r="B8202" s="4">
        <v>8197</v>
      </c>
      <c r="C8202" s="10">
        <v>217.61505312930569</v>
      </c>
      <c r="D8202" s="42"/>
    </row>
    <row r="8203" spans="2:4" ht="16" thickBot="1" x14ac:dyDescent="0.25">
      <c r="B8203" s="5">
        <v>8198</v>
      </c>
      <c r="C8203" s="11">
        <v>123.7831970116883</v>
      </c>
      <c r="D8203" s="42"/>
    </row>
    <row r="8204" spans="2:4" ht="16" thickBot="1" x14ac:dyDescent="0.25">
      <c r="B8204" s="4">
        <v>8199</v>
      </c>
      <c r="C8204" s="10">
        <v>654.71632287832063</v>
      </c>
      <c r="D8204" s="42"/>
    </row>
    <row r="8205" spans="2:4" ht="16" thickBot="1" x14ac:dyDescent="0.25">
      <c r="B8205" s="5">
        <v>8200</v>
      </c>
      <c r="C8205" s="11">
        <v>100.92285251608901</v>
      </c>
      <c r="D8205" s="42"/>
    </row>
    <row r="8206" spans="2:4" ht="16" thickBot="1" x14ac:dyDescent="0.25">
      <c r="B8206" s="4">
        <v>8201</v>
      </c>
      <c r="C8206" s="10">
        <v>464.15950385668623</v>
      </c>
      <c r="D8206" s="42"/>
    </row>
    <row r="8207" spans="2:4" ht="16" thickBot="1" x14ac:dyDescent="0.25">
      <c r="B8207" s="5">
        <v>8202</v>
      </c>
      <c r="C8207" s="11">
        <v>246.48849651972085</v>
      </c>
      <c r="D8207" s="42"/>
    </row>
    <row r="8208" spans="2:4" ht="16" thickBot="1" x14ac:dyDescent="0.25">
      <c r="B8208" s="4">
        <v>8203</v>
      </c>
      <c r="C8208" s="10">
        <v>334.61065617524548</v>
      </c>
      <c r="D8208" s="42"/>
    </row>
    <row r="8209" spans="2:4" ht="16" thickBot="1" x14ac:dyDescent="0.25">
      <c r="B8209" s="5">
        <v>8204</v>
      </c>
      <c r="C8209" s="11">
        <v>419.04079264068457</v>
      </c>
      <c r="D8209" s="42"/>
    </row>
    <row r="8210" spans="2:4" ht="16" thickBot="1" x14ac:dyDescent="0.25">
      <c r="B8210" s="4">
        <v>8205</v>
      </c>
      <c r="C8210" s="10">
        <v>312.33420150567326</v>
      </c>
      <c r="D8210" s="42"/>
    </row>
    <row r="8211" spans="2:4" ht="16" thickBot="1" x14ac:dyDescent="0.25">
      <c r="B8211" s="5">
        <v>8206</v>
      </c>
      <c r="C8211" s="11">
        <v>210.15150442531581</v>
      </c>
      <c r="D8211" s="42"/>
    </row>
    <row r="8212" spans="2:4" ht="16" thickBot="1" x14ac:dyDescent="0.25">
      <c r="B8212" s="4">
        <v>8207</v>
      </c>
      <c r="C8212" s="10">
        <v>292.72309461216315</v>
      </c>
      <c r="D8212" s="42"/>
    </row>
    <row r="8213" spans="2:4" ht="16" thickBot="1" x14ac:dyDescent="0.25">
      <c r="B8213" s="5">
        <v>8208</v>
      </c>
      <c r="C8213" s="11">
        <v>58.695393715117888</v>
      </c>
      <c r="D8213" s="42"/>
    </row>
    <row r="8214" spans="2:4" ht="16" thickBot="1" x14ac:dyDescent="0.25">
      <c r="B8214" s="4">
        <v>8209</v>
      </c>
      <c r="C8214" s="10">
        <v>97.414584705679118</v>
      </c>
      <c r="D8214" s="42"/>
    </row>
    <row r="8215" spans="2:4" ht="16" thickBot="1" x14ac:dyDescent="0.25">
      <c r="B8215" s="5">
        <v>8210</v>
      </c>
      <c r="C8215" s="11">
        <v>149.70894285824528</v>
      </c>
      <c r="D8215" s="42"/>
    </row>
    <row r="8216" spans="2:4" ht="16" thickBot="1" x14ac:dyDescent="0.25">
      <c r="B8216" s="4">
        <v>8211</v>
      </c>
      <c r="C8216" s="10">
        <v>268.84126844860316</v>
      </c>
      <c r="D8216" s="42"/>
    </row>
    <row r="8217" spans="2:4" ht="16" thickBot="1" x14ac:dyDescent="0.25">
      <c r="B8217" s="5">
        <v>8212</v>
      </c>
      <c r="C8217" s="11">
        <v>236.56034875705308</v>
      </c>
      <c r="D8217" s="42"/>
    </row>
    <row r="8218" spans="2:4" ht="16" thickBot="1" x14ac:dyDescent="0.25">
      <c r="B8218" s="4">
        <v>8213</v>
      </c>
      <c r="C8218" s="10">
        <v>473.16691275996646</v>
      </c>
      <c r="D8218" s="42"/>
    </row>
    <row r="8219" spans="2:4" ht="16" thickBot="1" x14ac:dyDescent="0.25">
      <c r="B8219" s="5">
        <v>8214</v>
      </c>
      <c r="C8219" s="11">
        <v>384.02023351692014</v>
      </c>
      <c r="D8219" s="42"/>
    </row>
    <row r="8220" spans="2:4" ht="16" thickBot="1" x14ac:dyDescent="0.25">
      <c r="B8220" s="4">
        <v>8215</v>
      </c>
      <c r="C8220" s="10">
        <v>293.13056520416421</v>
      </c>
      <c r="D8220" s="42"/>
    </row>
    <row r="8221" spans="2:4" ht="16" thickBot="1" x14ac:dyDescent="0.25">
      <c r="B8221" s="5">
        <v>8216</v>
      </c>
      <c r="C8221" s="11">
        <v>459.73566538550955</v>
      </c>
      <c r="D8221" s="42"/>
    </row>
    <row r="8222" spans="2:4" ht="16" thickBot="1" x14ac:dyDescent="0.25">
      <c r="B8222" s="4">
        <v>8217</v>
      </c>
      <c r="C8222" s="10">
        <v>152.09303181854909</v>
      </c>
      <c r="D8222" s="42"/>
    </row>
    <row r="8223" spans="2:4" ht="16" thickBot="1" x14ac:dyDescent="0.25">
      <c r="B8223" s="5">
        <v>8218</v>
      </c>
      <c r="C8223" s="11">
        <v>393.43506482979404</v>
      </c>
      <c r="D8223" s="42"/>
    </row>
    <row r="8224" spans="2:4" ht="16" thickBot="1" x14ac:dyDescent="0.25">
      <c r="B8224" s="4">
        <v>8219</v>
      </c>
      <c r="C8224" s="10">
        <v>92.364200126496968</v>
      </c>
      <c r="D8224" s="42"/>
    </row>
    <row r="8225" spans="2:4" ht="16" thickBot="1" x14ac:dyDescent="0.25">
      <c r="B8225" s="5">
        <v>8220</v>
      </c>
      <c r="C8225" s="11">
        <v>293.0695661269861</v>
      </c>
      <c r="D8225" s="42"/>
    </row>
    <row r="8226" spans="2:4" ht="16" thickBot="1" x14ac:dyDescent="0.25">
      <c r="B8226" s="4">
        <v>8221</v>
      </c>
      <c r="C8226" s="10">
        <v>289.71972620425532</v>
      </c>
      <c r="D8226" s="42"/>
    </row>
    <row r="8227" spans="2:4" ht="16" thickBot="1" x14ac:dyDescent="0.25">
      <c r="B8227" s="5">
        <v>8222</v>
      </c>
      <c r="C8227" s="11">
        <v>115.19859643876111</v>
      </c>
      <c r="D8227" s="42"/>
    </row>
    <row r="8228" spans="2:4" ht="16" thickBot="1" x14ac:dyDescent="0.25">
      <c r="B8228" s="4">
        <v>8223</v>
      </c>
      <c r="C8228" s="10">
        <v>270.37026598400143</v>
      </c>
      <c r="D8228" s="42"/>
    </row>
    <row r="8229" spans="2:4" ht="16" thickBot="1" x14ac:dyDescent="0.25">
      <c r="B8229" s="5">
        <v>8224</v>
      </c>
      <c r="C8229" s="11">
        <v>294.96572658733561</v>
      </c>
      <c r="D8229" s="42"/>
    </row>
    <row r="8230" spans="2:4" ht="16" thickBot="1" x14ac:dyDescent="0.25">
      <c r="B8230" s="4">
        <v>8225</v>
      </c>
      <c r="C8230" s="10">
        <v>207.76627422860474</v>
      </c>
      <c r="D8230" s="42"/>
    </row>
    <row r="8231" spans="2:4" ht="16" thickBot="1" x14ac:dyDescent="0.25">
      <c r="B8231" s="5">
        <v>8226</v>
      </c>
      <c r="C8231" s="11">
        <v>207.21409329448034</v>
      </c>
      <c r="D8231" s="42"/>
    </row>
    <row r="8232" spans="2:4" ht="16" thickBot="1" x14ac:dyDescent="0.25">
      <c r="B8232" s="4">
        <v>8227</v>
      </c>
      <c r="C8232" s="10">
        <v>99.237478219085972</v>
      </c>
      <c r="D8232" s="42"/>
    </row>
    <row r="8233" spans="2:4" ht="16" thickBot="1" x14ac:dyDescent="0.25">
      <c r="B8233" s="5">
        <v>8228</v>
      </c>
      <c r="C8233" s="11">
        <v>62.848424141778978</v>
      </c>
      <c r="D8233" s="42"/>
    </row>
    <row r="8234" spans="2:4" ht="16" thickBot="1" x14ac:dyDescent="0.25">
      <c r="B8234" s="4">
        <v>8229</v>
      </c>
      <c r="C8234" s="10">
        <v>104.84713044773018</v>
      </c>
      <c r="D8234" s="42"/>
    </row>
    <row r="8235" spans="2:4" ht="16" thickBot="1" x14ac:dyDescent="0.25">
      <c r="B8235" s="5">
        <v>8230</v>
      </c>
      <c r="C8235" s="11">
        <v>279.87951487322181</v>
      </c>
      <c r="D8235" s="42"/>
    </row>
    <row r="8236" spans="2:4" ht="16" thickBot="1" x14ac:dyDescent="0.25">
      <c r="B8236" s="4">
        <v>8231</v>
      </c>
      <c r="C8236" s="10">
        <v>252.18743572928329</v>
      </c>
      <c r="D8236" s="42"/>
    </row>
    <row r="8237" spans="2:4" ht="16" thickBot="1" x14ac:dyDescent="0.25">
      <c r="B8237" s="5">
        <v>8232</v>
      </c>
      <c r="C8237" s="11">
        <v>332.81870805318408</v>
      </c>
      <c r="D8237" s="42"/>
    </row>
    <row r="8238" spans="2:4" ht="16" thickBot="1" x14ac:dyDescent="0.25">
      <c r="B8238" s="4">
        <v>8233</v>
      </c>
      <c r="C8238" s="10">
        <v>76.100146536873126</v>
      </c>
      <c r="D8238" s="42"/>
    </row>
    <row r="8239" spans="2:4" ht="16" thickBot="1" x14ac:dyDescent="0.25">
      <c r="B8239" s="5">
        <v>8234</v>
      </c>
      <c r="C8239" s="11">
        <v>142.15257762566668</v>
      </c>
      <c r="D8239" s="42"/>
    </row>
    <row r="8240" spans="2:4" ht="16" thickBot="1" x14ac:dyDescent="0.25">
      <c r="B8240" s="4">
        <v>8235</v>
      </c>
      <c r="C8240" s="10">
        <v>232.94022877094756</v>
      </c>
      <c r="D8240" s="42"/>
    </row>
    <row r="8241" spans="2:4" ht="16" thickBot="1" x14ac:dyDescent="0.25">
      <c r="B8241" s="5">
        <v>8236</v>
      </c>
      <c r="C8241" s="11">
        <v>217.14930092748332</v>
      </c>
      <c r="D8241" s="42"/>
    </row>
    <row r="8242" spans="2:4" ht="16" thickBot="1" x14ac:dyDescent="0.25">
      <c r="B8242" s="4">
        <v>8237</v>
      </c>
      <c r="C8242" s="10">
        <v>354.14695769764268</v>
      </c>
      <c r="D8242" s="42"/>
    </row>
    <row r="8243" spans="2:4" ht="16" thickBot="1" x14ac:dyDescent="0.25">
      <c r="B8243" s="5">
        <v>8238</v>
      </c>
      <c r="C8243" s="11">
        <v>256.44237761785354</v>
      </c>
      <c r="D8243" s="42"/>
    </row>
    <row r="8244" spans="2:4" ht="16" thickBot="1" x14ac:dyDescent="0.25">
      <c r="B8244" s="4">
        <v>8239</v>
      </c>
      <c r="C8244" s="10">
        <v>170.74051347692355</v>
      </c>
      <c r="D8244" s="42"/>
    </row>
    <row r="8245" spans="2:4" ht="16" thickBot="1" x14ac:dyDescent="0.25">
      <c r="B8245" s="5">
        <v>8240</v>
      </c>
      <c r="C8245" s="11">
        <v>315.69151562396127</v>
      </c>
      <c r="D8245" s="42"/>
    </row>
    <row r="8246" spans="2:4" ht="16" thickBot="1" x14ac:dyDescent="0.25">
      <c r="B8246" s="4">
        <v>8241</v>
      </c>
      <c r="C8246" s="10">
        <v>216.05604213766662</v>
      </c>
      <c r="D8246" s="42"/>
    </row>
    <row r="8247" spans="2:4" ht="16" thickBot="1" x14ac:dyDescent="0.25">
      <c r="B8247" s="5">
        <v>8242</v>
      </c>
      <c r="C8247" s="11">
        <v>432.26493897690483</v>
      </c>
      <c r="D8247" s="42"/>
    </row>
    <row r="8248" spans="2:4" ht="16" thickBot="1" x14ac:dyDescent="0.25">
      <c r="B8248" s="4">
        <v>8243</v>
      </c>
      <c r="C8248" s="10">
        <v>279.12970879444697</v>
      </c>
      <c r="D8248" s="42"/>
    </row>
    <row r="8249" spans="2:4" ht="16" thickBot="1" x14ac:dyDescent="0.25">
      <c r="B8249" s="5">
        <v>8244</v>
      </c>
      <c r="C8249" s="11">
        <v>315.16248833983366</v>
      </c>
      <c r="D8249" s="42"/>
    </row>
    <row r="8250" spans="2:4" ht="16" thickBot="1" x14ac:dyDescent="0.25">
      <c r="B8250" s="4">
        <v>8245</v>
      </c>
      <c r="C8250" s="10">
        <v>742.97484302038208</v>
      </c>
      <c r="D8250" s="42"/>
    </row>
    <row r="8251" spans="2:4" ht="16" thickBot="1" x14ac:dyDescent="0.25">
      <c r="B8251" s="5">
        <v>8246</v>
      </c>
      <c r="C8251" s="11">
        <v>629.79518640242929</v>
      </c>
      <c r="D8251" s="42"/>
    </row>
    <row r="8252" spans="2:4" ht="16" thickBot="1" x14ac:dyDescent="0.25">
      <c r="B8252" s="4">
        <v>8247</v>
      </c>
      <c r="C8252" s="10">
        <v>270.82553214848673</v>
      </c>
      <c r="D8252" s="42"/>
    </row>
    <row r="8253" spans="2:4" ht="16" thickBot="1" x14ac:dyDescent="0.25">
      <c r="B8253" s="5">
        <v>8248</v>
      </c>
      <c r="C8253" s="11">
        <v>356.73875277785874</v>
      </c>
      <c r="D8253" s="42"/>
    </row>
    <row r="8254" spans="2:4" ht="16" thickBot="1" x14ac:dyDescent="0.25">
      <c r="B8254" s="4">
        <v>8249</v>
      </c>
      <c r="C8254" s="10">
        <v>276.8859916645016</v>
      </c>
      <c r="D8254" s="42"/>
    </row>
    <row r="8255" spans="2:4" ht="16" thickBot="1" x14ac:dyDescent="0.25">
      <c r="B8255" s="5">
        <v>8250</v>
      </c>
      <c r="C8255" s="11">
        <v>62.367094719924673</v>
      </c>
      <c r="D8255" s="42"/>
    </row>
    <row r="8256" spans="2:4" ht="16" thickBot="1" x14ac:dyDescent="0.25">
      <c r="B8256" s="4">
        <v>8251</v>
      </c>
      <c r="C8256" s="10">
        <v>207.76943408972454</v>
      </c>
      <c r="D8256" s="42"/>
    </row>
    <row r="8257" spans="2:4" ht="16" thickBot="1" x14ac:dyDescent="0.25">
      <c r="B8257" s="5">
        <v>8252</v>
      </c>
      <c r="C8257" s="11">
        <v>405.39026819545728</v>
      </c>
      <c r="D8257" s="42"/>
    </row>
    <row r="8258" spans="2:4" ht="16" thickBot="1" x14ac:dyDescent="0.25">
      <c r="B8258" s="4">
        <v>8253</v>
      </c>
      <c r="C8258" s="10">
        <v>274.46968827650693</v>
      </c>
      <c r="D8258" s="42"/>
    </row>
    <row r="8259" spans="2:4" ht="16" thickBot="1" x14ac:dyDescent="0.25">
      <c r="B8259" s="5">
        <v>8254</v>
      </c>
      <c r="C8259" s="11">
        <v>240.99778698961421</v>
      </c>
      <c r="D8259" s="42"/>
    </row>
    <row r="8260" spans="2:4" ht="16" thickBot="1" x14ac:dyDescent="0.25">
      <c r="B8260" s="4">
        <v>8255</v>
      </c>
      <c r="C8260" s="10">
        <v>297.86535011224782</v>
      </c>
      <c r="D8260" s="42"/>
    </row>
    <row r="8261" spans="2:4" ht="16" thickBot="1" x14ac:dyDescent="0.25">
      <c r="B8261" s="5">
        <v>8256</v>
      </c>
      <c r="C8261" s="11">
        <v>483.90102749563204</v>
      </c>
      <c r="D8261" s="42"/>
    </row>
    <row r="8262" spans="2:4" ht="16" thickBot="1" x14ac:dyDescent="0.25">
      <c r="B8262" s="4">
        <v>8257</v>
      </c>
      <c r="C8262" s="10">
        <v>344.31481059350256</v>
      </c>
      <c r="D8262" s="42"/>
    </row>
    <row r="8263" spans="2:4" ht="16" thickBot="1" x14ac:dyDescent="0.25">
      <c r="B8263" s="5">
        <v>8258</v>
      </c>
      <c r="C8263" s="11">
        <v>437.20687299916796</v>
      </c>
      <c r="D8263" s="42"/>
    </row>
    <row r="8264" spans="2:4" ht="16" thickBot="1" x14ac:dyDescent="0.25">
      <c r="B8264" s="4">
        <v>8259</v>
      </c>
      <c r="C8264" s="10">
        <v>190.02820686626899</v>
      </c>
      <c r="D8264" s="42"/>
    </row>
    <row r="8265" spans="2:4" ht="16" thickBot="1" x14ac:dyDescent="0.25">
      <c r="B8265" s="5">
        <v>8260</v>
      </c>
      <c r="C8265" s="11">
        <v>326.73647286037374</v>
      </c>
      <c r="D8265" s="42"/>
    </row>
    <row r="8266" spans="2:4" ht="16" thickBot="1" x14ac:dyDescent="0.25">
      <c r="B8266" s="4">
        <v>8261</v>
      </c>
      <c r="C8266" s="10">
        <v>174.84879087461127</v>
      </c>
      <c r="D8266" s="42"/>
    </row>
    <row r="8267" spans="2:4" ht="16" thickBot="1" x14ac:dyDescent="0.25">
      <c r="B8267" s="5">
        <v>8262</v>
      </c>
      <c r="C8267" s="11">
        <v>137.40642435934058</v>
      </c>
      <c r="D8267" s="42"/>
    </row>
    <row r="8268" spans="2:4" ht="16" thickBot="1" x14ac:dyDescent="0.25">
      <c r="B8268" s="4">
        <v>8263</v>
      </c>
      <c r="C8268" s="10">
        <v>274.41116786322414</v>
      </c>
      <c r="D8268" s="42"/>
    </row>
    <row r="8269" spans="2:4" ht="16" thickBot="1" x14ac:dyDescent="0.25">
      <c r="B8269" s="5">
        <v>8264</v>
      </c>
      <c r="C8269" s="11">
        <v>240.76542826823001</v>
      </c>
      <c r="D8269" s="42"/>
    </row>
    <row r="8270" spans="2:4" ht="16" thickBot="1" x14ac:dyDescent="0.25">
      <c r="B8270" s="4">
        <v>8265</v>
      </c>
      <c r="C8270" s="10">
        <v>441.92672960682825</v>
      </c>
      <c r="D8270" s="42"/>
    </row>
    <row r="8271" spans="2:4" ht="16" thickBot="1" x14ac:dyDescent="0.25">
      <c r="B8271" s="5">
        <v>8266</v>
      </c>
      <c r="C8271" s="11">
        <v>330.91982248113499</v>
      </c>
      <c r="D8271" s="42"/>
    </row>
    <row r="8272" spans="2:4" ht="16" thickBot="1" x14ac:dyDescent="0.25">
      <c r="B8272" s="4">
        <v>8267</v>
      </c>
      <c r="C8272" s="10">
        <v>199.43881244740365</v>
      </c>
      <c r="D8272" s="42"/>
    </row>
    <row r="8273" spans="2:4" ht="16" thickBot="1" x14ac:dyDescent="0.25">
      <c r="B8273" s="5">
        <v>8268</v>
      </c>
      <c r="C8273" s="11">
        <v>163.39767806172401</v>
      </c>
      <c r="D8273" s="42"/>
    </row>
    <row r="8274" spans="2:4" ht="16" thickBot="1" x14ac:dyDescent="0.25">
      <c r="B8274" s="4">
        <v>8269</v>
      </c>
      <c r="C8274" s="10">
        <v>363.43002340550169</v>
      </c>
      <c r="D8274" s="42"/>
    </row>
    <row r="8275" spans="2:4" ht="16" thickBot="1" x14ac:dyDescent="0.25">
      <c r="B8275" s="5">
        <v>8270</v>
      </c>
      <c r="C8275" s="11">
        <v>283.88509621864011</v>
      </c>
      <c r="D8275" s="42"/>
    </row>
    <row r="8276" spans="2:4" ht="16" thickBot="1" x14ac:dyDescent="0.25">
      <c r="B8276" s="4">
        <v>8271</v>
      </c>
      <c r="C8276" s="10">
        <v>266.45856055498331</v>
      </c>
      <c r="D8276" s="42"/>
    </row>
    <row r="8277" spans="2:4" ht="16" thickBot="1" x14ac:dyDescent="0.25">
      <c r="B8277" s="5">
        <v>8272</v>
      </c>
      <c r="C8277" s="11">
        <v>343.50653595627688</v>
      </c>
      <c r="D8277" s="42"/>
    </row>
    <row r="8278" spans="2:4" ht="16" thickBot="1" x14ac:dyDescent="0.25">
      <c r="B8278" s="4">
        <v>8273</v>
      </c>
      <c r="C8278" s="10">
        <v>403.73544292809936</v>
      </c>
      <c r="D8278" s="42"/>
    </row>
    <row r="8279" spans="2:4" ht="16" thickBot="1" x14ac:dyDescent="0.25">
      <c r="B8279" s="5">
        <v>8274</v>
      </c>
      <c r="C8279" s="11">
        <v>202.41232499967859</v>
      </c>
      <c r="D8279" s="42"/>
    </row>
    <row r="8280" spans="2:4" ht="16" thickBot="1" x14ac:dyDescent="0.25">
      <c r="B8280" s="4">
        <v>8275</v>
      </c>
      <c r="C8280" s="10">
        <v>192.10219287862898</v>
      </c>
      <c r="D8280" s="42"/>
    </row>
    <row r="8281" spans="2:4" ht="16" thickBot="1" x14ac:dyDescent="0.25">
      <c r="B8281" s="5">
        <v>8276</v>
      </c>
      <c r="C8281" s="11">
        <v>360.33049158561693</v>
      </c>
      <c r="D8281" s="42"/>
    </row>
    <row r="8282" spans="2:4" ht="16" thickBot="1" x14ac:dyDescent="0.25">
      <c r="B8282" s="4">
        <v>8277</v>
      </c>
      <c r="C8282" s="10">
        <v>44.553443360921833</v>
      </c>
      <c r="D8282" s="42"/>
    </row>
    <row r="8283" spans="2:4" ht="16" thickBot="1" x14ac:dyDescent="0.25">
      <c r="B8283" s="5">
        <v>8278</v>
      </c>
      <c r="C8283" s="11">
        <v>206.52675608189909</v>
      </c>
      <c r="D8283" s="42"/>
    </row>
    <row r="8284" spans="2:4" ht="16" thickBot="1" x14ac:dyDescent="0.25">
      <c r="B8284" s="4">
        <v>8279</v>
      </c>
      <c r="C8284" s="10">
        <v>349.0352690361085</v>
      </c>
      <c r="D8284" s="42"/>
    </row>
    <row r="8285" spans="2:4" ht="16" thickBot="1" x14ac:dyDescent="0.25">
      <c r="B8285" s="5">
        <v>8280</v>
      </c>
      <c r="C8285" s="11">
        <v>206.86782727552648</v>
      </c>
      <c r="D8285" s="42"/>
    </row>
    <row r="8286" spans="2:4" ht="16" thickBot="1" x14ac:dyDescent="0.25">
      <c r="B8286" s="4">
        <v>8281</v>
      </c>
      <c r="C8286" s="10">
        <v>612.55009289356781</v>
      </c>
      <c r="D8286" s="42"/>
    </row>
    <row r="8287" spans="2:4" ht="16" thickBot="1" x14ac:dyDescent="0.25">
      <c r="B8287" s="5">
        <v>8282</v>
      </c>
      <c r="C8287" s="11">
        <v>310.34829780498268</v>
      </c>
      <c r="D8287" s="42"/>
    </row>
    <row r="8288" spans="2:4" ht="16" thickBot="1" x14ac:dyDescent="0.25">
      <c r="B8288" s="4">
        <v>8283</v>
      </c>
      <c r="C8288" s="10">
        <v>112.87545215538114</v>
      </c>
      <c r="D8288" s="42"/>
    </row>
    <row r="8289" spans="2:4" ht="16" thickBot="1" x14ac:dyDescent="0.25">
      <c r="B8289" s="5">
        <v>8284</v>
      </c>
      <c r="C8289" s="11">
        <v>169.77166559301079</v>
      </c>
      <c r="D8289" s="42"/>
    </row>
    <row r="8290" spans="2:4" ht="16" thickBot="1" x14ac:dyDescent="0.25">
      <c r="B8290" s="4">
        <v>8285</v>
      </c>
      <c r="C8290" s="10">
        <v>500.36593320888676</v>
      </c>
      <c r="D8290" s="42"/>
    </row>
    <row r="8291" spans="2:4" ht="16" thickBot="1" x14ac:dyDescent="0.25">
      <c r="B8291" s="5">
        <v>8286</v>
      </c>
      <c r="C8291" s="11">
        <v>298.49876420691174</v>
      </c>
      <c r="D8291" s="42"/>
    </row>
    <row r="8292" spans="2:4" ht="16" thickBot="1" x14ac:dyDescent="0.25">
      <c r="B8292" s="4">
        <v>8287</v>
      </c>
      <c r="C8292" s="10">
        <v>75.43267418251088</v>
      </c>
      <c r="D8292" s="42"/>
    </row>
    <row r="8293" spans="2:4" ht="16" thickBot="1" x14ac:dyDescent="0.25">
      <c r="B8293" s="5">
        <v>8288</v>
      </c>
      <c r="C8293" s="11">
        <v>149.28575734206953</v>
      </c>
      <c r="D8293" s="42"/>
    </row>
    <row r="8294" spans="2:4" ht="16" thickBot="1" x14ac:dyDescent="0.25">
      <c r="B8294" s="4">
        <v>8289</v>
      </c>
      <c r="C8294" s="10">
        <v>222.509907078167</v>
      </c>
      <c r="D8294" s="42"/>
    </row>
    <row r="8295" spans="2:4" ht="16" thickBot="1" x14ac:dyDescent="0.25">
      <c r="B8295" s="5">
        <v>8290</v>
      </c>
      <c r="C8295" s="11">
        <v>177.06243700147084</v>
      </c>
      <c r="D8295" s="42"/>
    </row>
    <row r="8296" spans="2:4" ht="16" thickBot="1" x14ac:dyDescent="0.25">
      <c r="B8296" s="4">
        <v>8291</v>
      </c>
      <c r="C8296" s="10">
        <v>393.60950728537165</v>
      </c>
      <c r="D8296" s="42"/>
    </row>
    <row r="8297" spans="2:4" ht="16" thickBot="1" x14ac:dyDescent="0.25">
      <c r="B8297" s="5">
        <v>8292</v>
      </c>
      <c r="C8297" s="11">
        <v>353.94752319700336</v>
      </c>
      <c r="D8297" s="42"/>
    </row>
    <row r="8298" spans="2:4" ht="16" thickBot="1" x14ac:dyDescent="0.25">
      <c r="B8298" s="4">
        <v>8293</v>
      </c>
      <c r="C8298" s="10">
        <v>322.92888095739534</v>
      </c>
      <c r="D8298" s="42"/>
    </row>
    <row r="8299" spans="2:4" ht="16" thickBot="1" x14ac:dyDescent="0.25">
      <c r="B8299" s="5">
        <v>8294</v>
      </c>
      <c r="C8299" s="11">
        <v>343.94082468927172</v>
      </c>
      <c r="D8299" s="42"/>
    </row>
    <row r="8300" spans="2:4" ht="16" thickBot="1" x14ac:dyDescent="0.25">
      <c r="B8300" s="4">
        <v>8295</v>
      </c>
      <c r="C8300" s="10">
        <v>510.38353055749184</v>
      </c>
      <c r="D8300" s="42"/>
    </row>
    <row r="8301" spans="2:4" ht="16" thickBot="1" x14ac:dyDescent="0.25">
      <c r="B8301" s="5">
        <v>8296</v>
      </c>
      <c r="C8301" s="11">
        <v>217.11577819771426</v>
      </c>
      <c r="D8301" s="42"/>
    </row>
    <row r="8302" spans="2:4" ht="16" thickBot="1" x14ac:dyDescent="0.25">
      <c r="B8302" s="4">
        <v>8297</v>
      </c>
      <c r="C8302" s="10">
        <v>86.288436502973482</v>
      </c>
      <c r="D8302" s="42"/>
    </row>
    <row r="8303" spans="2:4" ht="16" thickBot="1" x14ac:dyDescent="0.25">
      <c r="B8303" s="5">
        <v>8298</v>
      </c>
      <c r="C8303" s="11">
        <v>196.35246660070129</v>
      </c>
      <c r="D8303" s="42"/>
    </row>
    <row r="8304" spans="2:4" ht="16" thickBot="1" x14ac:dyDescent="0.25">
      <c r="B8304" s="4">
        <v>8299</v>
      </c>
      <c r="C8304" s="10">
        <v>119.78153831871846</v>
      </c>
      <c r="D8304" s="42"/>
    </row>
    <row r="8305" spans="2:4" ht="16" thickBot="1" x14ac:dyDescent="0.25">
      <c r="B8305" s="5">
        <v>8300</v>
      </c>
      <c r="C8305" s="11">
        <v>85.147149429352012</v>
      </c>
      <c r="D8305" s="42"/>
    </row>
    <row r="8306" spans="2:4" ht="16" thickBot="1" x14ac:dyDescent="0.25">
      <c r="B8306" s="4">
        <v>8301</v>
      </c>
      <c r="C8306" s="10">
        <v>120.72574316710994</v>
      </c>
      <c r="D8306" s="42"/>
    </row>
    <row r="8307" spans="2:4" ht="16" thickBot="1" x14ac:dyDescent="0.25">
      <c r="B8307" s="5">
        <v>8302</v>
      </c>
      <c r="C8307" s="11">
        <v>290.61665798089024</v>
      </c>
      <c r="D8307" s="42"/>
    </row>
    <row r="8308" spans="2:4" ht="16" thickBot="1" x14ac:dyDescent="0.25">
      <c r="B8308" s="4">
        <v>8303</v>
      </c>
      <c r="C8308" s="10">
        <v>433.6088392109113</v>
      </c>
      <c r="D8308" s="42"/>
    </row>
    <row r="8309" spans="2:4" ht="16" thickBot="1" x14ac:dyDescent="0.25">
      <c r="B8309" s="5">
        <v>8304</v>
      </c>
      <c r="C8309" s="11">
        <v>185.04393604415696</v>
      </c>
      <c r="D8309" s="42"/>
    </row>
    <row r="8310" spans="2:4" ht="16" thickBot="1" x14ac:dyDescent="0.25">
      <c r="B8310" s="4">
        <v>8305</v>
      </c>
      <c r="C8310" s="10">
        <v>256.5927285203262</v>
      </c>
      <c r="D8310" s="42"/>
    </row>
    <row r="8311" spans="2:4" ht="16" thickBot="1" x14ac:dyDescent="0.25">
      <c r="B8311" s="5">
        <v>8306</v>
      </c>
      <c r="C8311" s="11">
        <v>75.468102078314814</v>
      </c>
      <c r="D8311" s="42"/>
    </row>
    <row r="8312" spans="2:4" ht="16" thickBot="1" x14ac:dyDescent="0.25">
      <c r="B8312" s="4">
        <v>8307</v>
      </c>
      <c r="C8312" s="10">
        <v>158.88638543634724</v>
      </c>
      <c r="D8312" s="42"/>
    </row>
    <row r="8313" spans="2:4" ht="16" thickBot="1" x14ac:dyDescent="0.25">
      <c r="B8313" s="5">
        <v>8308</v>
      </c>
      <c r="C8313" s="11">
        <v>303.488249239916</v>
      </c>
      <c r="D8313" s="42"/>
    </row>
    <row r="8314" spans="2:4" ht="16" thickBot="1" x14ac:dyDescent="0.25">
      <c r="B8314" s="4">
        <v>8309</v>
      </c>
      <c r="C8314" s="10">
        <v>216.4034050941469</v>
      </c>
      <c r="D8314" s="42"/>
    </row>
    <row r="8315" spans="2:4" ht="16" thickBot="1" x14ac:dyDescent="0.25">
      <c r="B8315" s="5">
        <v>8310</v>
      </c>
      <c r="C8315" s="11">
        <v>366.27714185016373</v>
      </c>
      <c r="D8315" s="42"/>
    </row>
    <row r="8316" spans="2:4" ht="16" thickBot="1" x14ac:dyDescent="0.25">
      <c r="B8316" s="4">
        <v>8311</v>
      </c>
      <c r="C8316" s="10">
        <v>148.40896491858629</v>
      </c>
      <c r="D8316" s="42"/>
    </row>
    <row r="8317" spans="2:4" ht="16" thickBot="1" x14ac:dyDescent="0.25">
      <c r="B8317" s="5">
        <v>8312</v>
      </c>
      <c r="C8317" s="11">
        <v>144.19650531970979</v>
      </c>
      <c r="D8317" s="42"/>
    </row>
    <row r="8318" spans="2:4" ht="16" thickBot="1" x14ac:dyDescent="0.25">
      <c r="B8318" s="4">
        <v>8313</v>
      </c>
      <c r="C8318" s="10">
        <v>382.97898529841791</v>
      </c>
      <c r="D8318" s="42"/>
    </row>
    <row r="8319" spans="2:4" ht="16" thickBot="1" x14ac:dyDescent="0.25">
      <c r="B8319" s="5">
        <v>8314</v>
      </c>
      <c r="C8319" s="11">
        <v>225.74906445135343</v>
      </c>
      <c r="D8319" s="42"/>
    </row>
    <row r="8320" spans="2:4" ht="16" thickBot="1" x14ac:dyDescent="0.25">
      <c r="B8320" s="4">
        <v>8315</v>
      </c>
      <c r="C8320" s="10">
        <v>201.45763366196431</v>
      </c>
      <c r="D8320" s="42"/>
    </row>
    <row r="8321" spans="2:4" ht="16" thickBot="1" x14ac:dyDescent="0.25">
      <c r="B8321" s="5">
        <v>8316</v>
      </c>
      <c r="C8321" s="11">
        <v>34.400514386926631</v>
      </c>
      <c r="D8321" s="42"/>
    </row>
    <row r="8322" spans="2:4" ht="16" thickBot="1" x14ac:dyDescent="0.25">
      <c r="B8322" s="4">
        <v>8317</v>
      </c>
      <c r="C8322" s="10">
        <v>245.2290035954361</v>
      </c>
      <c r="D8322" s="42"/>
    </row>
    <row r="8323" spans="2:4" ht="16" thickBot="1" x14ac:dyDescent="0.25">
      <c r="B8323" s="5">
        <v>8318</v>
      </c>
      <c r="C8323" s="11">
        <v>125.97568674913617</v>
      </c>
      <c r="D8323" s="42"/>
    </row>
    <row r="8324" spans="2:4" ht="16" thickBot="1" x14ac:dyDescent="0.25">
      <c r="B8324" s="4">
        <v>8319</v>
      </c>
      <c r="C8324" s="10">
        <v>461.92280605658732</v>
      </c>
      <c r="D8324" s="42"/>
    </row>
    <row r="8325" spans="2:4" ht="16" thickBot="1" x14ac:dyDescent="0.25">
      <c r="B8325" s="5">
        <v>8320</v>
      </c>
      <c r="C8325" s="11">
        <v>114.44804477871601</v>
      </c>
      <c r="D8325" s="42"/>
    </row>
    <row r="8326" spans="2:4" ht="16" thickBot="1" x14ac:dyDescent="0.25">
      <c r="B8326" s="4">
        <v>8321</v>
      </c>
      <c r="C8326" s="10">
        <v>147.98376911330934</v>
      </c>
      <c r="D8326" s="42"/>
    </row>
    <row r="8327" spans="2:4" ht="16" thickBot="1" x14ac:dyDescent="0.25">
      <c r="B8327" s="5">
        <v>8322</v>
      </c>
      <c r="C8327" s="11">
        <v>74.917589534661303</v>
      </c>
      <c r="D8327" s="42"/>
    </row>
    <row r="8328" spans="2:4" ht="16" thickBot="1" x14ac:dyDescent="0.25">
      <c r="B8328" s="4">
        <v>8323</v>
      </c>
      <c r="C8328" s="10">
        <v>281.12297571246501</v>
      </c>
      <c r="D8328" s="42"/>
    </row>
    <row r="8329" spans="2:4" ht="16" thickBot="1" x14ac:dyDescent="0.25">
      <c r="B8329" s="5">
        <v>8324</v>
      </c>
      <c r="C8329" s="11">
        <v>240.40878865122232</v>
      </c>
      <c r="D8329" s="42"/>
    </row>
    <row r="8330" spans="2:4" ht="16" thickBot="1" x14ac:dyDescent="0.25">
      <c r="B8330" s="4">
        <v>8325</v>
      </c>
      <c r="C8330" s="10">
        <v>463.02716535310589</v>
      </c>
      <c r="D8330" s="42"/>
    </row>
    <row r="8331" spans="2:4" ht="16" thickBot="1" x14ac:dyDescent="0.25">
      <c r="B8331" s="5">
        <v>8326</v>
      </c>
      <c r="C8331" s="11">
        <v>355.55048890534903</v>
      </c>
      <c r="D8331" s="42"/>
    </row>
    <row r="8332" spans="2:4" ht="16" thickBot="1" x14ac:dyDescent="0.25">
      <c r="B8332" s="4">
        <v>8327</v>
      </c>
      <c r="C8332" s="10">
        <v>199.59529821293171</v>
      </c>
      <c r="D8332" s="42"/>
    </row>
    <row r="8333" spans="2:4" ht="16" thickBot="1" x14ac:dyDescent="0.25">
      <c r="B8333" s="5">
        <v>8328</v>
      </c>
      <c r="C8333" s="11">
        <v>219.71064121947887</v>
      </c>
      <c r="D8333" s="42"/>
    </row>
    <row r="8334" spans="2:4" ht="16" thickBot="1" x14ac:dyDescent="0.25">
      <c r="B8334" s="4">
        <v>8329</v>
      </c>
      <c r="C8334" s="10">
        <v>267.79219844318266</v>
      </c>
      <c r="D8334" s="42"/>
    </row>
    <row r="8335" spans="2:4" ht="16" thickBot="1" x14ac:dyDescent="0.25">
      <c r="B8335" s="5">
        <v>8330</v>
      </c>
      <c r="C8335" s="11">
        <v>327.68185837372471</v>
      </c>
      <c r="D8335" s="42"/>
    </row>
    <row r="8336" spans="2:4" ht="16" thickBot="1" x14ac:dyDescent="0.25">
      <c r="B8336" s="4">
        <v>8331</v>
      </c>
      <c r="C8336" s="10">
        <v>315.55985454914446</v>
      </c>
      <c r="D8336" s="42"/>
    </row>
    <row r="8337" spans="2:4" ht="16" thickBot="1" x14ac:dyDescent="0.25">
      <c r="B8337" s="5">
        <v>8332</v>
      </c>
      <c r="C8337" s="11">
        <v>93.11697788015006</v>
      </c>
      <c r="D8337" s="42"/>
    </row>
    <row r="8338" spans="2:4" ht="16" thickBot="1" x14ac:dyDescent="0.25">
      <c r="B8338" s="4">
        <v>8333</v>
      </c>
      <c r="C8338" s="10">
        <v>292.91909987324044</v>
      </c>
      <c r="D8338" s="42"/>
    </row>
    <row r="8339" spans="2:4" ht="16" thickBot="1" x14ac:dyDescent="0.25">
      <c r="B8339" s="5">
        <v>8334</v>
      </c>
      <c r="C8339" s="11">
        <v>110.83247768805737</v>
      </c>
      <c r="D8339" s="42"/>
    </row>
    <row r="8340" spans="2:4" ht="16" thickBot="1" x14ac:dyDescent="0.25">
      <c r="B8340" s="4">
        <v>8335</v>
      </c>
      <c r="C8340" s="10">
        <v>319.60893632389417</v>
      </c>
      <c r="D8340" s="42"/>
    </row>
    <row r="8341" spans="2:4" ht="16" thickBot="1" x14ac:dyDescent="0.25">
      <c r="B8341" s="5">
        <v>8336</v>
      </c>
      <c r="C8341" s="11">
        <v>110.02426900419348</v>
      </c>
      <c r="D8341" s="42"/>
    </row>
    <row r="8342" spans="2:4" ht="16" thickBot="1" x14ac:dyDescent="0.25">
      <c r="B8342" s="4">
        <v>8337</v>
      </c>
      <c r="C8342" s="10">
        <v>258.12685165623714</v>
      </c>
      <c r="D8342" s="42"/>
    </row>
    <row r="8343" spans="2:4" ht="16" thickBot="1" x14ac:dyDescent="0.25">
      <c r="B8343" s="5">
        <v>8338</v>
      </c>
      <c r="C8343" s="11">
        <v>239.9293001738543</v>
      </c>
      <c r="D8343" s="42"/>
    </row>
    <row r="8344" spans="2:4" ht="16" thickBot="1" x14ac:dyDescent="0.25">
      <c r="B8344" s="4">
        <v>8339</v>
      </c>
      <c r="C8344" s="10">
        <v>388.29517754924018</v>
      </c>
      <c r="D8344" s="42"/>
    </row>
    <row r="8345" spans="2:4" ht="16" thickBot="1" x14ac:dyDescent="0.25">
      <c r="B8345" s="5">
        <v>8340</v>
      </c>
      <c r="C8345" s="11">
        <v>195.58792892695101</v>
      </c>
      <c r="D8345" s="42"/>
    </row>
    <row r="8346" spans="2:4" ht="16" thickBot="1" x14ac:dyDescent="0.25">
      <c r="B8346" s="4">
        <v>8341</v>
      </c>
      <c r="C8346" s="10">
        <v>256.90421086758403</v>
      </c>
      <c r="D8346" s="42"/>
    </row>
    <row r="8347" spans="2:4" ht="16" thickBot="1" x14ac:dyDescent="0.25">
      <c r="B8347" s="5">
        <v>8342</v>
      </c>
      <c r="C8347" s="11">
        <v>523.79861683307468</v>
      </c>
      <c r="D8347" s="42"/>
    </row>
    <row r="8348" spans="2:4" ht="16" thickBot="1" x14ac:dyDescent="0.25">
      <c r="B8348" s="4">
        <v>8343</v>
      </c>
      <c r="C8348" s="10">
        <v>90.17044009015396</v>
      </c>
      <c r="D8348" s="42"/>
    </row>
    <row r="8349" spans="2:4" ht="16" thickBot="1" x14ac:dyDescent="0.25">
      <c r="B8349" s="5">
        <v>8344</v>
      </c>
      <c r="C8349" s="11">
        <v>144.67330642664751</v>
      </c>
      <c r="D8349" s="42"/>
    </row>
    <row r="8350" spans="2:4" ht="16" thickBot="1" x14ac:dyDescent="0.25">
      <c r="B8350" s="4">
        <v>8345</v>
      </c>
      <c r="C8350" s="10">
        <v>181.30760558358693</v>
      </c>
      <c r="D8350" s="42"/>
    </row>
    <row r="8351" spans="2:4" ht="16" thickBot="1" x14ac:dyDescent="0.25">
      <c r="B8351" s="5">
        <v>8346</v>
      </c>
      <c r="C8351" s="11">
        <v>209.25203097821989</v>
      </c>
      <c r="D8351" s="42"/>
    </row>
    <row r="8352" spans="2:4" ht="16" thickBot="1" x14ac:dyDescent="0.25">
      <c r="B8352" s="4">
        <v>8347</v>
      </c>
      <c r="C8352" s="10">
        <v>57.187673978914049</v>
      </c>
      <c r="D8352" s="42"/>
    </row>
    <row r="8353" spans="2:4" ht="16" thickBot="1" x14ac:dyDescent="0.25">
      <c r="B8353" s="5">
        <v>8348</v>
      </c>
      <c r="C8353" s="11">
        <v>547.7094881782449</v>
      </c>
      <c r="D8353" s="42"/>
    </row>
    <row r="8354" spans="2:4" ht="16" thickBot="1" x14ac:dyDescent="0.25">
      <c r="B8354" s="4">
        <v>8349</v>
      </c>
      <c r="C8354" s="10">
        <v>199.26069859273221</v>
      </c>
      <c r="D8354" s="42"/>
    </row>
    <row r="8355" spans="2:4" ht="16" thickBot="1" x14ac:dyDescent="0.25">
      <c r="B8355" s="5">
        <v>8350</v>
      </c>
      <c r="C8355" s="11">
        <v>624.95837864414534</v>
      </c>
      <c r="D8355" s="42"/>
    </row>
    <row r="8356" spans="2:4" ht="16" thickBot="1" x14ac:dyDescent="0.25">
      <c r="B8356" s="4">
        <v>8351</v>
      </c>
      <c r="C8356" s="10">
        <v>170.23377945408339</v>
      </c>
      <c r="D8356" s="42"/>
    </row>
    <row r="8357" spans="2:4" ht="16" thickBot="1" x14ac:dyDescent="0.25">
      <c r="B8357" s="5">
        <v>8352</v>
      </c>
      <c r="C8357" s="11">
        <v>364.85114286286972</v>
      </c>
      <c r="D8357" s="42"/>
    </row>
    <row r="8358" spans="2:4" ht="16" thickBot="1" x14ac:dyDescent="0.25">
      <c r="B8358" s="4">
        <v>8353</v>
      </c>
      <c r="C8358" s="10">
        <v>289.03869463809701</v>
      </c>
      <c r="D8358" s="42"/>
    </row>
    <row r="8359" spans="2:4" ht="16" thickBot="1" x14ac:dyDescent="0.25">
      <c r="B8359" s="5">
        <v>8354</v>
      </c>
      <c r="C8359" s="11">
        <v>57.420508132407953</v>
      </c>
      <c r="D8359" s="42"/>
    </row>
    <row r="8360" spans="2:4" ht="16" thickBot="1" x14ac:dyDescent="0.25">
      <c r="B8360" s="4">
        <v>8355</v>
      </c>
      <c r="C8360" s="10">
        <v>262.35442087557874</v>
      </c>
      <c r="D8360" s="42"/>
    </row>
    <row r="8361" spans="2:4" ht="16" thickBot="1" x14ac:dyDescent="0.25">
      <c r="B8361" s="5">
        <v>8356</v>
      </c>
      <c r="C8361" s="11">
        <v>666.94133063140907</v>
      </c>
      <c r="D8361" s="42"/>
    </row>
    <row r="8362" spans="2:4" ht="16" thickBot="1" x14ac:dyDescent="0.25">
      <c r="B8362" s="4">
        <v>8357</v>
      </c>
      <c r="C8362" s="10">
        <v>419.6431609689223</v>
      </c>
      <c r="D8362" s="42"/>
    </row>
    <row r="8363" spans="2:4" ht="16" thickBot="1" x14ac:dyDescent="0.25">
      <c r="B8363" s="5">
        <v>8358</v>
      </c>
      <c r="C8363" s="11">
        <v>281.27962358202529</v>
      </c>
      <c r="D8363" s="42"/>
    </row>
    <row r="8364" spans="2:4" ht="16" thickBot="1" x14ac:dyDescent="0.25">
      <c r="B8364" s="4">
        <v>8359</v>
      </c>
      <c r="C8364" s="10">
        <v>228.63609639523659</v>
      </c>
      <c r="D8364" s="42"/>
    </row>
    <row r="8365" spans="2:4" ht="16" thickBot="1" x14ac:dyDescent="0.25">
      <c r="B8365" s="5">
        <v>8360</v>
      </c>
      <c r="C8365" s="11">
        <v>132.81828044556897</v>
      </c>
      <c r="D8365" s="42"/>
    </row>
    <row r="8366" spans="2:4" ht="16" thickBot="1" x14ac:dyDescent="0.25">
      <c r="B8366" s="4">
        <v>8361</v>
      </c>
      <c r="C8366" s="10">
        <v>396.11514808542989</v>
      </c>
      <c r="D8366" s="42"/>
    </row>
    <row r="8367" spans="2:4" ht="16" thickBot="1" x14ac:dyDescent="0.25">
      <c r="B8367" s="5">
        <v>8362</v>
      </c>
      <c r="C8367" s="11">
        <v>116.47153554230144</v>
      </c>
      <c r="D8367" s="42"/>
    </row>
    <row r="8368" spans="2:4" ht="16" thickBot="1" x14ac:dyDescent="0.25">
      <c r="B8368" s="4">
        <v>8363</v>
      </c>
      <c r="C8368" s="10">
        <v>284.54795023852574</v>
      </c>
      <c r="D8368" s="42"/>
    </row>
    <row r="8369" spans="2:4" ht="16" thickBot="1" x14ac:dyDescent="0.25">
      <c r="B8369" s="5">
        <v>8364</v>
      </c>
      <c r="C8369" s="11">
        <v>402.66978317318217</v>
      </c>
      <c r="D8369" s="42"/>
    </row>
    <row r="8370" spans="2:4" ht="16" thickBot="1" x14ac:dyDescent="0.25">
      <c r="B8370" s="4">
        <v>8365</v>
      </c>
      <c r="C8370" s="10">
        <v>478.78542472191486</v>
      </c>
      <c r="D8370" s="42"/>
    </row>
    <row r="8371" spans="2:4" ht="16" thickBot="1" x14ac:dyDescent="0.25">
      <c r="B8371" s="5">
        <v>8366</v>
      </c>
      <c r="C8371" s="11">
        <v>300.6917156094521</v>
      </c>
      <c r="D8371" s="42"/>
    </row>
    <row r="8372" spans="2:4" ht="16" thickBot="1" x14ac:dyDescent="0.25">
      <c r="B8372" s="4">
        <v>8367</v>
      </c>
      <c r="C8372" s="10">
        <v>238.07209032469456</v>
      </c>
      <c r="D8372" s="42"/>
    </row>
    <row r="8373" spans="2:4" ht="16" thickBot="1" x14ac:dyDescent="0.25">
      <c r="B8373" s="5">
        <v>8368</v>
      </c>
      <c r="C8373" s="11">
        <v>142.57342476129821</v>
      </c>
      <c r="D8373" s="42"/>
    </row>
    <row r="8374" spans="2:4" ht="16" thickBot="1" x14ac:dyDescent="0.25">
      <c r="B8374" s="4">
        <v>8369</v>
      </c>
      <c r="C8374" s="10">
        <v>134.68714152351711</v>
      </c>
      <c r="D8374" s="42"/>
    </row>
    <row r="8375" spans="2:4" ht="16" thickBot="1" x14ac:dyDescent="0.25">
      <c r="B8375" s="5">
        <v>8370</v>
      </c>
      <c r="C8375" s="11">
        <v>336.97599937814709</v>
      </c>
      <c r="D8375" s="42"/>
    </row>
    <row r="8376" spans="2:4" ht="16" thickBot="1" x14ac:dyDescent="0.25">
      <c r="B8376" s="4">
        <v>8371</v>
      </c>
      <c r="C8376" s="10">
        <v>162.70393592243278</v>
      </c>
      <c r="D8376" s="42"/>
    </row>
    <row r="8377" spans="2:4" ht="16" thickBot="1" x14ac:dyDescent="0.25">
      <c r="B8377" s="5">
        <v>8372</v>
      </c>
      <c r="C8377" s="11">
        <v>311.74896526140554</v>
      </c>
      <c r="D8377" s="42"/>
    </row>
    <row r="8378" spans="2:4" ht="16" thickBot="1" x14ac:dyDescent="0.25">
      <c r="B8378" s="4">
        <v>8373</v>
      </c>
      <c r="C8378" s="10">
        <v>293.79672439721674</v>
      </c>
      <c r="D8378" s="42"/>
    </row>
    <row r="8379" spans="2:4" ht="16" thickBot="1" x14ac:dyDescent="0.25">
      <c r="B8379" s="5">
        <v>8374</v>
      </c>
      <c r="C8379" s="11">
        <v>195.23108479888191</v>
      </c>
      <c r="D8379" s="42"/>
    </row>
    <row r="8380" spans="2:4" ht="16" thickBot="1" x14ac:dyDescent="0.25">
      <c r="B8380" s="4">
        <v>8375</v>
      </c>
      <c r="C8380" s="10">
        <v>181.91752214458879</v>
      </c>
      <c r="D8380" s="42"/>
    </row>
    <row r="8381" spans="2:4" ht="16" thickBot="1" x14ac:dyDescent="0.25">
      <c r="B8381" s="5">
        <v>8376</v>
      </c>
      <c r="C8381" s="11">
        <v>399.47799423932827</v>
      </c>
      <c r="D8381" s="42"/>
    </row>
    <row r="8382" spans="2:4" ht="16" thickBot="1" x14ac:dyDescent="0.25">
      <c r="B8382" s="4">
        <v>8377</v>
      </c>
      <c r="C8382" s="10">
        <v>438.89753480303341</v>
      </c>
      <c r="D8382" s="42"/>
    </row>
    <row r="8383" spans="2:4" ht="16" thickBot="1" x14ac:dyDescent="0.25">
      <c r="B8383" s="5">
        <v>8378</v>
      </c>
      <c r="C8383" s="11">
        <v>291.35055057549204</v>
      </c>
      <c r="D8383" s="42"/>
    </row>
    <row r="8384" spans="2:4" ht="16" thickBot="1" x14ac:dyDescent="0.25">
      <c r="B8384" s="4">
        <v>8379</v>
      </c>
      <c r="C8384" s="10">
        <v>309.93034639949667</v>
      </c>
      <c r="D8384" s="42"/>
    </row>
    <row r="8385" spans="2:4" ht="16" thickBot="1" x14ac:dyDescent="0.25">
      <c r="B8385" s="5">
        <v>8380</v>
      </c>
      <c r="C8385" s="11">
        <v>287.07998210870255</v>
      </c>
      <c r="D8385" s="42"/>
    </row>
    <row r="8386" spans="2:4" ht="16" thickBot="1" x14ac:dyDescent="0.25">
      <c r="B8386" s="4">
        <v>8381</v>
      </c>
      <c r="C8386" s="10">
        <v>262.15692688688659</v>
      </c>
      <c r="D8386" s="42"/>
    </row>
    <row r="8387" spans="2:4" ht="16" thickBot="1" x14ac:dyDescent="0.25">
      <c r="B8387" s="5">
        <v>8382</v>
      </c>
      <c r="C8387" s="11">
        <v>199.89320884262639</v>
      </c>
      <c r="D8387" s="42"/>
    </row>
    <row r="8388" spans="2:4" ht="16" thickBot="1" x14ac:dyDescent="0.25">
      <c r="B8388" s="4">
        <v>8383</v>
      </c>
      <c r="C8388" s="10">
        <v>254.11568068420053</v>
      </c>
      <c r="D8388" s="42"/>
    </row>
    <row r="8389" spans="2:4" ht="16" thickBot="1" x14ac:dyDescent="0.25">
      <c r="B8389" s="5">
        <v>8384</v>
      </c>
      <c r="C8389" s="11">
        <v>541.05562440976212</v>
      </c>
      <c r="D8389" s="42"/>
    </row>
    <row r="8390" spans="2:4" ht="16" thickBot="1" x14ac:dyDescent="0.25">
      <c r="B8390" s="4">
        <v>8385</v>
      </c>
      <c r="C8390" s="10">
        <v>198.87930648302751</v>
      </c>
      <c r="D8390" s="42"/>
    </row>
    <row r="8391" spans="2:4" ht="16" thickBot="1" x14ac:dyDescent="0.25">
      <c r="B8391" s="5">
        <v>8386</v>
      </c>
      <c r="C8391" s="11">
        <v>228.31077205615179</v>
      </c>
      <c r="D8391" s="42"/>
    </row>
    <row r="8392" spans="2:4" ht="16" thickBot="1" x14ac:dyDescent="0.25">
      <c r="B8392" s="4">
        <v>8387</v>
      </c>
      <c r="C8392" s="10">
        <v>207.35179041346692</v>
      </c>
      <c r="D8392" s="42"/>
    </row>
    <row r="8393" spans="2:4" ht="16" thickBot="1" x14ac:dyDescent="0.25">
      <c r="B8393" s="5">
        <v>8388</v>
      </c>
      <c r="C8393" s="11">
        <v>224.95115147643233</v>
      </c>
      <c r="D8393" s="42"/>
    </row>
    <row r="8394" spans="2:4" ht="16" thickBot="1" x14ac:dyDescent="0.25">
      <c r="B8394" s="4">
        <v>8389</v>
      </c>
      <c r="C8394" s="10">
        <v>184.67122432947011</v>
      </c>
      <c r="D8394" s="42"/>
    </row>
    <row r="8395" spans="2:4" ht="16" thickBot="1" x14ac:dyDescent="0.25">
      <c r="B8395" s="5">
        <v>8390</v>
      </c>
      <c r="C8395" s="11">
        <v>74.951131703828153</v>
      </c>
      <c r="D8395" s="42"/>
    </row>
    <row r="8396" spans="2:4" ht="16" thickBot="1" x14ac:dyDescent="0.25">
      <c r="B8396" s="4">
        <v>8391</v>
      </c>
      <c r="C8396" s="10">
        <v>830.28389757740831</v>
      </c>
      <c r="D8396" s="42"/>
    </row>
    <row r="8397" spans="2:4" ht="16" thickBot="1" x14ac:dyDescent="0.25">
      <c r="B8397" s="5">
        <v>8392</v>
      </c>
      <c r="C8397" s="11">
        <v>186.79989302977151</v>
      </c>
      <c r="D8397" s="42"/>
    </row>
    <row r="8398" spans="2:4" ht="16" thickBot="1" x14ac:dyDescent="0.25">
      <c r="B8398" s="4">
        <v>8393</v>
      </c>
      <c r="C8398" s="10">
        <v>258.0049258163989</v>
      </c>
      <c r="D8398" s="42"/>
    </row>
    <row r="8399" spans="2:4" ht="16" thickBot="1" x14ac:dyDescent="0.25">
      <c r="B8399" s="5">
        <v>8394</v>
      </c>
      <c r="C8399" s="11">
        <v>188.79960440030877</v>
      </c>
      <c r="D8399" s="42"/>
    </row>
    <row r="8400" spans="2:4" ht="16" thickBot="1" x14ac:dyDescent="0.25">
      <c r="B8400" s="4">
        <v>8395</v>
      </c>
      <c r="C8400" s="10">
        <v>247.39316071620428</v>
      </c>
      <c r="D8400" s="42"/>
    </row>
    <row r="8401" spans="2:4" ht="16" thickBot="1" x14ac:dyDescent="0.25">
      <c r="B8401" s="5">
        <v>8396</v>
      </c>
      <c r="C8401" s="11">
        <v>136.35921170829002</v>
      </c>
      <c r="D8401" s="42"/>
    </row>
    <row r="8402" spans="2:4" ht="16" thickBot="1" x14ac:dyDescent="0.25">
      <c r="B8402" s="4">
        <v>8397</v>
      </c>
      <c r="C8402" s="10">
        <v>330.85689833716572</v>
      </c>
      <c r="D8402" s="42"/>
    </row>
    <row r="8403" spans="2:4" ht="16" thickBot="1" x14ac:dyDescent="0.25">
      <c r="B8403" s="5">
        <v>8398</v>
      </c>
      <c r="C8403" s="11">
        <v>246.28603663097397</v>
      </c>
      <c r="D8403" s="42"/>
    </row>
    <row r="8404" spans="2:4" ht="16" thickBot="1" x14ac:dyDescent="0.25">
      <c r="B8404" s="4">
        <v>8399</v>
      </c>
      <c r="C8404" s="10">
        <v>200.84640131665154</v>
      </c>
      <c r="D8404" s="42"/>
    </row>
    <row r="8405" spans="2:4" ht="16" thickBot="1" x14ac:dyDescent="0.25">
      <c r="B8405" s="5">
        <v>8400</v>
      </c>
      <c r="C8405" s="11">
        <v>342.71403917985856</v>
      </c>
      <c r="D8405" s="42"/>
    </row>
    <row r="8406" spans="2:4" ht="16" thickBot="1" x14ac:dyDescent="0.25">
      <c r="B8406" s="4">
        <v>8401</v>
      </c>
      <c r="C8406" s="10">
        <v>123.91253030900948</v>
      </c>
      <c r="D8406" s="42"/>
    </row>
    <row r="8407" spans="2:4" ht="16" thickBot="1" x14ac:dyDescent="0.25">
      <c r="B8407" s="5">
        <v>8402</v>
      </c>
      <c r="C8407" s="11">
        <v>143.67793123189932</v>
      </c>
      <c r="D8407" s="42"/>
    </row>
    <row r="8408" spans="2:4" ht="16" thickBot="1" x14ac:dyDescent="0.25">
      <c r="B8408" s="4">
        <v>8403</v>
      </c>
      <c r="C8408" s="10">
        <v>276.60028653751209</v>
      </c>
      <c r="D8408" s="42"/>
    </row>
    <row r="8409" spans="2:4" ht="16" thickBot="1" x14ac:dyDescent="0.25">
      <c r="B8409" s="5">
        <v>8404</v>
      </c>
      <c r="C8409" s="11">
        <v>401.91463166063517</v>
      </c>
      <c r="D8409" s="42"/>
    </row>
    <row r="8410" spans="2:4" ht="16" thickBot="1" x14ac:dyDescent="0.25">
      <c r="B8410" s="4">
        <v>8405</v>
      </c>
      <c r="C8410" s="10">
        <v>242.37084253908171</v>
      </c>
      <c r="D8410" s="42"/>
    </row>
    <row r="8411" spans="2:4" ht="16" thickBot="1" x14ac:dyDescent="0.25">
      <c r="B8411" s="5">
        <v>8406</v>
      </c>
      <c r="C8411" s="11">
        <v>194.25293777939066</v>
      </c>
      <c r="D8411" s="42"/>
    </row>
    <row r="8412" spans="2:4" ht="16" thickBot="1" x14ac:dyDescent="0.25">
      <c r="B8412" s="4">
        <v>8407</v>
      </c>
      <c r="C8412" s="10">
        <v>67.365953384298507</v>
      </c>
      <c r="D8412" s="42"/>
    </row>
    <row r="8413" spans="2:4" ht="16" thickBot="1" x14ac:dyDescent="0.25">
      <c r="B8413" s="5">
        <v>8408</v>
      </c>
      <c r="C8413" s="11">
        <v>532.23290641437632</v>
      </c>
      <c r="D8413" s="42"/>
    </row>
    <row r="8414" spans="2:4" ht="16" thickBot="1" x14ac:dyDescent="0.25">
      <c r="B8414" s="4">
        <v>8409</v>
      </c>
      <c r="C8414" s="10">
        <v>372.43076246039607</v>
      </c>
      <c r="D8414" s="42"/>
    </row>
    <row r="8415" spans="2:4" ht="16" thickBot="1" x14ac:dyDescent="0.25">
      <c r="B8415" s="5">
        <v>8410</v>
      </c>
      <c r="C8415" s="11">
        <v>211.99514237185073</v>
      </c>
      <c r="D8415" s="42"/>
    </row>
    <row r="8416" spans="2:4" ht="16" thickBot="1" x14ac:dyDescent="0.25">
      <c r="B8416" s="4">
        <v>8411</v>
      </c>
      <c r="C8416" s="10">
        <v>340.80328638219544</v>
      </c>
      <c r="D8416" s="42"/>
    </row>
    <row r="8417" spans="2:4" ht="16" thickBot="1" x14ac:dyDescent="0.25">
      <c r="B8417" s="5">
        <v>8412</v>
      </c>
      <c r="C8417" s="11">
        <v>510.03611873225424</v>
      </c>
      <c r="D8417" s="42"/>
    </row>
    <row r="8418" spans="2:4" ht="16" thickBot="1" x14ac:dyDescent="0.25">
      <c r="B8418" s="4">
        <v>8413</v>
      </c>
      <c r="C8418" s="10">
        <v>486.09525449047936</v>
      </c>
      <c r="D8418" s="42"/>
    </row>
    <row r="8419" spans="2:4" ht="16" thickBot="1" x14ac:dyDescent="0.25">
      <c r="B8419" s="5">
        <v>8414</v>
      </c>
      <c r="C8419" s="11">
        <v>163.71987158193889</v>
      </c>
      <c r="D8419" s="42"/>
    </row>
    <row r="8420" spans="2:4" ht="16" thickBot="1" x14ac:dyDescent="0.25">
      <c r="B8420" s="4">
        <v>8415</v>
      </c>
      <c r="C8420" s="10">
        <v>280.67818976504918</v>
      </c>
      <c r="D8420" s="42"/>
    </row>
    <row r="8421" spans="2:4" ht="16" thickBot="1" x14ac:dyDescent="0.25">
      <c r="B8421" s="5">
        <v>8416</v>
      </c>
      <c r="C8421" s="11">
        <v>139.19038528145833</v>
      </c>
      <c r="D8421" s="42"/>
    </row>
    <row r="8422" spans="2:4" ht="16" thickBot="1" x14ac:dyDescent="0.25">
      <c r="B8422" s="4">
        <v>8417</v>
      </c>
      <c r="C8422" s="10">
        <v>145.47470376197177</v>
      </c>
      <c r="D8422" s="42"/>
    </row>
    <row r="8423" spans="2:4" ht="16" thickBot="1" x14ac:dyDescent="0.25">
      <c r="B8423" s="5">
        <v>8418</v>
      </c>
      <c r="C8423" s="11">
        <v>340.50336899277517</v>
      </c>
      <c r="D8423" s="42"/>
    </row>
    <row r="8424" spans="2:4" ht="16" thickBot="1" x14ac:dyDescent="0.25">
      <c r="B8424" s="4">
        <v>8419</v>
      </c>
      <c r="C8424" s="10">
        <v>423.89065790624915</v>
      </c>
      <c r="D8424" s="42"/>
    </row>
    <row r="8425" spans="2:4" ht="16" thickBot="1" x14ac:dyDescent="0.25">
      <c r="B8425" s="5">
        <v>8420</v>
      </c>
      <c r="C8425" s="11">
        <v>247.73444263351334</v>
      </c>
      <c r="D8425" s="42"/>
    </row>
    <row r="8426" spans="2:4" ht="16" thickBot="1" x14ac:dyDescent="0.25">
      <c r="B8426" s="4">
        <v>8421</v>
      </c>
      <c r="C8426" s="10">
        <v>345.84662996199074</v>
      </c>
      <c r="D8426" s="42"/>
    </row>
    <row r="8427" spans="2:4" ht="16" thickBot="1" x14ac:dyDescent="0.25">
      <c r="B8427" s="5">
        <v>8422</v>
      </c>
      <c r="C8427" s="11">
        <v>233.43120074400366</v>
      </c>
      <c r="D8427" s="42"/>
    </row>
    <row r="8428" spans="2:4" ht="16" thickBot="1" x14ac:dyDescent="0.25">
      <c r="B8428" s="4">
        <v>8423</v>
      </c>
      <c r="C8428" s="10">
        <v>288.75274315133572</v>
      </c>
      <c r="D8428" s="42"/>
    </row>
    <row r="8429" spans="2:4" ht="16" thickBot="1" x14ac:dyDescent="0.25">
      <c r="B8429" s="5">
        <v>8424</v>
      </c>
      <c r="C8429" s="11">
        <v>254.6015807843232</v>
      </c>
      <c r="D8429" s="42"/>
    </row>
    <row r="8430" spans="2:4" ht="16" thickBot="1" x14ac:dyDescent="0.25">
      <c r="B8430" s="4">
        <v>8425</v>
      </c>
      <c r="C8430" s="10">
        <v>401.84020573507058</v>
      </c>
      <c r="D8430" s="42"/>
    </row>
    <row r="8431" spans="2:4" ht="16" thickBot="1" x14ac:dyDescent="0.25">
      <c r="B8431" s="5">
        <v>8426</v>
      </c>
      <c r="C8431" s="11">
        <v>82.765666589557313</v>
      </c>
      <c r="D8431" s="42"/>
    </row>
    <row r="8432" spans="2:4" ht="16" thickBot="1" x14ac:dyDescent="0.25">
      <c r="B8432" s="4">
        <v>8427</v>
      </c>
      <c r="C8432" s="10">
        <v>508.84628468525744</v>
      </c>
      <c r="D8432" s="42"/>
    </row>
    <row r="8433" spans="2:4" ht="16" thickBot="1" x14ac:dyDescent="0.25">
      <c r="B8433" s="5">
        <v>8428</v>
      </c>
      <c r="C8433" s="11">
        <v>231.14602878283728</v>
      </c>
      <c r="D8433" s="42"/>
    </row>
    <row r="8434" spans="2:4" ht="16" thickBot="1" x14ac:dyDescent="0.25">
      <c r="B8434" s="4">
        <v>8429</v>
      </c>
      <c r="C8434" s="10">
        <v>247.30607850509159</v>
      </c>
      <c r="D8434" s="42"/>
    </row>
    <row r="8435" spans="2:4" ht="16" thickBot="1" x14ac:dyDescent="0.25">
      <c r="B8435" s="5">
        <v>8430</v>
      </c>
      <c r="C8435" s="11">
        <v>246.55980904248207</v>
      </c>
      <c r="D8435" s="42"/>
    </row>
    <row r="8436" spans="2:4" ht="16" thickBot="1" x14ac:dyDescent="0.25">
      <c r="B8436" s="4">
        <v>8431</v>
      </c>
      <c r="C8436" s="10">
        <v>142.5849720608598</v>
      </c>
      <c r="D8436" s="42"/>
    </row>
    <row r="8437" spans="2:4" ht="16" thickBot="1" x14ac:dyDescent="0.25">
      <c r="B8437" s="5">
        <v>8432</v>
      </c>
      <c r="C8437" s="11">
        <v>536.70550489392519</v>
      </c>
      <c r="D8437" s="42"/>
    </row>
    <row r="8438" spans="2:4" ht="16" thickBot="1" x14ac:dyDescent="0.25">
      <c r="B8438" s="4">
        <v>8433</v>
      </c>
      <c r="C8438" s="10">
        <v>131.17729971932383</v>
      </c>
      <c r="D8438" s="42"/>
    </row>
    <row r="8439" spans="2:4" ht="16" thickBot="1" x14ac:dyDescent="0.25">
      <c r="B8439" s="5">
        <v>8434</v>
      </c>
      <c r="C8439" s="11">
        <v>359.77326133321026</v>
      </c>
      <c r="D8439" s="42"/>
    </row>
    <row r="8440" spans="2:4" ht="16" thickBot="1" x14ac:dyDescent="0.25">
      <c r="B8440" s="4">
        <v>8435</v>
      </c>
      <c r="C8440" s="10">
        <v>79.29338730889782</v>
      </c>
      <c r="D8440" s="42"/>
    </row>
    <row r="8441" spans="2:4" ht="16" thickBot="1" x14ac:dyDescent="0.25">
      <c r="B8441" s="5">
        <v>8436</v>
      </c>
      <c r="C8441" s="11">
        <v>600.81255131205739</v>
      </c>
      <c r="D8441" s="42"/>
    </row>
    <row r="8442" spans="2:4" ht="16" thickBot="1" x14ac:dyDescent="0.25">
      <c r="B8442" s="4">
        <v>8437</v>
      </c>
      <c r="C8442" s="10">
        <v>200.6171553371272</v>
      </c>
      <c r="D8442" s="42"/>
    </row>
    <row r="8443" spans="2:4" ht="16" thickBot="1" x14ac:dyDescent="0.25">
      <c r="B8443" s="5">
        <v>8438</v>
      </c>
      <c r="C8443" s="11">
        <v>236.23703126458832</v>
      </c>
      <c r="D8443" s="42"/>
    </row>
    <row r="8444" spans="2:4" ht="16" thickBot="1" x14ac:dyDescent="0.25">
      <c r="B8444" s="4">
        <v>8439</v>
      </c>
      <c r="C8444" s="10">
        <v>230.26214064778188</v>
      </c>
      <c r="D8444" s="42"/>
    </row>
    <row r="8445" spans="2:4" ht="16" thickBot="1" x14ac:dyDescent="0.25">
      <c r="B8445" s="5">
        <v>8440</v>
      </c>
      <c r="C8445" s="11">
        <v>226.56935278346174</v>
      </c>
      <c r="D8445" s="42"/>
    </row>
    <row r="8446" spans="2:4" ht="16" thickBot="1" x14ac:dyDescent="0.25">
      <c r="B8446" s="4">
        <v>8441</v>
      </c>
      <c r="C8446" s="10">
        <v>84.086644450244663</v>
      </c>
      <c r="D8446" s="42"/>
    </row>
    <row r="8447" spans="2:4" ht="16" thickBot="1" x14ac:dyDescent="0.25">
      <c r="B8447" s="5">
        <v>8442</v>
      </c>
      <c r="C8447" s="11">
        <v>145.32847808871242</v>
      </c>
      <c r="D8447" s="42"/>
    </row>
    <row r="8448" spans="2:4" ht="16" thickBot="1" x14ac:dyDescent="0.25">
      <c r="B8448" s="4">
        <v>8443</v>
      </c>
      <c r="C8448" s="10">
        <v>278.21257270274867</v>
      </c>
      <c r="D8448" s="42"/>
    </row>
    <row r="8449" spans="2:4" ht="16" thickBot="1" x14ac:dyDescent="0.25">
      <c r="B8449" s="5">
        <v>8444</v>
      </c>
      <c r="C8449" s="11">
        <v>208.91641089315192</v>
      </c>
      <c r="D8449" s="42"/>
    </row>
    <row r="8450" spans="2:4" ht="16" thickBot="1" x14ac:dyDescent="0.25">
      <c r="B8450" s="4">
        <v>8445</v>
      </c>
      <c r="C8450" s="10">
        <v>633.63942362860416</v>
      </c>
      <c r="D8450" s="42"/>
    </row>
    <row r="8451" spans="2:4" ht="16" thickBot="1" x14ac:dyDescent="0.25">
      <c r="B8451" s="5">
        <v>8446</v>
      </c>
      <c r="C8451" s="11">
        <v>288.72858412198417</v>
      </c>
      <c r="D8451" s="42"/>
    </row>
    <row r="8452" spans="2:4" ht="16" thickBot="1" x14ac:dyDescent="0.25">
      <c r="B8452" s="4">
        <v>8447</v>
      </c>
      <c r="C8452" s="10">
        <v>306.59357622863871</v>
      </c>
      <c r="D8452" s="42"/>
    </row>
    <row r="8453" spans="2:4" ht="16" thickBot="1" x14ac:dyDescent="0.25">
      <c r="B8453" s="5">
        <v>8448</v>
      </c>
      <c r="C8453" s="11">
        <v>505.10525892007877</v>
      </c>
      <c r="D8453" s="42"/>
    </row>
    <row r="8454" spans="2:4" ht="16" thickBot="1" x14ac:dyDescent="0.25">
      <c r="B8454" s="4">
        <v>8449</v>
      </c>
      <c r="C8454" s="10">
        <v>302.32029742583279</v>
      </c>
      <c r="D8454" s="42"/>
    </row>
    <row r="8455" spans="2:4" ht="16" thickBot="1" x14ac:dyDescent="0.25">
      <c r="B8455" s="5">
        <v>8450</v>
      </c>
      <c r="C8455" s="11">
        <v>194.12794459153056</v>
      </c>
      <c r="D8455" s="42"/>
    </row>
    <row r="8456" spans="2:4" ht="16" thickBot="1" x14ac:dyDescent="0.25">
      <c r="B8456" s="4">
        <v>8451</v>
      </c>
      <c r="C8456" s="10">
        <v>259.2590597735018</v>
      </c>
      <c r="D8456" s="42"/>
    </row>
    <row r="8457" spans="2:4" ht="16" thickBot="1" x14ac:dyDescent="0.25">
      <c r="B8457" s="5">
        <v>8452</v>
      </c>
      <c r="C8457" s="11">
        <v>106.7794624425987</v>
      </c>
      <c r="D8457" s="42"/>
    </row>
    <row r="8458" spans="2:4" ht="16" thickBot="1" x14ac:dyDescent="0.25">
      <c r="B8458" s="4">
        <v>8453</v>
      </c>
      <c r="C8458" s="10">
        <v>157.8498231182237</v>
      </c>
      <c r="D8458" s="42"/>
    </row>
    <row r="8459" spans="2:4" ht="16" thickBot="1" x14ac:dyDescent="0.25">
      <c r="B8459" s="5">
        <v>8454</v>
      </c>
      <c r="C8459" s="11">
        <v>194.7751735065834</v>
      </c>
      <c r="D8459" s="42"/>
    </row>
    <row r="8460" spans="2:4" ht="16" thickBot="1" x14ac:dyDescent="0.25">
      <c r="B8460" s="4">
        <v>8455</v>
      </c>
      <c r="C8460" s="10">
        <v>194.42466126661029</v>
      </c>
      <c r="D8460" s="42"/>
    </row>
    <row r="8461" spans="2:4" ht="16" thickBot="1" x14ac:dyDescent="0.25">
      <c r="B8461" s="5">
        <v>8456</v>
      </c>
      <c r="C8461" s="11">
        <v>356.67435584518341</v>
      </c>
      <c r="D8461" s="42"/>
    </row>
    <row r="8462" spans="2:4" ht="16" thickBot="1" x14ac:dyDescent="0.25">
      <c r="B8462" s="4">
        <v>8457</v>
      </c>
      <c r="C8462" s="10">
        <v>174.58603009442271</v>
      </c>
      <c r="D8462" s="42"/>
    </row>
    <row r="8463" spans="2:4" ht="16" thickBot="1" x14ac:dyDescent="0.25">
      <c r="B8463" s="5">
        <v>8458</v>
      </c>
      <c r="C8463" s="11">
        <v>212.05725595159666</v>
      </c>
      <c r="D8463" s="42"/>
    </row>
    <row r="8464" spans="2:4" ht="16" thickBot="1" x14ac:dyDescent="0.25">
      <c r="B8464" s="4">
        <v>8459</v>
      </c>
      <c r="C8464" s="10">
        <v>355.01388057903085</v>
      </c>
      <c r="D8464" s="42"/>
    </row>
    <row r="8465" spans="2:4" ht="16" thickBot="1" x14ac:dyDescent="0.25">
      <c r="B8465" s="5">
        <v>8460</v>
      </c>
      <c r="C8465" s="11">
        <v>420.45976267405337</v>
      </c>
      <c r="D8465" s="42"/>
    </row>
    <row r="8466" spans="2:4" ht="16" thickBot="1" x14ac:dyDescent="0.25">
      <c r="B8466" s="4">
        <v>8461</v>
      </c>
      <c r="C8466" s="10">
        <v>255.21548635873916</v>
      </c>
      <c r="D8466" s="42"/>
    </row>
    <row r="8467" spans="2:4" ht="16" thickBot="1" x14ac:dyDescent="0.25">
      <c r="B8467" s="5">
        <v>8462</v>
      </c>
      <c r="C8467" s="11">
        <v>288.18658682261196</v>
      </c>
      <c r="D8467" s="42"/>
    </row>
    <row r="8468" spans="2:4" ht="16" thickBot="1" x14ac:dyDescent="0.25">
      <c r="B8468" s="4">
        <v>8463</v>
      </c>
      <c r="C8468" s="10">
        <v>533.55812985767739</v>
      </c>
      <c r="D8468" s="42"/>
    </row>
    <row r="8469" spans="2:4" ht="16" thickBot="1" x14ac:dyDescent="0.25">
      <c r="B8469" s="5">
        <v>8464</v>
      </c>
      <c r="C8469" s="11">
        <v>426.58012119356897</v>
      </c>
      <c r="D8469" s="42"/>
    </row>
    <row r="8470" spans="2:4" ht="16" thickBot="1" x14ac:dyDescent="0.25">
      <c r="B8470" s="4">
        <v>8465</v>
      </c>
      <c r="C8470" s="10">
        <v>122.05861329188565</v>
      </c>
      <c r="D8470" s="42"/>
    </row>
    <row r="8471" spans="2:4" ht="16" thickBot="1" x14ac:dyDescent="0.25">
      <c r="B8471" s="5">
        <v>8466</v>
      </c>
      <c r="C8471" s="11">
        <v>193.41876749256699</v>
      </c>
      <c r="D8471" s="42"/>
    </row>
    <row r="8472" spans="2:4" ht="16" thickBot="1" x14ac:dyDescent="0.25">
      <c r="B8472" s="4">
        <v>8467</v>
      </c>
      <c r="C8472" s="10">
        <v>410.32633267213629</v>
      </c>
      <c r="D8472" s="42"/>
    </row>
    <row r="8473" spans="2:4" ht="16" thickBot="1" x14ac:dyDescent="0.25">
      <c r="B8473" s="5">
        <v>8468</v>
      </c>
      <c r="C8473" s="11">
        <v>79.37365320285798</v>
      </c>
      <c r="D8473" s="42"/>
    </row>
    <row r="8474" spans="2:4" ht="16" thickBot="1" x14ac:dyDescent="0.25">
      <c r="B8474" s="4">
        <v>8469</v>
      </c>
      <c r="C8474" s="10">
        <v>295.00457717353265</v>
      </c>
      <c r="D8474" s="42"/>
    </row>
    <row r="8475" spans="2:4" ht="16" thickBot="1" x14ac:dyDescent="0.25">
      <c r="B8475" s="5">
        <v>8470</v>
      </c>
      <c r="C8475" s="11">
        <v>297.31350052954764</v>
      </c>
      <c r="D8475" s="42"/>
    </row>
    <row r="8476" spans="2:4" ht="16" thickBot="1" x14ac:dyDescent="0.25">
      <c r="B8476" s="4">
        <v>8471</v>
      </c>
      <c r="C8476" s="10">
        <v>566.71962354799155</v>
      </c>
      <c r="D8476" s="42"/>
    </row>
    <row r="8477" spans="2:4" ht="16" thickBot="1" x14ac:dyDescent="0.25">
      <c r="B8477" s="5">
        <v>8472</v>
      </c>
      <c r="C8477" s="11">
        <v>320.20249937823843</v>
      </c>
      <c r="D8477" s="42"/>
    </row>
    <row r="8478" spans="2:4" ht="16" thickBot="1" x14ac:dyDescent="0.25">
      <c r="B8478" s="4">
        <v>8473</v>
      </c>
      <c r="C8478" s="10">
        <v>86.465812851419656</v>
      </c>
      <c r="D8478" s="42"/>
    </row>
    <row r="8479" spans="2:4" ht="16" thickBot="1" x14ac:dyDescent="0.25">
      <c r="B8479" s="5">
        <v>8474</v>
      </c>
      <c r="C8479" s="11">
        <v>328.99022842655444</v>
      </c>
      <c r="D8479" s="42"/>
    </row>
    <row r="8480" spans="2:4" ht="16" thickBot="1" x14ac:dyDescent="0.25">
      <c r="B8480" s="4">
        <v>8475</v>
      </c>
      <c r="C8480" s="10">
        <v>1102.4853275960313</v>
      </c>
      <c r="D8480" s="42"/>
    </row>
    <row r="8481" spans="2:4" ht="16" thickBot="1" x14ac:dyDescent="0.25">
      <c r="B8481" s="5">
        <v>8476</v>
      </c>
      <c r="C8481" s="11">
        <v>121.30861936190165</v>
      </c>
      <c r="D8481" s="42"/>
    </row>
    <row r="8482" spans="2:4" ht="16" thickBot="1" x14ac:dyDescent="0.25">
      <c r="B8482" s="4">
        <v>8477</v>
      </c>
      <c r="C8482" s="10">
        <v>282.77969422324674</v>
      </c>
      <c r="D8482" s="42"/>
    </row>
    <row r="8483" spans="2:4" ht="16" thickBot="1" x14ac:dyDescent="0.25">
      <c r="B8483" s="5">
        <v>8478</v>
      </c>
      <c r="C8483" s="11">
        <v>149.39176210507827</v>
      </c>
      <c r="D8483" s="42"/>
    </row>
    <row r="8484" spans="2:4" ht="16" thickBot="1" x14ac:dyDescent="0.25">
      <c r="B8484" s="4">
        <v>8479</v>
      </c>
      <c r="C8484" s="10">
        <v>547.25194868872961</v>
      </c>
      <c r="D8484" s="42"/>
    </row>
    <row r="8485" spans="2:4" ht="16" thickBot="1" x14ac:dyDescent="0.25">
      <c r="B8485" s="5">
        <v>8480</v>
      </c>
      <c r="C8485" s="11">
        <v>449.70499169776349</v>
      </c>
      <c r="D8485" s="42"/>
    </row>
    <row r="8486" spans="2:4" ht="16" thickBot="1" x14ac:dyDescent="0.25">
      <c r="B8486" s="4">
        <v>8481</v>
      </c>
      <c r="C8486" s="10">
        <v>217.2950707439941</v>
      </c>
      <c r="D8486" s="42"/>
    </row>
    <row r="8487" spans="2:4" ht="16" thickBot="1" x14ac:dyDescent="0.25">
      <c r="B8487" s="5">
        <v>8482</v>
      </c>
      <c r="C8487" s="11">
        <v>325.86114086782089</v>
      </c>
      <c r="D8487" s="42"/>
    </row>
    <row r="8488" spans="2:4" ht="16" thickBot="1" x14ac:dyDescent="0.25">
      <c r="B8488" s="4">
        <v>8483</v>
      </c>
      <c r="C8488" s="10">
        <v>307.08285404696113</v>
      </c>
      <c r="D8488" s="42"/>
    </row>
    <row r="8489" spans="2:4" ht="16" thickBot="1" x14ac:dyDescent="0.25">
      <c r="B8489" s="5">
        <v>8484</v>
      </c>
      <c r="C8489" s="11">
        <v>161.95356562608418</v>
      </c>
      <c r="D8489" s="42"/>
    </row>
    <row r="8490" spans="2:4" ht="16" thickBot="1" x14ac:dyDescent="0.25">
      <c r="B8490" s="4">
        <v>8485</v>
      </c>
      <c r="C8490" s="10">
        <v>815.08981311839693</v>
      </c>
      <c r="D8490" s="42"/>
    </row>
    <row r="8491" spans="2:4" ht="16" thickBot="1" x14ac:dyDescent="0.25">
      <c r="B8491" s="5">
        <v>8486</v>
      </c>
      <c r="C8491" s="11">
        <v>103.14425908776504</v>
      </c>
      <c r="D8491" s="42"/>
    </row>
    <row r="8492" spans="2:4" ht="16" thickBot="1" x14ac:dyDescent="0.25">
      <c r="B8492" s="4">
        <v>8487</v>
      </c>
      <c r="C8492" s="10">
        <v>176.67905453623754</v>
      </c>
      <c r="D8492" s="42"/>
    </row>
    <row r="8493" spans="2:4" ht="16" thickBot="1" x14ac:dyDescent="0.25">
      <c r="B8493" s="5">
        <v>8488</v>
      </c>
      <c r="C8493" s="11">
        <v>223.19896758773143</v>
      </c>
      <c r="D8493" s="42"/>
    </row>
    <row r="8494" spans="2:4" ht="16" thickBot="1" x14ac:dyDescent="0.25">
      <c r="B8494" s="4">
        <v>8489</v>
      </c>
      <c r="C8494" s="10">
        <v>129.37889302223638</v>
      </c>
      <c r="D8494" s="42"/>
    </row>
    <row r="8495" spans="2:4" ht="16" thickBot="1" x14ac:dyDescent="0.25">
      <c r="B8495" s="5">
        <v>8490</v>
      </c>
      <c r="C8495" s="11">
        <v>280.17062736404478</v>
      </c>
      <c r="D8495" s="42"/>
    </row>
    <row r="8496" spans="2:4" ht="16" thickBot="1" x14ac:dyDescent="0.25">
      <c r="B8496" s="4">
        <v>8491</v>
      </c>
      <c r="C8496" s="10">
        <v>248.45771585170175</v>
      </c>
      <c r="D8496" s="42"/>
    </row>
    <row r="8497" spans="2:4" ht="16" thickBot="1" x14ac:dyDescent="0.25">
      <c r="B8497" s="5">
        <v>8492</v>
      </c>
      <c r="C8497" s="11">
        <v>332.20695352881359</v>
      </c>
      <c r="D8497" s="42"/>
    </row>
    <row r="8498" spans="2:4" ht="16" thickBot="1" x14ac:dyDescent="0.25">
      <c r="B8498" s="4">
        <v>8493</v>
      </c>
      <c r="C8498" s="10">
        <v>73.656851076129797</v>
      </c>
      <c r="D8498" s="42"/>
    </row>
    <row r="8499" spans="2:4" ht="16" thickBot="1" x14ac:dyDescent="0.25">
      <c r="B8499" s="5">
        <v>8494</v>
      </c>
      <c r="C8499" s="11">
        <v>252.33944797769354</v>
      </c>
      <c r="D8499" s="42"/>
    </row>
    <row r="8500" spans="2:4" ht="16" thickBot="1" x14ac:dyDescent="0.25">
      <c r="B8500" s="4">
        <v>8495</v>
      </c>
      <c r="C8500" s="10">
        <v>249.16415616220229</v>
      </c>
      <c r="D8500" s="42"/>
    </row>
    <row r="8501" spans="2:4" ht="16" thickBot="1" x14ac:dyDescent="0.25">
      <c r="B8501" s="5">
        <v>8496</v>
      </c>
      <c r="C8501" s="11">
        <v>388.59378286259204</v>
      </c>
      <c r="D8501" s="42"/>
    </row>
    <row r="8502" spans="2:4" ht="16" thickBot="1" x14ac:dyDescent="0.25">
      <c r="B8502" s="4">
        <v>8497</v>
      </c>
      <c r="C8502" s="10">
        <v>296.2909445563829</v>
      </c>
      <c r="D8502" s="42"/>
    </row>
    <row r="8503" spans="2:4" ht="16" thickBot="1" x14ac:dyDescent="0.25">
      <c r="B8503" s="5">
        <v>8498</v>
      </c>
      <c r="C8503" s="11">
        <v>239.89628733952813</v>
      </c>
      <c r="D8503" s="42"/>
    </row>
    <row r="8504" spans="2:4" ht="16" thickBot="1" x14ac:dyDescent="0.25">
      <c r="B8504" s="4">
        <v>8499</v>
      </c>
      <c r="C8504" s="10">
        <v>262.51572454097123</v>
      </c>
      <c r="D8504" s="42"/>
    </row>
    <row r="8505" spans="2:4" ht="16" thickBot="1" x14ac:dyDescent="0.25">
      <c r="B8505" s="5">
        <v>8500</v>
      </c>
      <c r="C8505" s="11">
        <v>144.66799170885588</v>
      </c>
      <c r="D8505" s="42"/>
    </row>
    <row r="8506" spans="2:4" ht="16" thickBot="1" x14ac:dyDescent="0.25">
      <c r="B8506" s="4">
        <v>8501</v>
      </c>
      <c r="C8506" s="10">
        <v>238.88156889528568</v>
      </c>
      <c r="D8506" s="42"/>
    </row>
    <row r="8507" spans="2:4" ht="16" thickBot="1" x14ac:dyDescent="0.25">
      <c r="B8507" s="5">
        <v>8502</v>
      </c>
      <c r="C8507" s="11">
        <v>102.76510023719072</v>
      </c>
      <c r="D8507" s="42"/>
    </row>
    <row r="8508" spans="2:4" ht="16" thickBot="1" x14ac:dyDescent="0.25">
      <c r="B8508" s="4">
        <v>8503</v>
      </c>
      <c r="C8508" s="10">
        <v>389.80548826966992</v>
      </c>
      <c r="D8508" s="42"/>
    </row>
    <row r="8509" spans="2:4" ht="16" thickBot="1" x14ac:dyDescent="0.25">
      <c r="B8509" s="5">
        <v>8504</v>
      </c>
      <c r="C8509" s="11">
        <v>33.995014236433946</v>
      </c>
      <c r="D8509" s="42"/>
    </row>
    <row r="8510" spans="2:4" ht="16" thickBot="1" x14ac:dyDescent="0.25">
      <c r="B8510" s="4">
        <v>8505</v>
      </c>
      <c r="C8510" s="10">
        <v>140.57765667949428</v>
      </c>
      <c r="D8510" s="42"/>
    </row>
    <row r="8511" spans="2:4" ht="16" thickBot="1" x14ac:dyDescent="0.25">
      <c r="B8511" s="5">
        <v>8506</v>
      </c>
      <c r="C8511" s="11">
        <v>108.57538599509749</v>
      </c>
      <c r="D8511" s="42"/>
    </row>
    <row r="8512" spans="2:4" ht="16" thickBot="1" x14ac:dyDescent="0.25">
      <c r="B8512" s="4">
        <v>8507</v>
      </c>
      <c r="C8512" s="10">
        <v>337.0204733890825</v>
      </c>
      <c r="D8512" s="42"/>
    </row>
    <row r="8513" spans="2:4" ht="16" thickBot="1" x14ac:dyDescent="0.25">
      <c r="B8513" s="5">
        <v>8508</v>
      </c>
      <c r="C8513" s="11">
        <v>30.22148712521653</v>
      </c>
      <c r="D8513" s="42"/>
    </row>
    <row r="8514" spans="2:4" ht="16" thickBot="1" x14ac:dyDescent="0.25">
      <c r="B8514" s="4">
        <v>8509</v>
      </c>
      <c r="C8514" s="10">
        <v>134.62376649477312</v>
      </c>
      <c r="D8514" s="42"/>
    </row>
    <row r="8515" spans="2:4" ht="16" thickBot="1" x14ac:dyDescent="0.25">
      <c r="B8515" s="5">
        <v>8510</v>
      </c>
      <c r="C8515" s="11">
        <v>258.49142220384857</v>
      </c>
      <c r="D8515" s="42"/>
    </row>
    <row r="8516" spans="2:4" ht="16" thickBot="1" x14ac:dyDescent="0.25">
      <c r="B8516" s="4">
        <v>8511</v>
      </c>
      <c r="C8516" s="10">
        <v>384.22358349121936</v>
      </c>
      <c r="D8516" s="42"/>
    </row>
    <row r="8517" spans="2:4" ht="16" thickBot="1" x14ac:dyDescent="0.25">
      <c r="B8517" s="5">
        <v>8512</v>
      </c>
      <c r="C8517" s="11">
        <v>187.27224418345298</v>
      </c>
      <c r="D8517" s="42"/>
    </row>
    <row r="8518" spans="2:4" ht="16" thickBot="1" x14ac:dyDescent="0.25">
      <c r="B8518" s="4">
        <v>8513</v>
      </c>
      <c r="C8518" s="10">
        <v>166.19288982872158</v>
      </c>
      <c r="D8518" s="42"/>
    </row>
    <row r="8519" spans="2:4" ht="16" thickBot="1" x14ac:dyDescent="0.25">
      <c r="B8519" s="5">
        <v>8514</v>
      </c>
      <c r="C8519" s="11">
        <v>74.759505992584209</v>
      </c>
      <c r="D8519" s="42"/>
    </row>
    <row r="8520" spans="2:4" ht="16" thickBot="1" x14ac:dyDescent="0.25">
      <c r="B8520" s="4">
        <v>8515</v>
      </c>
      <c r="C8520" s="10">
        <v>187.68087428870714</v>
      </c>
      <c r="D8520" s="42"/>
    </row>
    <row r="8521" spans="2:4" ht="16" thickBot="1" x14ac:dyDescent="0.25">
      <c r="B8521" s="5">
        <v>8516</v>
      </c>
      <c r="C8521" s="11">
        <v>410.10608277268352</v>
      </c>
      <c r="D8521" s="42"/>
    </row>
    <row r="8522" spans="2:4" ht="16" thickBot="1" x14ac:dyDescent="0.25">
      <c r="B8522" s="4">
        <v>8517</v>
      </c>
      <c r="C8522" s="10">
        <v>353.47194372564218</v>
      </c>
      <c r="D8522" s="42"/>
    </row>
    <row r="8523" spans="2:4" ht="16" thickBot="1" x14ac:dyDescent="0.25">
      <c r="B8523" s="5">
        <v>8518</v>
      </c>
      <c r="C8523" s="11">
        <v>211.93281121766157</v>
      </c>
      <c r="D8523" s="42"/>
    </row>
    <row r="8524" spans="2:4" ht="16" thickBot="1" x14ac:dyDescent="0.25">
      <c r="B8524" s="4">
        <v>8519</v>
      </c>
      <c r="C8524" s="10">
        <v>218.65026576279007</v>
      </c>
      <c r="D8524" s="42"/>
    </row>
    <row r="8525" spans="2:4" ht="16" thickBot="1" x14ac:dyDescent="0.25">
      <c r="B8525" s="5">
        <v>8520</v>
      </c>
      <c r="C8525" s="11">
        <v>219.80713207828711</v>
      </c>
      <c r="D8525" s="42"/>
    </row>
    <row r="8526" spans="2:4" ht="16" thickBot="1" x14ac:dyDescent="0.25">
      <c r="B8526" s="4">
        <v>8521</v>
      </c>
      <c r="C8526" s="10">
        <v>362.49760769110827</v>
      </c>
      <c r="D8526" s="42"/>
    </row>
    <row r="8527" spans="2:4" ht="16" thickBot="1" x14ac:dyDescent="0.25">
      <c r="B8527" s="5">
        <v>8522</v>
      </c>
      <c r="C8527" s="11">
        <v>702.62598386661546</v>
      </c>
      <c r="D8527" s="42"/>
    </row>
    <row r="8528" spans="2:4" ht="16" thickBot="1" x14ac:dyDescent="0.25">
      <c r="B8528" s="4">
        <v>8523</v>
      </c>
      <c r="C8528" s="10">
        <v>461.66230790126389</v>
      </c>
      <c r="D8528" s="42"/>
    </row>
    <row r="8529" spans="2:4" ht="16" thickBot="1" x14ac:dyDescent="0.25">
      <c r="B8529" s="5">
        <v>8524</v>
      </c>
      <c r="C8529" s="11">
        <v>341.8984122489282</v>
      </c>
      <c r="D8529" s="42"/>
    </row>
    <row r="8530" spans="2:4" ht="16" thickBot="1" x14ac:dyDescent="0.25">
      <c r="B8530" s="4">
        <v>8525</v>
      </c>
      <c r="C8530" s="10">
        <v>424.62523170114895</v>
      </c>
      <c r="D8530" s="42"/>
    </row>
    <row r="8531" spans="2:4" ht="16" thickBot="1" x14ac:dyDescent="0.25">
      <c r="B8531" s="5">
        <v>8526</v>
      </c>
      <c r="C8531" s="11">
        <v>135.78619643416664</v>
      </c>
      <c r="D8531" s="42"/>
    </row>
    <row r="8532" spans="2:4" ht="16" thickBot="1" x14ac:dyDescent="0.25">
      <c r="B8532" s="4">
        <v>8527</v>
      </c>
      <c r="C8532" s="10">
        <v>103.23303501082157</v>
      </c>
      <c r="D8532" s="42"/>
    </row>
    <row r="8533" spans="2:4" ht="16" thickBot="1" x14ac:dyDescent="0.25">
      <c r="B8533" s="5">
        <v>8528</v>
      </c>
      <c r="C8533" s="11">
        <v>275.2152035292296</v>
      </c>
      <c r="D8533" s="42"/>
    </row>
    <row r="8534" spans="2:4" ht="16" thickBot="1" x14ac:dyDescent="0.25">
      <c r="B8534" s="4">
        <v>8529</v>
      </c>
      <c r="C8534" s="10">
        <v>529.644243751457</v>
      </c>
      <c r="D8534" s="42"/>
    </row>
    <row r="8535" spans="2:4" ht="16" thickBot="1" x14ac:dyDescent="0.25">
      <c r="B8535" s="5">
        <v>8530</v>
      </c>
      <c r="C8535" s="11">
        <v>217.04249745015574</v>
      </c>
      <c r="D8535" s="42"/>
    </row>
    <row r="8536" spans="2:4" ht="16" thickBot="1" x14ac:dyDescent="0.25">
      <c r="B8536" s="4">
        <v>8531</v>
      </c>
      <c r="C8536" s="10">
        <v>169.57668880404162</v>
      </c>
      <c r="D8536" s="42"/>
    </row>
    <row r="8537" spans="2:4" ht="16" thickBot="1" x14ac:dyDescent="0.25">
      <c r="B8537" s="5">
        <v>8532</v>
      </c>
      <c r="C8537" s="11">
        <v>366.36565354119409</v>
      </c>
      <c r="D8537" s="42"/>
    </row>
    <row r="8538" spans="2:4" ht="16" thickBot="1" x14ac:dyDescent="0.25">
      <c r="B8538" s="4">
        <v>8533</v>
      </c>
      <c r="C8538" s="10">
        <v>177.86673139776411</v>
      </c>
      <c r="D8538" s="42"/>
    </row>
    <row r="8539" spans="2:4" ht="16" thickBot="1" x14ac:dyDescent="0.25">
      <c r="B8539" s="5">
        <v>8534</v>
      </c>
      <c r="C8539" s="11">
        <v>162.39045194971794</v>
      </c>
      <c r="D8539" s="42"/>
    </row>
    <row r="8540" spans="2:4" ht="16" thickBot="1" x14ac:dyDescent="0.25">
      <c r="B8540" s="4">
        <v>8535</v>
      </c>
      <c r="C8540" s="10">
        <v>234.6076225087329</v>
      </c>
      <c r="D8540" s="42"/>
    </row>
    <row r="8541" spans="2:4" ht="16" thickBot="1" x14ac:dyDescent="0.25">
      <c r="B8541" s="5">
        <v>8536</v>
      </c>
      <c r="C8541" s="11">
        <v>289.48682591931424</v>
      </c>
      <c r="D8541" s="42"/>
    </row>
    <row r="8542" spans="2:4" ht="16" thickBot="1" x14ac:dyDescent="0.25">
      <c r="B8542" s="4">
        <v>8537</v>
      </c>
      <c r="C8542" s="10">
        <v>98.687263966799492</v>
      </c>
      <c r="D8542" s="42"/>
    </row>
    <row r="8543" spans="2:4" ht="16" thickBot="1" x14ac:dyDescent="0.25">
      <c r="B8543" s="5">
        <v>8538</v>
      </c>
      <c r="C8543" s="11">
        <v>293.17201610437769</v>
      </c>
      <c r="D8543" s="42"/>
    </row>
    <row r="8544" spans="2:4" ht="16" thickBot="1" x14ac:dyDescent="0.25">
      <c r="B8544" s="4">
        <v>8539</v>
      </c>
      <c r="C8544" s="10">
        <v>236.40663427331191</v>
      </c>
      <c r="D8544" s="42"/>
    </row>
    <row r="8545" spans="2:4" ht="16" thickBot="1" x14ac:dyDescent="0.25">
      <c r="B8545" s="5">
        <v>8540</v>
      </c>
      <c r="C8545" s="11">
        <v>68.052074740826043</v>
      </c>
      <c r="D8545" s="42"/>
    </row>
    <row r="8546" spans="2:4" ht="16" thickBot="1" x14ac:dyDescent="0.25">
      <c r="B8546" s="4">
        <v>8541</v>
      </c>
      <c r="C8546" s="10">
        <v>124.83387722897888</v>
      </c>
      <c r="D8546" s="42"/>
    </row>
    <row r="8547" spans="2:4" ht="16" thickBot="1" x14ac:dyDescent="0.25">
      <c r="B8547" s="5">
        <v>8542</v>
      </c>
      <c r="C8547" s="11">
        <v>178.9937947066966</v>
      </c>
      <c r="D8547" s="42"/>
    </row>
    <row r="8548" spans="2:4" ht="16" thickBot="1" x14ac:dyDescent="0.25">
      <c r="B8548" s="4">
        <v>8543</v>
      </c>
      <c r="C8548" s="10">
        <v>289.61602514517642</v>
      </c>
      <c r="D8548" s="42"/>
    </row>
    <row r="8549" spans="2:4" ht="16" thickBot="1" x14ac:dyDescent="0.25">
      <c r="B8549" s="5">
        <v>8544</v>
      </c>
      <c r="C8549" s="11">
        <v>193.37273809887998</v>
      </c>
      <c r="D8549" s="42"/>
    </row>
    <row r="8550" spans="2:4" ht="16" thickBot="1" x14ac:dyDescent="0.25">
      <c r="B8550" s="4">
        <v>8545</v>
      </c>
      <c r="C8550" s="10">
        <v>65.130262893893274</v>
      </c>
      <c r="D8550" s="42"/>
    </row>
    <row r="8551" spans="2:4" ht="16" thickBot="1" x14ac:dyDescent="0.25">
      <c r="B8551" s="5">
        <v>8546</v>
      </c>
      <c r="C8551" s="11">
        <v>485.75189651776896</v>
      </c>
      <c r="D8551" s="42"/>
    </row>
    <row r="8552" spans="2:4" ht="16" thickBot="1" x14ac:dyDescent="0.25">
      <c r="B8552" s="4">
        <v>8547</v>
      </c>
      <c r="C8552" s="10">
        <v>748.4931410635885</v>
      </c>
      <c r="D8552" s="42"/>
    </row>
    <row r="8553" spans="2:4" ht="16" thickBot="1" x14ac:dyDescent="0.25">
      <c r="B8553" s="5">
        <v>8548</v>
      </c>
      <c r="C8553" s="11">
        <v>103.33984269024187</v>
      </c>
      <c r="D8553" s="42"/>
    </row>
    <row r="8554" spans="2:4" ht="16" thickBot="1" x14ac:dyDescent="0.25">
      <c r="B8554" s="4">
        <v>8549</v>
      </c>
      <c r="C8554" s="10">
        <v>442.93081299537852</v>
      </c>
      <c r="D8554" s="42"/>
    </row>
    <row r="8555" spans="2:4" ht="16" thickBot="1" x14ac:dyDescent="0.25">
      <c r="B8555" s="5">
        <v>8550</v>
      </c>
      <c r="C8555" s="11">
        <v>141.53770915945844</v>
      </c>
      <c r="D8555" s="42"/>
    </row>
    <row r="8556" spans="2:4" ht="16" thickBot="1" x14ac:dyDescent="0.25">
      <c r="B8556" s="4">
        <v>8551</v>
      </c>
      <c r="C8556" s="10">
        <v>190.70723973023283</v>
      </c>
      <c r="D8556" s="42"/>
    </row>
    <row r="8557" spans="2:4" ht="16" thickBot="1" x14ac:dyDescent="0.25">
      <c r="B8557" s="5">
        <v>8552</v>
      </c>
      <c r="C8557" s="11">
        <v>205.34302298089787</v>
      </c>
      <c r="D8557" s="42"/>
    </row>
    <row r="8558" spans="2:4" ht="16" thickBot="1" x14ac:dyDescent="0.25">
      <c r="B8558" s="4">
        <v>8553</v>
      </c>
      <c r="C8558" s="10">
        <v>312.34307437628382</v>
      </c>
      <c r="D8558" s="42"/>
    </row>
    <row r="8559" spans="2:4" ht="16" thickBot="1" x14ac:dyDescent="0.25">
      <c r="B8559" s="5">
        <v>8554</v>
      </c>
      <c r="C8559" s="11">
        <v>362.39319624176204</v>
      </c>
      <c r="D8559" s="42"/>
    </row>
    <row r="8560" spans="2:4" ht="16" thickBot="1" x14ac:dyDescent="0.25">
      <c r="B8560" s="4">
        <v>8555</v>
      </c>
      <c r="C8560" s="10">
        <v>46.908852569239528</v>
      </c>
      <c r="D8560" s="42"/>
    </row>
    <row r="8561" spans="2:4" ht="16" thickBot="1" x14ac:dyDescent="0.25">
      <c r="B8561" s="5">
        <v>8556</v>
      </c>
      <c r="C8561" s="11">
        <v>380.45165078475219</v>
      </c>
      <c r="D8561" s="42"/>
    </row>
    <row r="8562" spans="2:4" ht="16" thickBot="1" x14ac:dyDescent="0.25">
      <c r="B8562" s="4">
        <v>8557</v>
      </c>
      <c r="C8562" s="10">
        <v>159.58925074650702</v>
      </c>
      <c r="D8562" s="42"/>
    </row>
    <row r="8563" spans="2:4" ht="16" thickBot="1" x14ac:dyDescent="0.25">
      <c r="B8563" s="5">
        <v>8558</v>
      </c>
      <c r="C8563" s="11">
        <v>78.384649170117697</v>
      </c>
      <c r="D8563" s="42"/>
    </row>
    <row r="8564" spans="2:4" ht="16" thickBot="1" x14ac:dyDescent="0.25">
      <c r="B8564" s="4">
        <v>8559</v>
      </c>
      <c r="C8564" s="10">
        <v>132.50214208147736</v>
      </c>
      <c r="D8564" s="42"/>
    </row>
    <row r="8565" spans="2:4" ht="16" thickBot="1" x14ac:dyDescent="0.25">
      <c r="B8565" s="5">
        <v>8560</v>
      </c>
      <c r="C8565" s="11">
        <v>204.81587509631711</v>
      </c>
      <c r="D8565" s="42"/>
    </row>
    <row r="8566" spans="2:4" ht="16" thickBot="1" x14ac:dyDescent="0.25">
      <c r="B8566" s="4">
        <v>8561</v>
      </c>
      <c r="C8566" s="10">
        <v>274.29245290595554</v>
      </c>
      <c r="D8566" s="42"/>
    </row>
    <row r="8567" spans="2:4" ht="16" thickBot="1" x14ac:dyDescent="0.25">
      <c r="B8567" s="5">
        <v>8562</v>
      </c>
      <c r="C8567" s="11">
        <v>83.464783856233012</v>
      </c>
      <c r="D8567" s="42"/>
    </row>
    <row r="8568" spans="2:4" ht="16" thickBot="1" x14ac:dyDescent="0.25">
      <c r="B8568" s="4">
        <v>8563</v>
      </c>
      <c r="C8568" s="10">
        <v>102.44721150022103</v>
      </c>
      <c r="D8568" s="42"/>
    </row>
    <row r="8569" spans="2:4" ht="16" thickBot="1" x14ac:dyDescent="0.25">
      <c r="B8569" s="5">
        <v>8564</v>
      </c>
      <c r="C8569" s="11">
        <v>521.3489711842102</v>
      </c>
      <c r="D8569" s="42"/>
    </row>
    <row r="8570" spans="2:4" ht="16" thickBot="1" x14ac:dyDescent="0.25">
      <c r="B8570" s="4">
        <v>8565</v>
      </c>
      <c r="C8570" s="10">
        <v>371.32862815056205</v>
      </c>
      <c r="D8570" s="42"/>
    </row>
    <row r="8571" spans="2:4" ht="16" thickBot="1" x14ac:dyDescent="0.25">
      <c r="B8571" s="5">
        <v>8566</v>
      </c>
      <c r="C8571" s="11">
        <v>231.07676081195356</v>
      </c>
      <c r="D8571" s="42"/>
    </row>
    <row r="8572" spans="2:4" ht="16" thickBot="1" x14ac:dyDescent="0.25">
      <c r="B8572" s="4">
        <v>8567</v>
      </c>
      <c r="C8572" s="10">
        <v>104.48968866000682</v>
      </c>
      <c r="D8572" s="42"/>
    </row>
    <row r="8573" spans="2:4" ht="16" thickBot="1" x14ac:dyDescent="0.25">
      <c r="B8573" s="5">
        <v>8568</v>
      </c>
      <c r="C8573" s="11">
        <v>362.37337060236803</v>
      </c>
      <c r="D8573" s="42"/>
    </row>
    <row r="8574" spans="2:4" ht="16" thickBot="1" x14ac:dyDescent="0.25">
      <c r="B8574" s="4">
        <v>8569</v>
      </c>
      <c r="C8574" s="10">
        <v>247.38473251230357</v>
      </c>
      <c r="D8574" s="42"/>
    </row>
    <row r="8575" spans="2:4" ht="16" thickBot="1" x14ac:dyDescent="0.25">
      <c r="B8575" s="5">
        <v>8570</v>
      </c>
      <c r="C8575" s="11">
        <v>149.84780455180399</v>
      </c>
      <c r="D8575" s="42"/>
    </row>
    <row r="8576" spans="2:4" ht="16" thickBot="1" x14ac:dyDescent="0.25">
      <c r="B8576" s="4">
        <v>8571</v>
      </c>
      <c r="C8576" s="10">
        <v>510.71666893563929</v>
      </c>
      <c r="D8576" s="42"/>
    </row>
    <row r="8577" spans="2:4" ht="16" thickBot="1" x14ac:dyDescent="0.25">
      <c r="B8577" s="5">
        <v>8572</v>
      </c>
      <c r="C8577" s="11">
        <v>168.08256483208183</v>
      </c>
      <c r="D8577" s="42"/>
    </row>
    <row r="8578" spans="2:4" ht="16" thickBot="1" x14ac:dyDescent="0.25">
      <c r="B8578" s="4">
        <v>8573</v>
      </c>
      <c r="C8578" s="10">
        <v>103.49271628554908</v>
      </c>
      <c r="D8578" s="42"/>
    </row>
    <row r="8579" spans="2:4" ht="16" thickBot="1" x14ac:dyDescent="0.25">
      <c r="B8579" s="5">
        <v>8574</v>
      </c>
      <c r="C8579" s="11">
        <v>169.8080451211946</v>
      </c>
      <c r="D8579" s="42"/>
    </row>
    <row r="8580" spans="2:4" ht="16" thickBot="1" x14ac:dyDescent="0.25">
      <c r="B8580" s="4">
        <v>8575</v>
      </c>
      <c r="C8580" s="10">
        <v>203.11015983910247</v>
      </c>
      <c r="D8580" s="42"/>
    </row>
    <row r="8581" spans="2:4" ht="16" thickBot="1" x14ac:dyDescent="0.25">
      <c r="B8581" s="5">
        <v>8576</v>
      </c>
      <c r="C8581" s="11">
        <v>211.56882508876893</v>
      </c>
      <c r="D8581" s="42"/>
    </row>
    <row r="8582" spans="2:4" ht="16" thickBot="1" x14ac:dyDescent="0.25">
      <c r="B8582" s="4">
        <v>8577</v>
      </c>
      <c r="C8582" s="10">
        <v>435.61068983022199</v>
      </c>
      <c r="D8582" s="42"/>
    </row>
    <row r="8583" spans="2:4" ht="16" thickBot="1" x14ac:dyDescent="0.25">
      <c r="B8583" s="5">
        <v>8578</v>
      </c>
      <c r="C8583" s="11">
        <v>244.35591108157988</v>
      </c>
      <c r="D8583" s="42"/>
    </row>
    <row r="8584" spans="2:4" ht="16" thickBot="1" x14ac:dyDescent="0.25">
      <c r="B8584" s="4">
        <v>8579</v>
      </c>
      <c r="C8584" s="10">
        <v>334.54382817693011</v>
      </c>
      <c r="D8584" s="42"/>
    </row>
    <row r="8585" spans="2:4" ht="16" thickBot="1" x14ac:dyDescent="0.25">
      <c r="B8585" s="5">
        <v>8580</v>
      </c>
      <c r="C8585" s="11">
        <v>86.412441454532356</v>
      </c>
      <c r="D8585" s="42"/>
    </row>
    <row r="8586" spans="2:4" ht="16" thickBot="1" x14ac:dyDescent="0.25">
      <c r="B8586" s="4">
        <v>8581</v>
      </c>
      <c r="C8586" s="10">
        <v>198.62017987985649</v>
      </c>
      <c r="D8586" s="42"/>
    </row>
    <row r="8587" spans="2:4" ht="16" thickBot="1" x14ac:dyDescent="0.25">
      <c r="B8587" s="5">
        <v>8582</v>
      </c>
      <c r="C8587" s="11">
        <v>460.4018662396</v>
      </c>
      <c r="D8587" s="42"/>
    </row>
    <row r="8588" spans="2:4" ht="16" thickBot="1" x14ac:dyDescent="0.25">
      <c r="B8588" s="4">
        <v>8583</v>
      </c>
      <c r="C8588" s="10">
        <v>145.08329113423869</v>
      </c>
      <c r="D8588" s="42"/>
    </row>
    <row r="8589" spans="2:4" ht="16" thickBot="1" x14ac:dyDescent="0.25">
      <c r="B8589" s="5">
        <v>8584</v>
      </c>
      <c r="C8589" s="11">
        <v>210.18538349482247</v>
      </c>
      <c r="D8589" s="42"/>
    </row>
    <row r="8590" spans="2:4" ht="16" thickBot="1" x14ac:dyDescent="0.25">
      <c r="B8590" s="4">
        <v>8585</v>
      </c>
      <c r="C8590" s="10">
        <v>256.80439353294872</v>
      </c>
      <c r="D8590" s="42"/>
    </row>
    <row r="8591" spans="2:4" ht="16" thickBot="1" x14ac:dyDescent="0.25">
      <c r="B8591" s="5">
        <v>8586</v>
      </c>
      <c r="C8591" s="11">
        <v>219.02500751325547</v>
      </c>
      <c r="D8591" s="42"/>
    </row>
    <row r="8592" spans="2:4" ht="16" thickBot="1" x14ac:dyDescent="0.25">
      <c r="B8592" s="4">
        <v>8587</v>
      </c>
      <c r="C8592" s="10">
        <v>153.06298875643083</v>
      </c>
      <c r="D8592" s="42"/>
    </row>
    <row r="8593" spans="2:4" ht="16" thickBot="1" x14ac:dyDescent="0.25">
      <c r="B8593" s="5">
        <v>8588</v>
      </c>
      <c r="C8593" s="11">
        <v>241.12183759003963</v>
      </c>
      <c r="D8593" s="42"/>
    </row>
    <row r="8594" spans="2:4" ht="16" thickBot="1" x14ac:dyDescent="0.25">
      <c r="B8594" s="4">
        <v>8589</v>
      </c>
      <c r="C8594" s="10">
        <v>105.07515343251102</v>
      </c>
      <c r="D8594" s="42"/>
    </row>
    <row r="8595" spans="2:4" ht="16" thickBot="1" x14ac:dyDescent="0.25">
      <c r="B8595" s="5">
        <v>8590</v>
      </c>
      <c r="C8595" s="11">
        <v>256.83926725323784</v>
      </c>
      <c r="D8595" s="42"/>
    </row>
    <row r="8596" spans="2:4" ht="16" thickBot="1" x14ac:dyDescent="0.25">
      <c r="B8596" s="4">
        <v>8591</v>
      </c>
      <c r="C8596" s="10">
        <v>142.44427504956576</v>
      </c>
      <c r="D8596" s="42"/>
    </row>
    <row r="8597" spans="2:4" ht="16" thickBot="1" x14ac:dyDescent="0.25">
      <c r="B8597" s="5">
        <v>8592</v>
      </c>
      <c r="C8597" s="11">
        <v>225.31783797883548</v>
      </c>
      <c r="D8597" s="42"/>
    </row>
    <row r="8598" spans="2:4" ht="16" thickBot="1" x14ac:dyDescent="0.25">
      <c r="B8598" s="4">
        <v>8593</v>
      </c>
      <c r="C8598" s="10">
        <v>299.22659400629823</v>
      </c>
      <c r="D8598" s="42"/>
    </row>
    <row r="8599" spans="2:4" ht="16" thickBot="1" x14ac:dyDescent="0.25">
      <c r="B8599" s="5">
        <v>8594</v>
      </c>
      <c r="C8599" s="11">
        <v>82.153911937327734</v>
      </c>
      <c r="D8599" s="42"/>
    </row>
    <row r="8600" spans="2:4" ht="16" thickBot="1" x14ac:dyDescent="0.25">
      <c r="B8600" s="4">
        <v>8595</v>
      </c>
      <c r="C8600" s="10">
        <v>276.97221538872338</v>
      </c>
      <c r="D8600" s="42"/>
    </row>
    <row r="8601" spans="2:4" ht="16" thickBot="1" x14ac:dyDescent="0.25">
      <c r="B8601" s="5">
        <v>8596</v>
      </c>
      <c r="C8601" s="11">
        <v>182.89225024541659</v>
      </c>
      <c r="D8601" s="42"/>
    </row>
    <row r="8602" spans="2:4" ht="16" thickBot="1" x14ac:dyDescent="0.25">
      <c r="B8602" s="4">
        <v>8597</v>
      </c>
      <c r="C8602" s="10">
        <v>205.9844903568536</v>
      </c>
      <c r="D8602" s="42"/>
    </row>
    <row r="8603" spans="2:4" ht="16" thickBot="1" x14ac:dyDescent="0.25">
      <c r="B8603" s="5">
        <v>8598</v>
      </c>
      <c r="C8603" s="11">
        <v>134.91861463536603</v>
      </c>
      <c r="D8603" s="42"/>
    </row>
    <row r="8604" spans="2:4" ht="16" thickBot="1" x14ac:dyDescent="0.25">
      <c r="B8604" s="4">
        <v>8599</v>
      </c>
      <c r="C8604" s="10">
        <v>194.99449203414625</v>
      </c>
      <c r="D8604" s="42"/>
    </row>
    <row r="8605" spans="2:4" ht="16" thickBot="1" x14ac:dyDescent="0.25">
      <c r="B8605" s="5">
        <v>8600</v>
      </c>
      <c r="C8605" s="11">
        <v>247.68722495339483</v>
      </c>
      <c r="D8605" s="42"/>
    </row>
    <row r="8606" spans="2:4" ht="16" thickBot="1" x14ac:dyDescent="0.25">
      <c r="B8606" s="4">
        <v>8601</v>
      </c>
      <c r="C8606" s="10">
        <v>384.33560001005009</v>
      </c>
      <c r="D8606" s="42"/>
    </row>
    <row r="8607" spans="2:4" ht="16" thickBot="1" x14ac:dyDescent="0.25">
      <c r="B8607" s="5">
        <v>8602</v>
      </c>
      <c r="C8607" s="11">
        <v>178.75683612653276</v>
      </c>
      <c r="D8607" s="42"/>
    </row>
    <row r="8608" spans="2:4" ht="16" thickBot="1" x14ac:dyDescent="0.25">
      <c r="B8608" s="4">
        <v>8603</v>
      </c>
      <c r="C8608" s="10">
        <v>365.44937440836236</v>
      </c>
      <c r="D8608" s="42"/>
    </row>
    <row r="8609" spans="2:4" ht="16" thickBot="1" x14ac:dyDescent="0.25">
      <c r="B8609" s="5">
        <v>8604</v>
      </c>
      <c r="C8609" s="11">
        <v>484.04959156361878</v>
      </c>
      <c r="D8609" s="42"/>
    </row>
    <row r="8610" spans="2:4" ht="16" thickBot="1" x14ac:dyDescent="0.25">
      <c r="B8610" s="4">
        <v>8605</v>
      </c>
      <c r="C8610" s="10">
        <v>262.9217366504829</v>
      </c>
      <c r="D8610" s="42"/>
    </row>
    <row r="8611" spans="2:4" ht="16" thickBot="1" x14ac:dyDescent="0.25">
      <c r="B8611" s="5">
        <v>8606</v>
      </c>
      <c r="C8611" s="11">
        <v>105.85836151734237</v>
      </c>
      <c r="D8611" s="42"/>
    </row>
    <row r="8612" spans="2:4" ht="16" thickBot="1" x14ac:dyDescent="0.25">
      <c r="B8612" s="4">
        <v>8607</v>
      </c>
      <c r="C8612" s="10">
        <v>315.89363113036234</v>
      </c>
      <c r="D8612" s="42"/>
    </row>
    <row r="8613" spans="2:4" ht="16" thickBot="1" x14ac:dyDescent="0.25">
      <c r="B8613" s="5">
        <v>8608</v>
      </c>
      <c r="C8613" s="11">
        <v>364.38808336509106</v>
      </c>
      <c r="D8613" s="42"/>
    </row>
    <row r="8614" spans="2:4" ht="16" thickBot="1" x14ac:dyDescent="0.25">
      <c r="B8614" s="4">
        <v>8609</v>
      </c>
      <c r="C8614" s="10">
        <v>133.93173652796958</v>
      </c>
      <c r="D8614" s="42"/>
    </row>
    <row r="8615" spans="2:4" ht="16" thickBot="1" x14ac:dyDescent="0.25">
      <c r="B8615" s="5">
        <v>8610</v>
      </c>
      <c r="C8615" s="11">
        <v>288.17418351032268</v>
      </c>
      <c r="D8615" s="42"/>
    </row>
    <row r="8616" spans="2:4" ht="16" thickBot="1" x14ac:dyDescent="0.25">
      <c r="B8616" s="4">
        <v>8611</v>
      </c>
      <c r="C8616" s="10">
        <v>280.81279546507869</v>
      </c>
      <c r="D8616" s="42"/>
    </row>
    <row r="8617" spans="2:4" ht="16" thickBot="1" x14ac:dyDescent="0.25">
      <c r="B8617" s="5">
        <v>8612</v>
      </c>
      <c r="C8617" s="11">
        <v>326.91944354926289</v>
      </c>
      <c r="D8617" s="42"/>
    </row>
    <row r="8618" spans="2:4" ht="16" thickBot="1" x14ac:dyDescent="0.25">
      <c r="B8618" s="4">
        <v>8613</v>
      </c>
      <c r="C8618" s="10">
        <v>610.51444434531106</v>
      </c>
      <c r="D8618" s="42"/>
    </row>
    <row r="8619" spans="2:4" ht="16" thickBot="1" x14ac:dyDescent="0.25">
      <c r="B8619" s="5">
        <v>8614</v>
      </c>
      <c r="C8619" s="11">
        <v>280.17507966865111</v>
      </c>
      <c r="D8619" s="42"/>
    </row>
    <row r="8620" spans="2:4" ht="16" thickBot="1" x14ac:dyDescent="0.25">
      <c r="B8620" s="4">
        <v>8615</v>
      </c>
      <c r="C8620" s="10">
        <v>81.934054825818691</v>
      </c>
      <c r="D8620" s="42"/>
    </row>
    <row r="8621" spans="2:4" ht="16" thickBot="1" x14ac:dyDescent="0.25">
      <c r="B8621" s="5">
        <v>8616</v>
      </c>
      <c r="C8621" s="11">
        <v>184.80232930636549</v>
      </c>
      <c r="D8621" s="42"/>
    </row>
    <row r="8622" spans="2:4" ht="16" thickBot="1" x14ac:dyDescent="0.25">
      <c r="B8622" s="4">
        <v>8617</v>
      </c>
      <c r="C8622" s="10">
        <v>134.48456498745972</v>
      </c>
      <c r="D8622" s="42"/>
    </row>
    <row r="8623" spans="2:4" ht="16" thickBot="1" x14ac:dyDescent="0.25">
      <c r="B8623" s="5">
        <v>8618</v>
      </c>
      <c r="C8623" s="11">
        <v>68.514797119113311</v>
      </c>
      <c r="D8623" s="42"/>
    </row>
    <row r="8624" spans="2:4" ht="16" thickBot="1" x14ac:dyDescent="0.25">
      <c r="B8624" s="4">
        <v>8619</v>
      </c>
      <c r="C8624" s="10">
        <v>76.28369620977351</v>
      </c>
      <c r="D8624" s="42"/>
    </row>
    <row r="8625" spans="2:4" ht="16" thickBot="1" x14ac:dyDescent="0.25">
      <c r="B8625" s="5">
        <v>8620</v>
      </c>
      <c r="C8625" s="11">
        <v>169.88772057555698</v>
      </c>
      <c r="D8625" s="42"/>
    </row>
    <row r="8626" spans="2:4" ht="16" thickBot="1" x14ac:dyDescent="0.25">
      <c r="B8626" s="4">
        <v>8621</v>
      </c>
      <c r="C8626" s="10">
        <v>119.42775742950475</v>
      </c>
      <c r="D8626" s="42"/>
    </row>
    <row r="8627" spans="2:4" ht="16" thickBot="1" x14ac:dyDescent="0.25">
      <c r="B8627" s="5">
        <v>8622</v>
      </c>
      <c r="C8627" s="11">
        <v>214.60364787855335</v>
      </c>
      <c r="D8627" s="42"/>
    </row>
    <row r="8628" spans="2:4" ht="16" thickBot="1" x14ac:dyDescent="0.25">
      <c r="B8628" s="4">
        <v>8623</v>
      </c>
      <c r="C8628" s="10">
        <v>348.39053815463444</v>
      </c>
      <c r="D8628" s="42"/>
    </row>
    <row r="8629" spans="2:4" ht="16" thickBot="1" x14ac:dyDescent="0.25">
      <c r="B8629" s="5">
        <v>8624</v>
      </c>
      <c r="C8629" s="11">
        <v>96.766558841771158</v>
      </c>
      <c r="D8629" s="42"/>
    </row>
    <row r="8630" spans="2:4" ht="16" thickBot="1" x14ac:dyDescent="0.25">
      <c r="B8630" s="4">
        <v>8625</v>
      </c>
      <c r="C8630" s="10">
        <v>262.92805724247984</v>
      </c>
      <c r="D8630" s="42"/>
    </row>
    <row r="8631" spans="2:4" ht="16" thickBot="1" x14ac:dyDescent="0.25">
      <c r="B8631" s="5">
        <v>8626</v>
      </c>
      <c r="C8631" s="11">
        <v>417.2562992100568</v>
      </c>
      <c r="D8631" s="42"/>
    </row>
    <row r="8632" spans="2:4" ht="16" thickBot="1" x14ac:dyDescent="0.25">
      <c r="B8632" s="4">
        <v>8627</v>
      </c>
      <c r="C8632" s="10">
        <v>520.42623902252888</v>
      </c>
      <c r="D8632" s="42"/>
    </row>
    <row r="8633" spans="2:4" ht="16" thickBot="1" x14ac:dyDescent="0.25">
      <c r="B8633" s="5">
        <v>8628</v>
      </c>
      <c r="C8633" s="11">
        <v>112.43309746839148</v>
      </c>
      <c r="D8633" s="42"/>
    </row>
    <row r="8634" spans="2:4" ht="16" thickBot="1" x14ac:dyDescent="0.25">
      <c r="B8634" s="4">
        <v>8629</v>
      </c>
      <c r="C8634" s="10">
        <v>358.21374456026189</v>
      </c>
      <c r="D8634" s="42"/>
    </row>
    <row r="8635" spans="2:4" ht="16" thickBot="1" x14ac:dyDescent="0.25">
      <c r="B8635" s="5">
        <v>8630</v>
      </c>
      <c r="C8635" s="11">
        <v>165.07010428157332</v>
      </c>
      <c r="D8635" s="42"/>
    </row>
    <row r="8636" spans="2:4" ht="16" thickBot="1" x14ac:dyDescent="0.25">
      <c r="B8636" s="4">
        <v>8631</v>
      </c>
      <c r="C8636" s="10">
        <v>572.51873556439</v>
      </c>
      <c r="D8636" s="42"/>
    </row>
    <row r="8637" spans="2:4" ht="16" thickBot="1" x14ac:dyDescent="0.25">
      <c r="B8637" s="5">
        <v>8632</v>
      </c>
      <c r="C8637" s="11">
        <v>510.20666094349724</v>
      </c>
      <c r="D8637" s="42"/>
    </row>
    <row r="8638" spans="2:4" ht="16" thickBot="1" x14ac:dyDescent="0.25">
      <c r="B8638" s="4">
        <v>8633</v>
      </c>
      <c r="C8638" s="10">
        <v>420.56632628644911</v>
      </c>
      <c r="D8638" s="42"/>
    </row>
    <row r="8639" spans="2:4" ht="16" thickBot="1" x14ac:dyDescent="0.25">
      <c r="B8639" s="5">
        <v>8634</v>
      </c>
      <c r="C8639" s="11">
        <v>217.33504375318577</v>
      </c>
      <c r="D8639" s="42"/>
    </row>
    <row r="8640" spans="2:4" ht="16" thickBot="1" x14ac:dyDescent="0.25">
      <c r="B8640" s="4">
        <v>8635</v>
      </c>
      <c r="C8640" s="10">
        <v>259.97729842904289</v>
      </c>
      <c r="D8640" s="42"/>
    </row>
    <row r="8641" spans="2:4" ht="16" thickBot="1" x14ac:dyDescent="0.25">
      <c r="B8641" s="5">
        <v>8636</v>
      </c>
      <c r="C8641" s="11">
        <v>167.15530008766237</v>
      </c>
      <c r="D8641" s="42"/>
    </row>
    <row r="8642" spans="2:4" ht="16" thickBot="1" x14ac:dyDescent="0.25">
      <c r="B8642" s="4">
        <v>8637</v>
      </c>
      <c r="C8642" s="10">
        <v>267.85393072569661</v>
      </c>
      <c r="D8642" s="42"/>
    </row>
    <row r="8643" spans="2:4" ht="16" thickBot="1" x14ac:dyDescent="0.25">
      <c r="B8643" s="5">
        <v>8638</v>
      </c>
      <c r="C8643" s="11">
        <v>167.05725866177053</v>
      </c>
      <c r="D8643" s="42"/>
    </row>
    <row r="8644" spans="2:4" ht="16" thickBot="1" x14ac:dyDescent="0.25">
      <c r="B8644" s="4">
        <v>8639</v>
      </c>
      <c r="C8644" s="10">
        <v>139.28887642216475</v>
      </c>
      <c r="D8644" s="42"/>
    </row>
    <row r="8645" spans="2:4" ht="16" thickBot="1" x14ac:dyDescent="0.25">
      <c r="B8645" s="5">
        <v>8640</v>
      </c>
      <c r="C8645" s="11">
        <v>308.85031875568785</v>
      </c>
      <c r="D8645" s="42"/>
    </row>
    <row r="8646" spans="2:4" ht="16" thickBot="1" x14ac:dyDescent="0.25">
      <c r="B8646" s="4">
        <v>8641</v>
      </c>
      <c r="C8646" s="10">
        <v>538.04715749499837</v>
      </c>
      <c r="D8646" s="42"/>
    </row>
    <row r="8647" spans="2:4" ht="16" thickBot="1" x14ac:dyDescent="0.25">
      <c r="B8647" s="5">
        <v>8642</v>
      </c>
      <c r="C8647" s="11">
        <v>180.18119572399721</v>
      </c>
      <c r="D8647" s="42"/>
    </row>
    <row r="8648" spans="2:4" ht="16" thickBot="1" x14ac:dyDescent="0.25">
      <c r="B8648" s="4">
        <v>8643</v>
      </c>
      <c r="C8648" s="10">
        <v>192.58196702178816</v>
      </c>
      <c r="D8648" s="42"/>
    </row>
    <row r="8649" spans="2:4" ht="16" thickBot="1" x14ac:dyDescent="0.25">
      <c r="B8649" s="5">
        <v>8644</v>
      </c>
      <c r="C8649" s="11">
        <v>394.0484470800842</v>
      </c>
      <c r="D8649" s="42"/>
    </row>
    <row r="8650" spans="2:4" ht="16" thickBot="1" x14ac:dyDescent="0.25">
      <c r="B8650" s="4">
        <v>8645</v>
      </c>
      <c r="C8650" s="10">
        <v>450.82064238093824</v>
      </c>
      <c r="D8650" s="42"/>
    </row>
    <row r="8651" spans="2:4" ht="16" thickBot="1" x14ac:dyDescent="0.25">
      <c r="B8651" s="5">
        <v>8646</v>
      </c>
      <c r="C8651" s="11">
        <v>145.71937829838828</v>
      </c>
      <c r="D8651" s="42"/>
    </row>
    <row r="8652" spans="2:4" ht="16" thickBot="1" x14ac:dyDescent="0.25">
      <c r="B8652" s="4">
        <v>8647</v>
      </c>
      <c r="C8652" s="10">
        <v>550.81442874972606</v>
      </c>
      <c r="D8652" s="42"/>
    </row>
    <row r="8653" spans="2:4" ht="16" thickBot="1" x14ac:dyDescent="0.25">
      <c r="B8653" s="5">
        <v>8648</v>
      </c>
      <c r="C8653" s="11">
        <v>292.02309048939128</v>
      </c>
      <c r="D8653" s="42"/>
    </row>
    <row r="8654" spans="2:4" ht="16" thickBot="1" x14ac:dyDescent="0.25">
      <c r="B8654" s="4">
        <v>8649</v>
      </c>
      <c r="C8654" s="10">
        <v>473.34709234746896</v>
      </c>
      <c r="D8654" s="42"/>
    </row>
    <row r="8655" spans="2:4" ht="16" thickBot="1" x14ac:dyDescent="0.25">
      <c r="B8655" s="5">
        <v>8650</v>
      </c>
      <c r="C8655" s="11">
        <v>465.45574040972406</v>
      </c>
      <c r="D8655" s="42"/>
    </row>
    <row r="8656" spans="2:4" ht="16" thickBot="1" x14ac:dyDescent="0.25">
      <c r="B8656" s="4">
        <v>8651</v>
      </c>
      <c r="C8656" s="10">
        <v>152.34133009120231</v>
      </c>
      <c r="D8656" s="42"/>
    </row>
    <row r="8657" spans="2:4" ht="16" thickBot="1" x14ac:dyDescent="0.25">
      <c r="B8657" s="5">
        <v>8652</v>
      </c>
      <c r="C8657" s="11">
        <v>218.37543274719863</v>
      </c>
      <c r="D8657" s="42"/>
    </row>
    <row r="8658" spans="2:4" ht="16" thickBot="1" x14ac:dyDescent="0.25">
      <c r="B8658" s="4">
        <v>8653</v>
      </c>
      <c r="C8658" s="10">
        <v>710.43287163541868</v>
      </c>
      <c r="D8658" s="42"/>
    </row>
    <row r="8659" spans="2:4" ht="16" thickBot="1" x14ac:dyDescent="0.25">
      <c r="B8659" s="5">
        <v>8654</v>
      </c>
      <c r="C8659" s="11">
        <v>220.22829283241856</v>
      </c>
      <c r="D8659" s="42"/>
    </row>
    <row r="8660" spans="2:4" ht="16" thickBot="1" x14ac:dyDescent="0.25">
      <c r="B8660" s="4">
        <v>8655</v>
      </c>
      <c r="C8660" s="10">
        <v>412.62536684007</v>
      </c>
      <c r="D8660" s="42"/>
    </row>
    <row r="8661" spans="2:4" ht="16" thickBot="1" x14ac:dyDescent="0.25">
      <c r="B8661" s="5">
        <v>8656</v>
      </c>
      <c r="C8661" s="11">
        <v>536.30914834506848</v>
      </c>
      <c r="D8661" s="42"/>
    </row>
    <row r="8662" spans="2:4" ht="16" thickBot="1" x14ac:dyDescent="0.25">
      <c r="B8662" s="4">
        <v>8657</v>
      </c>
      <c r="C8662" s="10">
        <v>256.25458816867342</v>
      </c>
      <c r="D8662" s="42"/>
    </row>
    <row r="8663" spans="2:4" ht="16" thickBot="1" x14ac:dyDescent="0.25">
      <c r="B8663" s="5">
        <v>8658</v>
      </c>
      <c r="C8663" s="11">
        <v>223.00940758373599</v>
      </c>
      <c r="D8663" s="42"/>
    </row>
    <row r="8664" spans="2:4" ht="16" thickBot="1" x14ac:dyDescent="0.25">
      <c r="B8664" s="4">
        <v>8659</v>
      </c>
      <c r="C8664" s="10">
        <v>137.49672861431915</v>
      </c>
      <c r="D8664" s="42"/>
    </row>
    <row r="8665" spans="2:4" ht="16" thickBot="1" x14ac:dyDescent="0.25">
      <c r="B8665" s="5">
        <v>8660</v>
      </c>
      <c r="C8665" s="11">
        <v>193.51057402033732</v>
      </c>
      <c r="D8665" s="42"/>
    </row>
    <row r="8666" spans="2:4" ht="16" thickBot="1" x14ac:dyDescent="0.25">
      <c r="B8666" s="4">
        <v>8661</v>
      </c>
      <c r="C8666" s="10">
        <v>568.09002116220836</v>
      </c>
      <c r="D8666" s="42"/>
    </row>
    <row r="8667" spans="2:4" ht="16" thickBot="1" x14ac:dyDescent="0.25">
      <c r="B8667" s="5">
        <v>8662</v>
      </c>
      <c r="C8667" s="11">
        <v>190.59515801506521</v>
      </c>
      <c r="D8667" s="42"/>
    </row>
    <row r="8668" spans="2:4" ht="16" thickBot="1" x14ac:dyDescent="0.25">
      <c r="B8668" s="4">
        <v>8663</v>
      </c>
      <c r="C8668" s="10">
        <v>461.3634171188308</v>
      </c>
      <c r="D8668" s="42"/>
    </row>
    <row r="8669" spans="2:4" ht="16" thickBot="1" x14ac:dyDescent="0.25">
      <c r="B8669" s="5">
        <v>8664</v>
      </c>
      <c r="C8669" s="11">
        <v>436.40873684788545</v>
      </c>
      <c r="D8669" s="42"/>
    </row>
    <row r="8670" spans="2:4" ht="16" thickBot="1" x14ac:dyDescent="0.25">
      <c r="B8670" s="4">
        <v>8665</v>
      </c>
      <c r="C8670" s="10">
        <v>419.14064014611961</v>
      </c>
      <c r="D8670" s="42"/>
    </row>
    <row r="8671" spans="2:4" ht="16" thickBot="1" x14ac:dyDescent="0.25">
      <c r="B8671" s="5">
        <v>8666</v>
      </c>
      <c r="C8671" s="11">
        <v>71.551441319621347</v>
      </c>
      <c r="D8671" s="42"/>
    </row>
    <row r="8672" spans="2:4" ht="16" thickBot="1" x14ac:dyDescent="0.25">
      <c r="B8672" s="4">
        <v>8667</v>
      </c>
      <c r="C8672" s="10">
        <v>216.02973922430223</v>
      </c>
      <c r="D8672" s="42"/>
    </row>
    <row r="8673" spans="2:4" ht="16" thickBot="1" x14ac:dyDescent="0.25">
      <c r="B8673" s="5">
        <v>8668</v>
      </c>
      <c r="C8673" s="11">
        <v>187.39719937554486</v>
      </c>
      <c r="D8673" s="42"/>
    </row>
    <row r="8674" spans="2:4" ht="16" thickBot="1" x14ac:dyDescent="0.25">
      <c r="B8674" s="4">
        <v>8669</v>
      </c>
      <c r="C8674" s="10">
        <v>170.37088943556705</v>
      </c>
      <c r="D8674" s="42"/>
    </row>
    <row r="8675" spans="2:4" ht="16" thickBot="1" x14ac:dyDescent="0.25">
      <c r="B8675" s="5">
        <v>8670</v>
      </c>
      <c r="C8675" s="11">
        <v>250.79167483416967</v>
      </c>
      <c r="D8675" s="42"/>
    </row>
    <row r="8676" spans="2:4" ht="16" thickBot="1" x14ac:dyDescent="0.25">
      <c r="B8676" s="4">
        <v>8671</v>
      </c>
      <c r="C8676" s="10">
        <v>352.38102217383533</v>
      </c>
      <c r="D8676" s="42"/>
    </row>
    <row r="8677" spans="2:4" ht="16" thickBot="1" x14ac:dyDescent="0.25">
      <c r="B8677" s="5">
        <v>8672</v>
      </c>
      <c r="C8677" s="11">
        <v>288.30214587343136</v>
      </c>
      <c r="D8677" s="42"/>
    </row>
    <row r="8678" spans="2:4" ht="16" thickBot="1" x14ac:dyDescent="0.25">
      <c r="B8678" s="4">
        <v>8673</v>
      </c>
      <c r="C8678" s="10">
        <v>239.0669302706863</v>
      </c>
      <c r="D8678" s="42"/>
    </row>
    <row r="8679" spans="2:4" ht="16" thickBot="1" x14ac:dyDescent="0.25">
      <c r="B8679" s="5">
        <v>8674</v>
      </c>
      <c r="C8679" s="11">
        <v>361.15987670857061</v>
      </c>
      <c r="D8679" s="42"/>
    </row>
    <row r="8680" spans="2:4" ht="16" thickBot="1" x14ac:dyDescent="0.25">
      <c r="B8680" s="4">
        <v>8675</v>
      </c>
      <c r="C8680" s="10">
        <v>388.60932495072655</v>
      </c>
      <c r="D8680" s="42"/>
    </row>
    <row r="8681" spans="2:4" ht="16" thickBot="1" x14ac:dyDescent="0.25">
      <c r="B8681" s="5">
        <v>8676</v>
      </c>
      <c r="C8681" s="11">
        <v>178.56444602922809</v>
      </c>
      <c r="D8681" s="42"/>
    </row>
    <row r="8682" spans="2:4" ht="16" thickBot="1" x14ac:dyDescent="0.25">
      <c r="B8682" s="4">
        <v>8677</v>
      </c>
      <c r="C8682" s="10">
        <v>203.70644395003077</v>
      </c>
      <c r="D8682" s="42"/>
    </row>
    <row r="8683" spans="2:4" ht="16" thickBot="1" x14ac:dyDescent="0.25">
      <c r="B8683" s="5">
        <v>8678</v>
      </c>
      <c r="C8683" s="11">
        <v>237.42512971528487</v>
      </c>
      <c r="D8683" s="42"/>
    </row>
    <row r="8684" spans="2:4" ht="16" thickBot="1" x14ac:dyDescent="0.25">
      <c r="B8684" s="4">
        <v>8679</v>
      </c>
      <c r="C8684" s="10">
        <v>199.77809865034703</v>
      </c>
      <c r="D8684" s="42"/>
    </row>
    <row r="8685" spans="2:4" ht="16" thickBot="1" x14ac:dyDescent="0.25">
      <c r="B8685" s="5">
        <v>8680</v>
      </c>
      <c r="C8685" s="11">
        <v>141.44473072024351</v>
      </c>
      <c r="D8685" s="42"/>
    </row>
    <row r="8686" spans="2:4" ht="16" thickBot="1" x14ac:dyDescent="0.25">
      <c r="B8686" s="4">
        <v>8681</v>
      </c>
      <c r="C8686" s="10">
        <v>120.0684821434681</v>
      </c>
      <c r="D8686" s="42"/>
    </row>
    <row r="8687" spans="2:4" ht="16" thickBot="1" x14ac:dyDescent="0.25">
      <c r="B8687" s="5">
        <v>8682</v>
      </c>
      <c r="C8687" s="11">
        <v>430.26922085850754</v>
      </c>
      <c r="D8687" s="42"/>
    </row>
    <row r="8688" spans="2:4" ht="16" thickBot="1" x14ac:dyDescent="0.25">
      <c r="B8688" s="4">
        <v>8683</v>
      </c>
      <c r="C8688" s="10">
        <v>454.6273755176498</v>
      </c>
      <c r="D8688" s="42"/>
    </row>
    <row r="8689" spans="2:4" ht="16" thickBot="1" x14ac:dyDescent="0.25">
      <c r="B8689" s="5">
        <v>8684</v>
      </c>
      <c r="C8689" s="11">
        <v>264.9638158242214</v>
      </c>
      <c r="D8689" s="42"/>
    </row>
    <row r="8690" spans="2:4" ht="16" thickBot="1" x14ac:dyDescent="0.25">
      <c r="B8690" s="4">
        <v>8685</v>
      </c>
      <c r="C8690" s="10">
        <v>104.80669216635953</v>
      </c>
      <c r="D8690" s="42"/>
    </row>
    <row r="8691" spans="2:4" ht="16" thickBot="1" x14ac:dyDescent="0.25">
      <c r="B8691" s="5">
        <v>8686</v>
      </c>
      <c r="C8691" s="11">
        <v>309.18731645576906</v>
      </c>
      <c r="D8691" s="42"/>
    </row>
    <row r="8692" spans="2:4" ht="16" thickBot="1" x14ac:dyDescent="0.25">
      <c r="B8692" s="4">
        <v>8687</v>
      </c>
      <c r="C8692" s="10">
        <v>362.32244325863229</v>
      </c>
      <c r="D8692" s="42"/>
    </row>
    <row r="8693" spans="2:4" ht="16" thickBot="1" x14ac:dyDescent="0.25">
      <c r="B8693" s="5">
        <v>8688</v>
      </c>
      <c r="C8693" s="11">
        <v>209.45172127084655</v>
      </c>
      <c r="D8693" s="42"/>
    </row>
    <row r="8694" spans="2:4" ht="16" thickBot="1" x14ac:dyDescent="0.25">
      <c r="B8694" s="4">
        <v>8689</v>
      </c>
      <c r="C8694" s="10">
        <v>90.868298157486876</v>
      </c>
      <c r="D8694" s="42"/>
    </row>
    <row r="8695" spans="2:4" ht="16" thickBot="1" x14ac:dyDescent="0.25">
      <c r="B8695" s="5">
        <v>8690</v>
      </c>
      <c r="C8695" s="11">
        <v>28.627917838940117</v>
      </c>
      <c r="D8695" s="42"/>
    </row>
    <row r="8696" spans="2:4" ht="16" thickBot="1" x14ac:dyDescent="0.25">
      <c r="B8696" s="4">
        <v>8691</v>
      </c>
      <c r="C8696" s="10">
        <v>443.62710783236054</v>
      </c>
      <c r="D8696" s="42"/>
    </row>
    <row r="8697" spans="2:4" ht="16" thickBot="1" x14ac:dyDescent="0.25">
      <c r="B8697" s="5">
        <v>8692</v>
      </c>
      <c r="C8697" s="11">
        <v>226.38294103583732</v>
      </c>
      <c r="D8697" s="42"/>
    </row>
    <row r="8698" spans="2:4" ht="16" thickBot="1" x14ac:dyDescent="0.25">
      <c r="B8698" s="4">
        <v>8693</v>
      </c>
      <c r="C8698" s="10">
        <v>117.36985778147384</v>
      </c>
      <c r="D8698" s="42"/>
    </row>
    <row r="8699" spans="2:4" ht="16" thickBot="1" x14ac:dyDescent="0.25">
      <c r="B8699" s="5">
        <v>8694</v>
      </c>
      <c r="C8699" s="11">
        <v>628.48524923881826</v>
      </c>
      <c r="D8699" s="42"/>
    </row>
    <row r="8700" spans="2:4" ht="16" thickBot="1" x14ac:dyDescent="0.25">
      <c r="B8700" s="4">
        <v>8695</v>
      </c>
      <c r="C8700" s="10">
        <v>155.75470698664353</v>
      </c>
      <c r="D8700" s="42"/>
    </row>
    <row r="8701" spans="2:4" ht="16" thickBot="1" x14ac:dyDescent="0.25">
      <c r="B8701" s="5">
        <v>8696</v>
      </c>
      <c r="C8701" s="11">
        <v>463.04729982225615</v>
      </c>
      <c r="D8701" s="42"/>
    </row>
    <row r="8702" spans="2:4" ht="16" thickBot="1" x14ac:dyDescent="0.25">
      <c r="B8702" s="4">
        <v>8697</v>
      </c>
      <c r="C8702" s="10">
        <v>426.21562930076004</v>
      </c>
      <c r="D8702" s="42"/>
    </row>
    <row r="8703" spans="2:4" ht="16" thickBot="1" x14ac:dyDescent="0.25">
      <c r="B8703" s="5">
        <v>8698</v>
      </c>
      <c r="C8703" s="11">
        <v>84.727594098675709</v>
      </c>
      <c r="D8703" s="42"/>
    </row>
    <row r="8704" spans="2:4" ht="16" thickBot="1" x14ac:dyDescent="0.25">
      <c r="B8704" s="4">
        <v>8699</v>
      </c>
      <c r="C8704" s="10">
        <v>239.63461041677462</v>
      </c>
      <c r="D8704" s="42"/>
    </row>
    <row r="8705" spans="2:4" ht="16" thickBot="1" x14ac:dyDescent="0.25">
      <c r="B8705" s="5">
        <v>8700</v>
      </c>
      <c r="C8705" s="11">
        <v>115.14187244160408</v>
      </c>
      <c r="D8705" s="42"/>
    </row>
    <row r="8706" spans="2:4" ht="16" thickBot="1" x14ac:dyDescent="0.25">
      <c r="B8706" s="4">
        <v>8701</v>
      </c>
      <c r="C8706" s="10">
        <v>563.912687006684</v>
      </c>
      <c r="D8706" s="42"/>
    </row>
    <row r="8707" spans="2:4" ht="16" thickBot="1" x14ac:dyDescent="0.25">
      <c r="B8707" s="5">
        <v>8702</v>
      </c>
      <c r="C8707" s="11">
        <v>152.87381384626195</v>
      </c>
      <c r="D8707" s="42"/>
    </row>
    <row r="8708" spans="2:4" ht="16" thickBot="1" x14ac:dyDescent="0.25">
      <c r="B8708" s="4">
        <v>8703</v>
      </c>
      <c r="C8708" s="10">
        <v>250.00452700575099</v>
      </c>
      <c r="D8708" s="42"/>
    </row>
    <row r="8709" spans="2:4" ht="16" thickBot="1" x14ac:dyDescent="0.25">
      <c r="B8709" s="5">
        <v>8704</v>
      </c>
      <c r="C8709" s="11">
        <v>573.7382886602436</v>
      </c>
      <c r="D8709" s="42"/>
    </row>
    <row r="8710" spans="2:4" ht="16" thickBot="1" x14ac:dyDescent="0.25">
      <c r="B8710" s="4">
        <v>8705</v>
      </c>
      <c r="C8710" s="10">
        <v>131.42560744777663</v>
      </c>
      <c r="D8710" s="42"/>
    </row>
    <row r="8711" spans="2:4" ht="16" thickBot="1" x14ac:dyDescent="0.25">
      <c r="B8711" s="5">
        <v>8706</v>
      </c>
      <c r="C8711" s="11">
        <v>74.717702234919827</v>
      </c>
      <c r="D8711" s="42"/>
    </row>
    <row r="8712" spans="2:4" ht="16" thickBot="1" x14ac:dyDescent="0.25">
      <c r="B8712" s="4">
        <v>8707</v>
      </c>
      <c r="C8712" s="10">
        <v>420.28592786812271</v>
      </c>
      <c r="D8712" s="42"/>
    </row>
    <row r="8713" spans="2:4" ht="16" thickBot="1" x14ac:dyDescent="0.25">
      <c r="B8713" s="5">
        <v>8708</v>
      </c>
      <c r="C8713" s="11">
        <v>256.9364700912775</v>
      </c>
      <c r="D8713" s="42"/>
    </row>
    <row r="8714" spans="2:4" ht="16" thickBot="1" x14ac:dyDescent="0.25">
      <c r="B8714" s="4">
        <v>8709</v>
      </c>
      <c r="C8714" s="10">
        <v>292.08035979446441</v>
      </c>
      <c r="D8714" s="42"/>
    </row>
    <row r="8715" spans="2:4" ht="16" thickBot="1" x14ac:dyDescent="0.25">
      <c r="B8715" s="5">
        <v>8710</v>
      </c>
      <c r="C8715" s="11">
        <v>105.19659394363683</v>
      </c>
      <c r="D8715" s="42"/>
    </row>
    <row r="8716" spans="2:4" ht="16" thickBot="1" x14ac:dyDescent="0.25">
      <c r="B8716" s="4">
        <v>8711</v>
      </c>
      <c r="C8716" s="10">
        <v>323.54347093655792</v>
      </c>
      <c r="D8716" s="42"/>
    </row>
    <row r="8717" spans="2:4" ht="16" thickBot="1" x14ac:dyDescent="0.25">
      <c r="B8717" s="5">
        <v>8712</v>
      </c>
      <c r="C8717" s="11">
        <v>205.77230893713818</v>
      </c>
      <c r="D8717" s="42"/>
    </row>
    <row r="8718" spans="2:4" ht="16" thickBot="1" x14ac:dyDescent="0.25">
      <c r="B8718" s="4">
        <v>8713</v>
      </c>
      <c r="C8718" s="10">
        <v>377.7461268875258</v>
      </c>
      <c r="D8718" s="42"/>
    </row>
    <row r="8719" spans="2:4" ht="16" thickBot="1" x14ac:dyDescent="0.25">
      <c r="B8719" s="5">
        <v>8714</v>
      </c>
      <c r="C8719" s="11">
        <v>161.44201090241629</v>
      </c>
      <c r="D8719" s="42"/>
    </row>
    <row r="8720" spans="2:4" ht="16" thickBot="1" x14ac:dyDescent="0.25">
      <c r="B8720" s="4">
        <v>8715</v>
      </c>
      <c r="C8720" s="10">
        <v>299.36511978937057</v>
      </c>
      <c r="D8720" s="42"/>
    </row>
    <row r="8721" spans="2:4" ht="16" thickBot="1" x14ac:dyDescent="0.25">
      <c r="B8721" s="5">
        <v>8716</v>
      </c>
      <c r="C8721" s="11">
        <v>741.01417135582892</v>
      </c>
      <c r="D8721" s="42"/>
    </row>
    <row r="8722" spans="2:4" ht="16" thickBot="1" x14ac:dyDescent="0.25">
      <c r="B8722" s="4">
        <v>8717</v>
      </c>
      <c r="C8722" s="10">
        <v>138.34207585991098</v>
      </c>
      <c r="D8722" s="42"/>
    </row>
    <row r="8723" spans="2:4" ht="16" thickBot="1" x14ac:dyDescent="0.25">
      <c r="B8723" s="5">
        <v>8718</v>
      </c>
      <c r="C8723" s="11">
        <v>416.6152956284912</v>
      </c>
      <c r="D8723" s="42"/>
    </row>
    <row r="8724" spans="2:4" ht="16" thickBot="1" x14ac:dyDescent="0.25">
      <c r="B8724" s="4">
        <v>8719</v>
      </c>
      <c r="C8724" s="10">
        <v>222.06729296677784</v>
      </c>
      <c r="D8724" s="42"/>
    </row>
    <row r="8725" spans="2:4" ht="16" thickBot="1" x14ac:dyDescent="0.25">
      <c r="B8725" s="5">
        <v>8720</v>
      </c>
      <c r="C8725" s="11">
        <v>186.00530294078436</v>
      </c>
      <c r="D8725" s="42"/>
    </row>
    <row r="8726" spans="2:4" ht="16" thickBot="1" x14ac:dyDescent="0.25">
      <c r="B8726" s="4">
        <v>8721</v>
      </c>
      <c r="C8726" s="10">
        <v>336.79346479961356</v>
      </c>
      <c r="D8726" s="42"/>
    </row>
    <row r="8727" spans="2:4" ht="16" thickBot="1" x14ac:dyDescent="0.25">
      <c r="B8727" s="5">
        <v>8722</v>
      </c>
      <c r="C8727" s="11">
        <v>399.98218055880659</v>
      </c>
      <c r="D8727" s="42"/>
    </row>
    <row r="8728" spans="2:4" ht="16" thickBot="1" x14ac:dyDescent="0.25">
      <c r="B8728" s="4">
        <v>8723</v>
      </c>
      <c r="C8728" s="10">
        <v>80.857922705351029</v>
      </c>
      <c r="D8728" s="42"/>
    </row>
    <row r="8729" spans="2:4" ht="16" thickBot="1" x14ac:dyDescent="0.25">
      <c r="B8729" s="5">
        <v>8724</v>
      </c>
      <c r="C8729" s="11">
        <v>183.75286728563268</v>
      </c>
      <c r="D8729" s="42"/>
    </row>
    <row r="8730" spans="2:4" ht="16" thickBot="1" x14ac:dyDescent="0.25">
      <c r="B8730" s="4">
        <v>8725</v>
      </c>
      <c r="C8730" s="10">
        <v>166.58756876123502</v>
      </c>
      <c r="D8730" s="42"/>
    </row>
    <row r="8731" spans="2:4" ht="16" thickBot="1" x14ac:dyDescent="0.25">
      <c r="B8731" s="5">
        <v>8726</v>
      </c>
      <c r="C8731" s="11">
        <v>244.35408007395884</v>
      </c>
      <c r="D8731" s="42"/>
    </row>
    <row r="8732" spans="2:4" ht="16" thickBot="1" x14ac:dyDescent="0.25">
      <c r="B8732" s="4">
        <v>8727</v>
      </c>
      <c r="C8732" s="10">
        <v>152.69878847994684</v>
      </c>
      <c r="D8732" s="42"/>
    </row>
    <row r="8733" spans="2:4" ht="16" thickBot="1" x14ac:dyDescent="0.25">
      <c r="B8733" s="5">
        <v>8728</v>
      </c>
      <c r="C8733" s="11">
        <v>118.39709765368661</v>
      </c>
      <c r="D8733" s="42"/>
    </row>
    <row r="8734" spans="2:4" ht="16" thickBot="1" x14ac:dyDescent="0.25">
      <c r="B8734" s="4">
        <v>8729</v>
      </c>
      <c r="C8734" s="10">
        <v>194.33254409539248</v>
      </c>
      <c r="D8734" s="42"/>
    </row>
    <row r="8735" spans="2:4" ht="16" thickBot="1" x14ac:dyDescent="0.25">
      <c r="B8735" s="5">
        <v>8730</v>
      </c>
      <c r="C8735" s="11">
        <v>246.53995132466781</v>
      </c>
      <c r="D8735" s="42"/>
    </row>
    <row r="8736" spans="2:4" ht="16" thickBot="1" x14ac:dyDescent="0.25">
      <c r="B8736" s="4">
        <v>8731</v>
      </c>
      <c r="C8736" s="10">
        <v>126.61784753056007</v>
      </c>
      <c r="D8736" s="42"/>
    </row>
    <row r="8737" spans="2:4" ht="16" thickBot="1" x14ac:dyDescent="0.25">
      <c r="B8737" s="5">
        <v>8732</v>
      </c>
      <c r="C8737" s="11">
        <v>333.79662449352753</v>
      </c>
      <c r="D8737" s="42"/>
    </row>
    <row r="8738" spans="2:4" ht="16" thickBot="1" x14ac:dyDescent="0.25">
      <c r="B8738" s="4">
        <v>8733</v>
      </c>
      <c r="C8738" s="10">
        <v>253.32559091334181</v>
      </c>
      <c r="D8738" s="42"/>
    </row>
    <row r="8739" spans="2:4" ht="16" thickBot="1" x14ac:dyDescent="0.25">
      <c r="B8739" s="5">
        <v>8734</v>
      </c>
      <c r="C8739" s="11">
        <v>237.16861493281769</v>
      </c>
      <c r="D8739" s="42"/>
    </row>
    <row r="8740" spans="2:4" ht="16" thickBot="1" x14ac:dyDescent="0.25">
      <c r="B8740" s="4">
        <v>8735</v>
      </c>
      <c r="C8740" s="10">
        <v>262.94514157466028</v>
      </c>
      <c r="D8740" s="42"/>
    </row>
    <row r="8741" spans="2:4" ht="16" thickBot="1" x14ac:dyDescent="0.25">
      <c r="B8741" s="5">
        <v>8736</v>
      </c>
      <c r="C8741" s="11">
        <v>106.49404669287715</v>
      </c>
      <c r="D8741" s="42"/>
    </row>
    <row r="8742" spans="2:4" ht="16" thickBot="1" x14ac:dyDescent="0.25">
      <c r="B8742" s="4">
        <v>8737</v>
      </c>
      <c r="C8742" s="10">
        <v>285.32438845916658</v>
      </c>
      <c r="D8742" s="42"/>
    </row>
    <row r="8743" spans="2:4" ht="16" thickBot="1" x14ac:dyDescent="0.25">
      <c r="B8743" s="5">
        <v>8738</v>
      </c>
      <c r="C8743" s="11">
        <v>83.910640813573423</v>
      </c>
      <c r="D8743" s="42"/>
    </row>
    <row r="8744" spans="2:4" ht="16" thickBot="1" x14ac:dyDescent="0.25">
      <c r="B8744" s="4">
        <v>8739</v>
      </c>
      <c r="C8744" s="10">
        <v>63.907164662925105</v>
      </c>
      <c r="D8744" s="42"/>
    </row>
    <row r="8745" spans="2:4" ht="16" thickBot="1" x14ac:dyDescent="0.25">
      <c r="B8745" s="5">
        <v>8740</v>
      </c>
      <c r="C8745" s="11">
        <v>167.43642824024766</v>
      </c>
      <c r="D8745" s="42"/>
    </row>
    <row r="8746" spans="2:4" ht="16" thickBot="1" x14ac:dyDescent="0.25">
      <c r="B8746" s="4">
        <v>8741</v>
      </c>
      <c r="C8746" s="10">
        <v>50.465781386723414</v>
      </c>
      <c r="D8746" s="42"/>
    </row>
    <row r="8747" spans="2:4" ht="16" thickBot="1" x14ac:dyDescent="0.25">
      <c r="B8747" s="5">
        <v>8742</v>
      </c>
      <c r="C8747" s="11">
        <v>316.22850480183229</v>
      </c>
      <c r="D8747" s="42"/>
    </row>
    <row r="8748" spans="2:4" ht="16" thickBot="1" x14ac:dyDescent="0.25">
      <c r="B8748" s="4">
        <v>8743</v>
      </c>
      <c r="C8748" s="10">
        <v>325.95748925789042</v>
      </c>
      <c r="D8748" s="42"/>
    </row>
    <row r="8749" spans="2:4" ht="16" thickBot="1" x14ac:dyDescent="0.25">
      <c r="B8749" s="5">
        <v>8744</v>
      </c>
      <c r="C8749" s="11">
        <v>124.65020749928867</v>
      </c>
      <c r="D8749" s="42"/>
    </row>
    <row r="8750" spans="2:4" ht="16" thickBot="1" x14ac:dyDescent="0.25">
      <c r="B8750" s="4">
        <v>8745</v>
      </c>
      <c r="C8750" s="10">
        <v>552.35518757494754</v>
      </c>
      <c r="D8750" s="42"/>
    </row>
    <row r="8751" spans="2:4" ht="16" thickBot="1" x14ac:dyDescent="0.25">
      <c r="B8751" s="5">
        <v>8746</v>
      </c>
      <c r="C8751" s="11">
        <v>308.8562982757843</v>
      </c>
      <c r="D8751" s="42"/>
    </row>
    <row r="8752" spans="2:4" ht="16" thickBot="1" x14ac:dyDescent="0.25">
      <c r="B8752" s="4">
        <v>8747</v>
      </c>
      <c r="C8752" s="10">
        <v>364.28155967708602</v>
      </c>
      <c r="D8752" s="42"/>
    </row>
    <row r="8753" spans="2:4" ht="16" thickBot="1" x14ac:dyDescent="0.25">
      <c r="B8753" s="5">
        <v>8748</v>
      </c>
      <c r="C8753" s="11">
        <v>215.27294026470912</v>
      </c>
      <c r="D8753" s="42"/>
    </row>
    <row r="8754" spans="2:4" ht="16" thickBot="1" x14ac:dyDescent="0.25">
      <c r="B8754" s="4">
        <v>8749</v>
      </c>
      <c r="C8754" s="10">
        <v>109.60468291538811</v>
      </c>
      <c r="D8754" s="42"/>
    </row>
    <row r="8755" spans="2:4" ht="16" thickBot="1" x14ac:dyDescent="0.25">
      <c r="B8755" s="5">
        <v>8750</v>
      </c>
      <c r="C8755" s="11">
        <v>196.26816207161386</v>
      </c>
      <c r="D8755" s="42"/>
    </row>
    <row r="8756" spans="2:4" ht="16" thickBot="1" x14ac:dyDescent="0.25">
      <c r="B8756" s="4">
        <v>8751</v>
      </c>
      <c r="C8756" s="10">
        <v>141.63294682121139</v>
      </c>
      <c r="D8756" s="42"/>
    </row>
    <row r="8757" spans="2:4" ht="16" thickBot="1" x14ac:dyDescent="0.25">
      <c r="B8757" s="5">
        <v>8752</v>
      </c>
      <c r="C8757" s="11">
        <v>395.30131991982512</v>
      </c>
      <c r="D8757" s="42"/>
    </row>
    <row r="8758" spans="2:4" ht="16" thickBot="1" x14ac:dyDescent="0.25">
      <c r="B8758" s="4">
        <v>8753</v>
      </c>
      <c r="C8758" s="10">
        <v>231.69236484665356</v>
      </c>
      <c r="D8758" s="42"/>
    </row>
    <row r="8759" spans="2:4" ht="16" thickBot="1" x14ac:dyDescent="0.25">
      <c r="B8759" s="5">
        <v>8754</v>
      </c>
      <c r="C8759" s="11">
        <v>281.18644910394602</v>
      </c>
      <c r="D8759" s="42"/>
    </row>
    <row r="8760" spans="2:4" ht="16" thickBot="1" x14ac:dyDescent="0.25">
      <c r="B8760" s="4">
        <v>8755</v>
      </c>
      <c r="C8760" s="10">
        <v>468.85992974595268</v>
      </c>
      <c r="D8760" s="42"/>
    </row>
    <row r="8761" spans="2:4" ht="16" thickBot="1" x14ac:dyDescent="0.25">
      <c r="B8761" s="5">
        <v>8756</v>
      </c>
      <c r="C8761" s="11">
        <v>190.4866674786183</v>
      </c>
      <c r="D8761" s="42"/>
    </row>
    <row r="8762" spans="2:4" ht="16" thickBot="1" x14ac:dyDescent="0.25">
      <c r="B8762" s="4">
        <v>8757</v>
      </c>
      <c r="C8762" s="10">
        <v>864.03923637042146</v>
      </c>
      <c r="D8762" s="42"/>
    </row>
    <row r="8763" spans="2:4" ht="16" thickBot="1" x14ac:dyDescent="0.25">
      <c r="B8763" s="5">
        <v>8758</v>
      </c>
      <c r="C8763" s="11">
        <v>241.5143964552191</v>
      </c>
      <c r="D8763" s="42"/>
    </row>
    <row r="8764" spans="2:4" ht="16" thickBot="1" x14ac:dyDescent="0.25">
      <c r="B8764" s="4">
        <v>8759</v>
      </c>
      <c r="C8764" s="10">
        <v>146.85563247897451</v>
      </c>
      <c r="D8764" s="42"/>
    </row>
    <row r="8765" spans="2:4" ht="16" thickBot="1" x14ac:dyDescent="0.25">
      <c r="B8765" s="5">
        <v>8760</v>
      </c>
      <c r="C8765" s="11">
        <v>169.46193178675958</v>
      </c>
      <c r="D8765" s="42"/>
    </row>
    <row r="8766" spans="2:4" ht="16" thickBot="1" x14ac:dyDescent="0.25">
      <c r="B8766" s="4">
        <v>8761</v>
      </c>
      <c r="C8766" s="10">
        <v>233.7459916548014</v>
      </c>
      <c r="D8766" s="42"/>
    </row>
    <row r="8767" spans="2:4" ht="16" thickBot="1" x14ac:dyDescent="0.25">
      <c r="B8767" s="5">
        <v>8762</v>
      </c>
      <c r="C8767" s="11">
        <v>222.24394149862306</v>
      </c>
      <c r="D8767" s="42"/>
    </row>
    <row r="8768" spans="2:4" ht="16" thickBot="1" x14ac:dyDescent="0.25">
      <c r="B8768" s="4">
        <v>8763</v>
      </c>
      <c r="C8768" s="10">
        <v>131.1667539841682</v>
      </c>
      <c r="D8768" s="42"/>
    </row>
    <row r="8769" spans="2:4" ht="16" thickBot="1" x14ac:dyDescent="0.25">
      <c r="B8769" s="5">
        <v>8764</v>
      </c>
      <c r="C8769" s="11">
        <v>103.90743496639317</v>
      </c>
      <c r="D8769" s="42"/>
    </row>
    <row r="8770" spans="2:4" ht="16" thickBot="1" x14ac:dyDescent="0.25">
      <c r="B8770" s="4">
        <v>8765</v>
      </c>
      <c r="C8770" s="10">
        <v>414.3284807095028</v>
      </c>
      <c r="D8770" s="42"/>
    </row>
    <row r="8771" spans="2:4" ht="16" thickBot="1" x14ac:dyDescent="0.25">
      <c r="B8771" s="5">
        <v>8766</v>
      </c>
      <c r="C8771" s="11">
        <v>186.59078257604517</v>
      </c>
      <c r="D8771" s="42"/>
    </row>
    <row r="8772" spans="2:4" ht="16" thickBot="1" x14ac:dyDescent="0.25">
      <c r="B8772" s="4">
        <v>8767</v>
      </c>
      <c r="C8772" s="10">
        <v>363.05988125097235</v>
      </c>
      <c r="D8772" s="42"/>
    </row>
    <row r="8773" spans="2:4" ht="16" thickBot="1" x14ac:dyDescent="0.25">
      <c r="B8773" s="5">
        <v>8768</v>
      </c>
      <c r="C8773" s="11">
        <v>302.4385407249693</v>
      </c>
      <c r="D8773" s="42"/>
    </row>
    <row r="8774" spans="2:4" ht="16" thickBot="1" x14ac:dyDescent="0.25">
      <c r="B8774" s="4">
        <v>8769</v>
      </c>
      <c r="C8774" s="10">
        <v>324.91460653505328</v>
      </c>
      <c r="D8774" s="42"/>
    </row>
    <row r="8775" spans="2:4" ht="16" thickBot="1" x14ac:dyDescent="0.25">
      <c r="B8775" s="5">
        <v>8770</v>
      </c>
      <c r="C8775" s="11">
        <v>284.09263857330092</v>
      </c>
      <c r="D8775" s="42"/>
    </row>
    <row r="8776" spans="2:4" ht="16" thickBot="1" x14ac:dyDescent="0.25">
      <c r="B8776" s="4">
        <v>8771</v>
      </c>
      <c r="C8776" s="10">
        <v>472.9485139610876</v>
      </c>
      <c r="D8776" s="42"/>
    </row>
    <row r="8777" spans="2:4" ht="16" thickBot="1" x14ac:dyDescent="0.25">
      <c r="B8777" s="5">
        <v>8772</v>
      </c>
      <c r="C8777" s="11">
        <v>210.25311533495733</v>
      </c>
      <c r="D8777" s="42"/>
    </row>
    <row r="8778" spans="2:4" ht="16" thickBot="1" x14ac:dyDescent="0.25">
      <c r="B8778" s="4">
        <v>8773</v>
      </c>
      <c r="C8778" s="10">
        <v>488.37574094689097</v>
      </c>
      <c r="D8778" s="42"/>
    </row>
    <row r="8779" spans="2:4" ht="16" thickBot="1" x14ac:dyDescent="0.25">
      <c r="B8779" s="5">
        <v>8774</v>
      </c>
      <c r="C8779" s="11">
        <v>169.7347985385959</v>
      </c>
      <c r="D8779" s="42"/>
    </row>
    <row r="8780" spans="2:4" ht="16" thickBot="1" x14ac:dyDescent="0.25">
      <c r="B8780" s="4">
        <v>8775</v>
      </c>
      <c r="C8780" s="10">
        <v>503.6480257688392</v>
      </c>
      <c r="D8780" s="42"/>
    </row>
    <row r="8781" spans="2:4" ht="16" thickBot="1" x14ac:dyDescent="0.25">
      <c r="B8781" s="5">
        <v>8776</v>
      </c>
      <c r="C8781" s="11">
        <v>310.27032278403482</v>
      </c>
      <c r="D8781" s="42"/>
    </row>
    <row r="8782" spans="2:4" ht="16" thickBot="1" x14ac:dyDescent="0.25">
      <c r="B8782" s="4">
        <v>8777</v>
      </c>
      <c r="C8782" s="10">
        <v>328.96311578099335</v>
      </c>
      <c r="D8782" s="42"/>
    </row>
    <row r="8783" spans="2:4" ht="16" thickBot="1" x14ac:dyDescent="0.25">
      <c r="B8783" s="5">
        <v>8778</v>
      </c>
      <c r="C8783" s="11">
        <v>403.34362786953108</v>
      </c>
      <c r="D8783" s="42"/>
    </row>
    <row r="8784" spans="2:4" ht="16" thickBot="1" x14ac:dyDescent="0.25">
      <c r="B8784" s="4">
        <v>8779</v>
      </c>
      <c r="C8784" s="10">
        <v>341.80260879043539</v>
      </c>
      <c r="D8784" s="42"/>
    </row>
    <row r="8785" spans="2:4" ht="16" thickBot="1" x14ac:dyDescent="0.25">
      <c r="B8785" s="5">
        <v>8780</v>
      </c>
      <c r="C8785" s="11">
        <v>413.88858126576554</v>
      </c>
      <c r="D8785" s="42"/>
    </row>
    <row r="8786" spans="2:4" ht="16" thickBot="1" x14ac:dyDescent="0.25">
      <c r="B8786" s="4">
        <v>8781</v>
      </c>
      <c r="C8786" s="10">
        <v>152.81640541967491</v>
      </c>
      <c r="D8786" s="42"/>
    </row>
    <row r="8787" spans="2:4" ht="16" thickBot="1" x14ac:dyDescent="0.25">
      <c r="B8787" s="5">
        <v>8782</v>
      </c>
      <c r="C8787" s="11">
        <v>66.326121802781032</v>
      </c>
      <c r="D8787" s="42"/>
    </row>
    <row r="8788" spans="2:4" ht="16" thickBot="1" x14ac:dyDescent="0.25">
      <c r="B8788" s="4">
        <v>8783</v>
      </c>
      <c r="C8788" s="10">
        <v>307.7456326581663</v>
      </c>
      <c r="D8788" s="42"/>
    </row>
    <row r="8789" spans="2:4" ht="16" thickBot="1" x14ac:dyDescent="0.25">
      <c r="B8789" s="5">
        <v>8784</v>
      </c>
      <c r="C8789" s="11">
        <v>71.134405022702097</v>
      </c>
      <c r="D8789" s="42"/>
    </row>
    <row r="8790" spans="2:4" ht="16" thickBot="1" x14ac:dyDescent="0.25">
      <c r="B8790" s="4">
        <v>8785</v>
      </c>
      <c r="C8790" s="10">
        <v>810.12629595009776</v>
      </c>
      <c r="D8790" s="42"/>
    </row>
    <row r="8791" spans="2:4" ht="16" thickBot="1" x14ac:dyDescent="0.25">
      <c r="B8791" s="5">
        <v>8786</v>
      </c>
      <c r="C8791" s="11">
        <v>175.15235538094535</v>
      </c>
      <c r="D8791" s="42"/>
    </row>
    <row r="8792" spans="2:4" ht="16" thickBot="1" x14ac:dyDescent="0.25">
      <c r="B8792" s="4">
        <v>8787</v>
      </c>
      <c r="C8792" s="10">
        <v>230.13012093769581</v>
      </c>
      <c r="D8792" s="42"/>
    </row>
    <row r="8793" spans="2:4" ht="16" thickBot="1" x14ac:dyDescent="0.25">
      <c r="B8793" s="5">
        <v>8788</v>
      </c>
      <c r="C8793" s="11">
        <v>130.02053858080797</v>
      </c>
      <c r="D8793" s="42"/>
    </row>
    <row r="8794" spans="2:4" ht="16" thickBot="1" x14ac:dyDescent="0.25">
      <c r="B8794" s="4">
        <v>8789</v>
      </c>
      <c r="C8794" s="10">
        <v>162.15237994258351</v>
      </c>
      <c r="D8794" s="42"/>
    </row>
    <row r="8795" spans="2:4" ht="16" thickBot="1" x14ac:dyDescent="0.25">
      <c r="B8795" s="5">
        <v>8790</v>
      </c>
      <c r="C8795" s="11">
        <v>546.28096429878872</v>
      </c>
      <c r="D8795" s="42"/>
    </row>
    <row r="8796" spans="2:4" ht="16" thickBot="1" x14ac:dyDescent="0.25">
      <c r="B8796" s="4">
        <v>8791</v>
      </c>
      <c r="C8796" s="10">
        <v>230.50471061369379</v>
      </c>
      <c r="D8796" s="42"/>
    </row>
    <row r="8797" spans="2:4" ht="16" thickBot="1" x14ac:dyDescent="0.25">
      <c r="B8797" s="5">
        <v>8792</v>
      </c>
      <c r="C8797" s="11">
        <v>493.76602368157324</v>
      </c>
      <c r="D8797" s="42"/>
    </row>
    <row r="8798" spans="2:4" ht="16" thickBot="1" x14ac:dyDescent="0.25">
      <c r="B8798" s="4">
        <v>8793</v>
      </c>
      <c r="C8798" s="10">
        <v>249.44766828123733</v>
      </c>
      <c r="D8798" s="42"/>
    </row>
    <row r="8799" spans="2:4" ht="16" thickBot="1" x14ac:dyDescent="0.25">
      <c r="B8799" s="5">
        <v>8794</v>
      </c>
      <c r="C8799" s="11">
        <v>160.29289612257003</v>
      </c>
      <c r="D8799" s="42"/>
    </row>
    <row r="8800" spans="2:4" ht="16" thickBot="1" x14ac:dyDescent="0.25">
      <c r="B8800" s="4">
        <v>8795</v>
      </c>
      <c r="C8800" s="10">
        <v>68.838220346003482</v>
      </c>
      <c r="D8800" s="42"/>
    </row>
    <row r="8801" spans="2:4" ht="16" thickBot="1" x14ac:dyDescent="0.25">
      <c r="B8801" s="5">
        <v>8796</v>
      </c>
      <c r="C8801" s="11">
        <v>58.403652030806882</v>
      </c>
      <c r="D8801" s="42"/>
    </row>
    <row r="8802" spans="2:4" ht="16" thickBot="1" x14ac:dyDescent="0.25">
      <c r="B8802" s="4">
        <v>8797</v>
      </c>
      <c r="C8802" s="10">
        <v>389.10977204122906</v>
      </c>
      <c r="D8802" s="42"/>
    </row>
    <row r="8803" spans="2:4" ht="16" thickBot="1" x14ac:dyDescent="0.25">
      <c r="B8803" s="5">
        <v>8798</v>
      </c>
      <c r="C8803" s="11">
        <v>118.6765068905314</v>
      </c>
      <c r="D8803" s="42"/>
    </row>
    <row r="8804" spans="2:4" ht="16" thickBot="1" x14ac:dyDescent="0.25">
      <c r="B8804" s="4">
        <v>8799</v>
      </c>
      <c r="C8804" s="10">
        <v>487.87189995649692</v>
      </c>
      <c r="D8804" s="42"/>
    </row>
    <row r="8805" spans="2:4" ht="16" thickBot="1" x14ac:dyDescent="0.25">
      <c r="B8805" s="5">
        <v>8800</v>
      </c>
      <c r="C8805" s="11">
        <v>155.17729035110585</v>
      </c>
      <c r="D8805" s="42"/>
    </row>
    <row r="8806" spans="2:4" ht="16" thickBot="1" x14ac:dyDescent="0.25">
      <c r="B8806" s="4">
        <v>8801</v>
      </c>
      <c r="C8806" s="10">
        <v>248.76355702439977</v>
      </c>
      <c r="D8806" s="42"/>
    </row>
    <row r="8807" spans="2:4" ht="16" thickBot="1" x14ac:dyDescent="0.25">
      <c r="B8807" s="5">
        <v>8802</v>
      </c>
      <c r="C8807" s="11">
        <v>99.257008618899505</v>
      </c>
      <c r="D8807" s="42"/>
    </row>
    <row r="8808" spans="2:4" ht="16" thickBot="1" x14ac:dyDescent="0.25">
      <c r="B8808" s="4">
        <v>8803</v>
      </c>
      <c r="C8808" s="10">
        <v>203.10914712478947</v>
      </c>
      <c r="D8808" s="42"/>
    </row>
    <row r="8809" spans="2:4" ht="16" thickBot="1" x14ac:dyDescent="0.25">
      <c r="B8809" s="5">
        <v>8804</v>
      </c>
      <c r="C8809" s="11">
        <v>224.17231726262378</v>
      </c>
      <c r="D8809" s="42"/>
    </row>
    <row r="8810" spans="2:4" ht="16" thickBot="1" x14ac:dyDescent="0.25">
      <c r="B8810" s="4">
        <v>8805</v>
      </c>
      <c r="C8810" s="10">
        <v>413.46363345799517</v>
      </c>
      <c r="D8810" s="42"/>
    </row>
    <row r="8811" spans="2:4" ht="16" thickBot="1" x14ac:dyDescent="0.25">
      <c r="B8811" s="5">
        <v>8806</v>
      </c>
      <c r="C8811" s="11">
        <v>201.6922059778548</v>
      </c>
      <c r="D8811" s="42"/>
    </row>
    <row r="8812" spans="2:4" ht="16" thickBot="1" x14ac:dyDescent="0.25">
      <c r="B8812" s="4">
        <v>8807</v>
      </c>
      <c r="C8812" s="10">
        <v>321.14885996503796</v>
      </c>
      <c r="D8812" s="42"/>
    </row>
    <row r="8813" spans="2:4" ht="16" thickBot="1" x14ac:dyDescent="0.25">
      <c r="B8813" s="5">
        <v>8808</v>
      </c>
      <c r="C8813" s="11">
        <v>449.30262613464225</v>
      </c>
      <c r="D8813" s="42"/>
    </row>
    <row r="8814" spans="2:4" ht="16" thickBot="1" x14ac:dyDescent="0.25">
      <c r="B8814" s="4">
        <v>8809</v>
      </c>
      <c r="C8814" s="10">
        <v>256.76186192778977</v>
      </c>
      <c r="D8814" s="42"/>
    </row>
    <row r="8815" spans="2:4" ht="16" thickBot="1" x14ac:dyDescent="0.25">
      <c r="B8815" s="5">
        <v>8810</v>
      </c>
      <c r="C8815" s="11">
        <v>399.197987303106</v>
      </c>
      <c r="D8815" s="42"/>
    </row>
    <row r="8816" spans="2:4" ht="16" thickBot="1" x14ac:dyDescent="0.25">
      <c r="B8816" s="4">
        <v>8811</v>
      </c>
      <c r="C8816" s="10">
        <v>332.99215077170442</v>
      </c>
      <c r="D8816" s="42"/>
    </row>
    <row r="8817" spans="2:4" ht="16" thickBot="1" x14ac:dyDescent="0.25">
      <c r="B8817" s="5">
        <v>8812</v>
      </c>
      <c r="C8817" s="11">
        <v>260.95526325601719</v>
      </c>
      <c r="D8817" s="42"/>
    </row>
    <row r="8818" spans="2:4" ht="16" thickBot="1" x14ac:dyDescent="0.25">
      <c r="B8818" s="4">
        <v>8813</v>
      </c>
      <c r="C8818" s="10">
        <v>349.92883675417136</v>
      </c>
      <c r="D8818" s="42"/>
    </row>
    <row r="8819" spans="2:4" ht="16" thickBot="1" x14ac:dyDescent="0.25">
      <c r="B8819" s="5">
        <v>8814</v>
      </c>
      <c r="C8819" s="11">
        <v>278.61932228721241</v>
      </c>
      <c r="D8819" s="42"/>
    </row>
    <row r="8820" spans="2:4" ht="16" thickBot="1" x14ac:dyDescent="0.25">
      <c r="B8820" s="4">
        <v>8815</v>
      </c>
      <c r="C8820" s="10">
        <v>373.02818031676611</v>
      </c>
      <c r="D8820" s="42"/>
    </row>
    <row r="8821" spans="2:4" ht="16" thickBot="1" x14ac:dyDescent="0.25">
      <c r="B8821" s="5">
        <v>8816</v>
      </c>
      <c r="C8821" s="11">
        <v>150.13787017256126</v>
      </c>
      <c r="D8821" s="42"/>
    </row>
    <row r="8822" spans="2:4" ht="16" thickBot="1" x14ac:dyDescent="0.25">
      <c r="B8822" s="4">
        <v>8817</v>
      </c>
      <c r="C8822" s="10">
        <v>129.657779865175</v>
      </c>
      <c r="D8822" s="42"/>
    </row>
    <row r="8823" spans="2:4" ht="16" thickBot="1" x14ac:dyDescent="0.25">
      <c r="B8823" s="5">
        <v>8818</v>
      </c>
      <c r="C8823" s="11">
        <v>114.96449059237275</v>
      </c>
      <c r="D8823" s="42"/>
    </row>
    <row r="8824" spans="2:4" ht="16" thickBot="1" x14ac:dyDescent="0.25">
      <c r="B8824" s="4">
        <v>8819</v>
      </c>
      <c r="C8824" s="10">
        <v>297.06430854543089</v>
      </c>
      <c r="D8824" s="42"/>
    </row>
    <row r="8825" spans="2:4" ht="16" thickBot="1" x14ac:dyDescent="0.25">
      <c r="B8825" s="5">
        <v>8820</v>
      </c>
      <c r="C8825" s="11">
        <v>416.44702471483737</v>
      </c>
      <c r="D8825" s="42"/>
    </row>
    <row r="8826" spans="2:4" ht="16" thickBot="1" x14ac:dyDescent="0.25">
      <c r="B8826" s="4">
        <v>8821</v>
      </c>
      <c r="C8826" s="10">
        <v>325.72645624750078</v>
      </c>
      <c r="D8826" s="42"/>
    </row>
    <row r="8827" spans="2:4" ht="16" thickBot="1" x14ac:dyDescent="0.25">
      <c r="B8827" s="5">
        <v>8822</v>
      </c>
      <c r="C8827" s="11">
        <v>412.04805143452711</v>
      </c>
      <c r="D8827" s="42"/>
    </row>
    <row r="8828" spans="2:4" ht="16" thickBot="1" x14ac:dyDescent="0.25">
      <c r="B8828" s="4">
        <v>8823</v>
      </c>
      <c r="C8828" s="10">
        <v>327.14013255817821</v>
      </c>
      <c r="D8828" s="42"/>
    </row>
    <row r="8829" spans="2:4" ht="16" thickBot="1" x14ac:dyDescent="0.25">
      <c r="B8829" s="5">
        <v>8824</v>
      </c>
      <c r="C8829" s="11">
        <v>310.16145161897072</v>
      </c>
      <c r="D8829" s="42"/>
    </row>
    <row r="8830" spans="2:4" ht="16" thickBot="1" x14ac:dyDescent="0.25">
      <c r="B8830" s="4">
        <v>8825</v>
      </c>
      <c r="C8830" s="10">
        <v>318.96184796889759</v>
      </c>
      <c r="D8830" s="42"/>
    </row>
    <row r="8831" spans="2:4" ht="16" thickBot="1" x14ac:dyDescent="0.25">
      <c r="B8831" s="5">
        <v>8826</v>
      </c>
      <c r="C8831" s="11">
        <v>89.705798719845745</v>
      </c>
      <c r="D8831" s="42"/>
    </row>
    <row r="8832" spans="2:4" ht="16" thickBot="1" x14ac:dyDescent="0.25">
      <c r="B8832" s="4">
        <v>8827</v>
      </c>
      <c r="C8832" s="10">
        <v>239.85222726300424</v>
      </c>
      <c r="D8832" s="42"/>
    </row>
    <row r="8833" spans="2:4" ht="16" thickBot="1" x14ac:dyDescent="0.25">
      <c r="B8833" s="5">
        <v>8828</v>
      </c>
      <c r="C8833" s="11">
        <v>178.03283553778323</v>
      </c>
      <c r="D8833" s="42"/>
    </row>
    <row r="8834" spans="2:4" ht="16" thickBot="1" x14ac:dyDescent="0.25">
      <c r="B8834" s="4">
        <v>8829</v>
      </c>
      <c r="C8834" s="10">
        <v>128.50660257061097</v>
      </c>
      <c r="D8834" s="42"/>
    </row>
    <row r="8835" spans="2:4" ht="16" thickBot="1" x14ac:dyDescent="0.25">
      <c r="B8835" s="5">
        <v>8830</v>
      </c>
      <c r="C8835" s="11">
        <v>312.22216912166829</v>
      </c>
      <c r="D8835" s="42"/>
    </row>
    <row r="8836" spans="2:4" ht="16" thickBot="1" x14ac:dyDescent="0.25">
      <c r="B8836" s="4">
        <v>8831</v>
      </c>
      <c r="C8836" s="10">
        <v>156.92368280705571</v>
      </c>
      <c r="D8836" s="42"/>
    </row>
    <row r="8837" spans="2:4" ht="16" thickBot="1" x14ac:dyDescent="0.25">
      <c r="B8837" s="5">
        <v>8832</v>
      </c>
      <c r="C8837" s="11">
        <v>80.309003997644311</v>
      </c>
      <c r="D8837" s="42"/>
    </row>
    <row r="8838" spans="2:4" ht="16" thickBot="1" x14ac:dyDescent="0.25">
      <c r="B8838" s="4">
        <v>8833</v>
      </c>
      <c r="C8838" s="10">
        <v>460.33027395919987</v>
      </c>
      <c r="D8838" s="42"/>
    </row>
    <row r="8839" spans="2:4" ht="16" thickBot="1" x14ac:dyDescent="0.25">
      <c r="B8839" s="5">
        <v>8834</v>
      </c>
      <c r="C8839" s="11">
        <v>447.35475244180498</v>
      </c>
      <c r="D8839" s="42"/>
    </row>
    <row r="8840" spans="2:4" ht="16" thickBot="1" x14ac:dyDescent="0.25">
      <c r="B8840" s="4">
        <v>8835</v>
      </c>
      <c r="C8840" s="10">
        <v>308.42619324810096</v>
      </c>
      <c r="D8840" s="42"/>
    </row>
    <row r="8841" spans="2:4" ht="16" thickBot="1" x14ac:dyDescent="0.25">
      <c r="B8841" s="5">
        <v>8836</v>
      </c>
      <c r="C8841" s="11">
        <v>332.90711899645612</v>
      </c>
      <c r="D8841" s="42"/>
    </row>
    <row r="8842" spans="2:4" ht="16" thickBot="1" x14ac:dyDescent="0.25">
      <c r="B8842" s="4">
        <v>8837</v>
      </c>
      <c r="C8842" s="10">
        <v>289.61571534996546</v>
      </c>
      <c r="D8842" s="42"/>
    </row>
    <row r="8843" spans="2:4" ht="16" thickBot="1" x14ac:dyDescent="0.25">
      <c r="B8843" s="5">
        <v>8838</v>
      </c>
      <c r="C8843" s="11">
        <v>280.36245900882125</v>
      </c>
      <c r="D8843" s="42"/>
    </row>
    <row r="8844" spans="2:4" ht="16" thickBot="1" x14ac:dyDescent="0.25">
      <c r="B8844" s="4">
        <v>8839</v>
      </c>
      <c r="C8844" s="10">
        <v>196.1409830319127</v>
      </c>
      <c r="D8844" s="42"/>
    </row>
    <row r="8845" spans="2:4" ht="16" thickBot="1" x14ac:dyDescent="0.25">
      <c r="B8845" s="5">
        <v>8840</v>
      </c>
      <c r="C8845" s="11">
        <v>485.29498712404433</v>
      </c>
      <c r="D8845" s="42"/>
    </row>
    <row r="8846" spans="2:4" ht="16" thickBot="1" x14ac:dyDescent="0.25">
      <c r="B8846" s="4">
        <v>8841</v>
      </c>
      <c r="C8846" s="10">
        <v>297.30170053860661</v>
      </c>
      <c r="D8846" s="42"/>
    </row>
    <row r="8847" spans="2:4" ht="16" thickBot="1" x14ac:dyDescent="0.25">
      <c r="B8847" s="5">
        <v>8842</v>
      </c>
      <c r="C8847" s="11">
        <v>179.83512372237703</v>
      </c>
      <c r="D8847" s="42"/>
    </row>
    <row r="8848" spans="2:4" ht="16" thickBot="1" x14ac:dyDescent="0.25">
      <c r="B8848" s="4">
        <v>8843</v>
      </c>
      <c r="C8848" s="10">
        <v>368.61081100601177</v>
      </c>
      <c r="D8848" s="42"/>
    </row>
    <row r="8849" spans="2:4" ht="16" thickBot="1" x14ac:dyDescent="0.25">
      <c r="B8849" s="5">
        <v>8844</v>
      </c>
      <c r="C8849" s="11">
        <v>237.49057754816099</v>
      </c>
      <c r="D8849" s="42"/>
    </row>
    <row r="8850" spans="2:4" ht="16" thickBot="1" x14ac:dyDescent="0.25">
      <c r="B8850" s="4">
        <v>8845</v>
      </c>
      <c r="C8850" s="10">
        <v>440.75191768691792</v>
      </c>
      <c r="D8850" s="42"/>
    </row>
    <row r="8851" spans="2:4" ht="16" thickBot="1" x14ac:dyDescent="0.25">
      <c r="B8851" s="5">
        <v>8846</v>
      </c>
      <c r="C8851" s="11">
        <v>149.24248806238725</v>
      </c>
      <c r="D8851" s="42"/>
    </row>
    <row r="8852" spans="2:4" ht="16" thickBot="1" x14ac:dyDescent="0.25">
      <c r="B8852" s="4">
        <v>8847</v>
      </c>
      <c r="C8852" s="10">
        <v>122.45031008815553</v>
      </c>
      <c r="D8852" s="42"/>
    </row>
    <row r="8853" spans="2:4" ht="16" thickBot="1" x14ac:dyDescent="0.25">
      <c r="B8853" s="5">
        <v>8848</v>
      </c>
      <c r="C8853" s="11">
        <v>177.08688415188792</v>
      </c>
      <c r="D8853" s="42"/>
    </row>
    <row r="8854" spans="2:4" ht="16" thickBot="1" x14ac:dyDescent="0.25">
      <c r="B8854" s="4">
        <v>8849</v>
      </c>
      <c r="C8854" s="10">
        <v>223.06565650671098</v>
      </c>
      <c r="D8854" s="42"/>
    </row>
    <row r="8855" spans="2:4" ht="16" thickBot="1" x14ac:dyDescent="0.25">
      <c r="B8855" s="5">
        <v>8850</v>
      </c>
      <c r="C8855" s="11">
        <v>375.93515817038934</v>
      </c>
      <c r="D8855" s="42"/>
    </row>
    <row r="8856" spans="2:4" ht="16" thickBot="1" x14ac:dyDescent="0.25">
      <c r="B8856" s="4">
        <v>8851</v>
      </c>
      <c r="C8856" s="10">
        <v>211.07185113774085</v>
      </c>
      <c r="D8856" s="42"/>
    </row>
    <row r="8857" spans="2:4" ht="16" thickBot="1" x14ac:dyDescent="0.25">
      <c r="B8857" s="5">
        <v>8852</v>
      </c>
      <c r="C8857" s="11">
        <v>272.08008030958212</v>
      </c>
      <c r="D8857" s="42"/>
    </row>
    <row r="8858" spans="2:4" ht="16" thickBot="1" x14ac:dyDescent="0.25">
      <c r="B8858" s="4">
        <v>8853</v>
      </c>
      <c r="C8858" s="10">
        <v>193.69259209869207</v>
      </c>
      <c r="D8858" s="42"/>
    </row>
    <row r="8859" spans="2:4" ht="16" thickBot="1" x14ac:dyDescent="0.25">
      <c r="B8859" s="5">
        <v>8854</v>
      </c>
      <c r="C8859" s="11">
        <v>177.20441130994251</v>
      </c>
      <c r="D8859" s="42"/>
    </row>
    <row r="8860" spans="2:4" ht="16" thickBot="1" x14ac:dyDescent="0.25">
      <c r="B8860" s="4">
        <v>8855</v>
      </c>
      <c r="C8860" s="10">
        <v>86.940630379419389</v>
      </c>
      <c r="D8860" s="42"/>
    </row>
    <row r="8861" spans="2:4" ht="16" thickBot="1" x14ac:dyDescent="0.25">
      <c r="B8861" s="5">
        <v>8856</v>
      </c>
      <c r="C8861" s="11">
        <v>127.17967065374803</v>
      </c>
      <c r="D8861" s="42"/>
    </row>
    <row r="8862" spans="2:4" ht="16" thickBot="1" x14ac:dyDescent="0.25">
      <c r="B8862" s="4">
        <v>8857</v>
      </c>
      <c r="C8862" s="10">
        <v>56.528157083588702</v>
      </c>
      <c r="D8862" s="42"/>
    </row>
    <row r="8863" spans="2:4" ht="16" thickBot="1" x14ac:dyDescent="0.25">
      <c r="B8863" s="5">
        <v>8858</v>
      </c>
      <c r="C8863" s="11">
        <v>395.85885357803562</v>
      </c>
      <c r="D8863" s="42"/>
    </row>
    <row r="8864" spans="2:4" ht="16" thickBot="1" x14ac:dyDescent="0.25">
      <c r="B8864" s="4">
        <v>8859</v>
      </c>
      <c r="C8864" s="10">
        <v>205.76571261674715</v>
      </c>
      <c r="D8864" s="42"/>
    </row>
    <row r="8865" spans="2:4" ht="16" thickBot="1" x14ac:dyDescent="0.25">
      <c r="B8865" s="5">
        <v>8860</v>
      </c>
      <c r="C8865" s="11">
        <v>271.11815479323093</v>
      </c>
      <c r="D8865" s="42"/>
    </row>
    <row r="8866" spans="2:4" ht="16" thickBot="1" x14ac:dyDescent="0.25">
      <c r="B8866" s="4">
        <v>8861</v>
      </c>
      <c r="C8866" s="10">
        <v>84.892774783342446</v>
      </c>
      <c r="D8866" s="42"/>
    </row>
    <row r="8867" spans="2:4" ht="16" thickBot="1" x14ac:dyDescent="0.25">
      <c r="B8867" s="5">
        <v>8862</v>
      </c>
      <c r="C8867" s="11">
        <v>86.663721500029141</v>
      </c>
      <c r="D8867" s="42"/>
    </row>
    <row r="8868" spans="2:4" ht="16" thickBot="1" x14ac:dyDescent="0.25">
      <c r="B8868" s="4">
        <v>8863</v>
      </c>
      <c r="C8868" s="10">
        <v>210.7948423897144</v>
      </c>
      <c r="D8868" s="42"/>
    </row>
    <row r="8869" spans="2:4" ht="16" thickBot="1" x14ac:dyDescent="0.25">
      <c r="B8869" s="5">
        <v>8864</v>
      </c>
      <c r="C8869" s="11">
        <v>442.0935912967924</v>
      </c>
      <c r="D8869" s="42"/>
    </row>
    <row r="8870" spans="2:4" ht="16" thickBot="1" x14ac:dyDescent="0.25">
      <c r="B8870" s="4">
        <v>8865</v>
      </c>
      <c r="C8870" s="10">
        <v>212.50667607787776</v>
      </c>
      <c r="D8870" s="42"/>
    </row>
    <row r="8871" spans="2:4" ht="16" thickBot="1" x14ac:dyDescent="0.25">
      <c r="B8871" s="5">
        <v>8866</v>
      </c>
      <c r="C8871" s="11">
        <v>45.749197258673796</v>
      </c>
      <c r="D8871" s="42"/>
    </row>
    <row r="8872" spans="2:4" ht="16" thickBot="1" x14ac:dyDescent="0.25">
      <c r="B8872" s="4">
        <v>8867</v>
      </c>
      <c r="C8872" s="10">
        <v>143.83687810542193</v>
      </c>
      <c r="D8872" s="42"/>
    </row>
    <row r="8873" spans="2:4" ht="16" thickBot="1" x14ac:dyDescent="0.25">
      <c r="B8873" s="5">
        <v>8868</v>
      </c>
      <c r="C8873" s="11">
        <v>53.047002524495731</v>
      </c>
      <c r="D8873" s="42"/>
    </row>
    <row r="8874" spans="2:4" ht="16" thickBot="1" x14ac:dyDescent="0.25">
      <c r="B8874" s="4">
        <v>8869</v>
      </c>
      <c r="C8874" s="10">
        <v>335.83554442908195</v>
      </c>
      <c r="D8874" s="42"/>
    </row>
    <row r="8875" spans="2:4" ht="16" thickBot="1" x14ac:dyDescent="0.25">
      <c r="B8875" s="5">
        <v>8870</v>
      </c>
      <c r="C8875" s="11">
        <v>144.90480947164551</v>
      </c>
      <c r="D8875" s="42"/>
    </row>
    <row r="8876" spans="2:4" ht="16" thickBot="1" x14ac:dyDescent="0.25">
      <c r="B8876" s="4">
        <v>8871</v>
      </c>
      <c r="C8876" s="10">
        <v>148.24725725303981</v>
      </c>
      <c r="D8876" s="42"/>
    </row>
    <row r="8877" spans="2:4" ht="16" thickBot="1" x14ac:dyDescent="0.25">
      <c r="B8877" s="5">
        <v>8872</v>
      </c>
      <c r="C8877" s="11">
        <v>200.5779713254073</v>
      </c>
      <c r="D8877" s="42"/>
    </row>
    <row r="8878" spans="2:4" ht="16" thickBot="1" x14ac:dyDescent="0.25">
      <c r="B8878" s="4">
        <v>8873</v>
      </c>
      <c r="C8878" s="10">
        <v>303.39358713689643</v>
      </c>
      <c r="D8878" s="42"/>
    </row>
    <row r="8879" spans="2:4" ht="16" thickBot="1" x14ac:dyDescent="0.25">
      <c r="B8879" s="5">
        <v>8874</v>
      </c>
      <c r="C8879" s="11">
        <v>164.4821991856569</v>
      </c>
      <c r="D8879" s="42"/>
    </row>
    <row r="8880" spans="2:4" ht="16" thickBot="1" x14ac:dyDescent="0.25">
      <c r="B8880" s="4">
        <v>8875</v>
      </c>
      <c r="C8880" s="10">
        <v>363.51125962396407</v>
      </c>
      <c r="D8880" s="42"/>
    </row>
    <row r="8881" spans="2:4" ht="16" thickBot="1" x14ac:dyDescent="0.25">
      <c r="B8881" s="5">
        <v>8876</v>
      </c>
      <c r="C8881" s="11">
        <v>240.10888912641482</v>
      </c>
      <c r="D8881" s="42"/>
    </row>
    <row r="8882" spans="2:4" ht="16" thickBot="1" x14ac:dyDescent="0.25">
      <c r="B8882" s="4">
        <v>8877</v>
      </c>
      <c r="C8882" s="10">
        <v>311.51529421083512</v>
      </c>
      <c r="D8882" s="42"/>
    </row>
    <row r="8883" spans="2:4" ht="16" thickBot="1" x14ac:dyDescent="0.25">
      <c r="B8883" s="5">
        <v>8878</v>
      </c>
      <c r="C8883" s="11">
        <v>105.05321921805027</v>
      </c>
      <c r="D8883" s="42"/>
    </row>
    <row r="8884" spans="2:4" ht="16" thickBot="1" x14ac:dyDescent="0.25">
      <c r="B8884" s="4">
        <v>8879</v>
      </c>
      <c r="C8884" s="10">
        <v>422.58499019756164</v>
      </c>
      <c r="D8884" s="42"/>
    </row>
    <row r="8885" spans="2:4" ht="16" thickBot="1" x14ac:dyDescent="0.25">
      <c r="B8885" s="5">
        <v>8880</v>
      </c>
      <c r="C8885" s="11">
        <v>168.14796379068653</v>
      </c>
      <c r="D8885" s="42"/>
    </row>
    <row r="8886" spans="2:4" ht="16" thickBot="1" x14ac:dyDescent="0.25">
      <c r="B8886" s="4">
        <v>8881</v>
      </c>
      <c r="C8886" s="10">
        <v>644.42470279746453</v>
      </c>
      <c r="D8886" s="42"/>
    </row>
    <row r="8887" spans="2:4" ht="16" thickBot="1" x14ac:dyDescent="0.25">
      <c r="B8887" s="5">
        <v>8882</v>
      </c>
      <c r="C8887" s="11">
        <v>230.97299842446145</v>
      </c>
      <c r="D8887" s="42"/>
    </row>
    <row r="8888" spans="2:4" ht="16" thickBot="1" x14ac:dyDescent="0.25">
      <c r="B8888" s="4">
        <v>8883</v>
      </c>
      <c r="C8888" s="10">
        <v>330.03483057843937</v>
      </c>
      <c r="D8888" s="42"/>
    </row>
    <row r="8889" spans="2:4" ht="16" thickBot="1" x14ac:dyDescent="0.25">
      <c r="B8889" s="5">
        <v>8884</v>
      </c>
      <c r="C8889" s="11">
        <v>364.73358219947335</v>
      </c>
      <c r="D8889" s="42"/>
    </row>
    <row r="8890" spans="2:4" ht="16" thickBot="1" x14ac:dyDescent="0.25">
      <c r="B8890" s="4">
        <v>8885</v>
      </c>
      <c r="C8890" s="10">
        <v>115.49949302646507</v>
      </c>
      <c r="D8890" s="42"/>
    </row>
    <row r="8891" spans="2:4" ht="16" thickBot="1" x14ac:dyDescent="0.25">
      <c r="B8891" s="5">
        <v>8886</v>
      </c>
      <c r="C8891" s="11">
        <v>442.11947403917003</v>
      </c>
      <c r="D8891" s="42"/>
    </row>
    <row r="8892" spans="2:4" ht="16" thickBot="1" x14ac:dyDescent="0.25">
      <c r="B8892" s="4">
        <v>8887</v>
      </c>
      <c r="C8892" s="10">
        <v>355.66071582823457</v>
      </c>
      <c r="D8892" s="42"/>
    </row>
    <row r="8893" spans="2:4" ht="16" thickBot="1" x14ac:dyDescent="0.25">
      <c r="B8893" s="5">
        <v>8888</v>
      </c>
      <c r="C8893" s="11">
        <v>101.4430934001257</v>
      </c>
      <c r="D8893" s="42"/>
    </row>
    <row r="8894" spans="2:4" ht="16" thickBot="1" x14ac:dyDescent="0.25">
      <c r="B8894" s="4">
        <v>8889</v>
      </c>
      <c r="C8894" s="10">
        <v>140.94431138329074</v>
      </c>
      <c r="D8894" s="42"/>
    </row>
    <row r="8895" spans="2:4" ht="16" thickBot="1" x14ac:dyDescent="0.25">
      <c r="B8895" s="5">
        <v>8890</v>
      </c>
      <c r="C8895" s="11">
        <v>188.58690992653618</v>
      </c>
      <c r="D8895" s="42"/>
    </row>
    <row r="8896" spans="2:4" ht="16" thickBot="1" x14ac:dyDescent="0.25">
      <c r="B8896" s="4">
        <v>8891</v>
      </c>
      <c r="C8896" s="10">
        <v>129.36158613817338</v>
      </c>
      <c r="D8896" s="42"/>
    </row>
    <row r="8897" spans="2:4" ht="16" thickBot="1" x14ac:dyDescent="0.25">
      <c r="B8897" s="5">
        <v>8892</v>
      </c>
      <c r="C8897" s="11">
        <v>214.4393720676976</v>
      </c>
      <c r="D8897" s="42"/>
    </row>
    <row r="8898" spans="2:4" ht="16" thickBot="1" x14ac:dyDescent="0.25">
      <c r="B8898" s="4">
        <v>8893</v>
      </c>
      <c r="C8898" s="10">
        <v>272.3960056606299</v>
      </c>
      <c r="D8898" s="42"/>
    </row>
    <row r="8899" spans="2:4" ht="16" thickBot="1" x14ac:dyDescent="0.25">
      <c r="B8899" s="5">
        <v>8894</v>
      </c>
      <c r="C8899" s="11">
        <v>287.84508355522968</v>
      </c>
      <c r="D8899" s="42"/>
    </row>
    <row r="8900" spans="2:4" ht="16" thickBot="1" x14ac:dyDescent="0.25">
      <c r="B8900" s="4">
        <v>8895</v>
      </c>
      <c r="C8900" s="10">
        <v>98.465167006282286</v>
      </c>
      <c r="D8900" s="42"/>
    </row>
    <row r="8901" spans="2:4" ht="16" thickBot="1" x14ac:dyDescent="0.25">
      <c r="B8901" s="5">
        <v>8896</v>
      </c>
      <c r="C8901" s="11">
        <v>152.75647405625298</v>
      </c>
      <c r="D8901" s="42"/>
    </row>
    <row r="8902" spans="2:4" ht="16" thickBot="1" x14ac:dyDescent="0.25">
      <c r="B8902" s="4">
        <v>8897</v>
      </c>
      <c r="C8902" s="10">
        <v>248.71827079522041</v>
      </c>
      <c r="D8902" s="42"/>
    </row>
    <row r="8903" spans="2:4" ht="16" thickBot="1" x14ac:dyDescent="0.25">
      <c r="B8903" s="5">
        <v>8898</v>
      </c>
      <c r="C8903" s="11">
        <v>401.85206158129552</v>
      </c>
      <c r="D8903" s="42"/>
    </row>
    <row r="8904" spans="2:4" ht="16" thickBot="1" x14ac:dyDescent="0.25">
      <c r="B8904" s="4">
        <v>8899</v>
      </c>
      <c r="C8904" s="10">
        <v>223.40468529685236</v>
      </c>
      <c r="D8904" s="42"/>
    </row>
    <row r="8905" spans="2:4" ht="16" thickBot="1" x14ac:dyDescent="0.25">
      <c r="B8905" s="5">
        <v>8900</v>
      </c>
      <c r="C8905" s="11">
        <v>338.66302593347251</v>
      </c>
      <c r="D8905" s="42"/>
    </row>
    <row r="8906" spans="2:4" ht="16" thickBot="1" x14ac:dyDescent="0.25">
      <c r="B8906" s="4">
        <v>8901</v>
      </c>
      <c r="C8906" s="10">
        <v>194.04130638574512</v>
      </c>
      <c r="D8906" s="42"/>
    </row>
    <row r="8907" spans="2:4" ht="16" thickBot="1" x14ac:dyDescent="0.25">
      <c r="B8907" s="5">
        <v>8902</v>
      </c>
      <c r="C8907" s="11">
        <v>261.00949420344602</v>
      </c>
      <c r="D8907" s="42"/>
    </row>
    <row r="8908" spans="2:4" ht="16" thickBot="1" x14ac:dyDescent="0.25">
      <c r="B8908" s="4">
        <v>8903</v>
      </c>
      <c r="C8908" s="10">
        <v>796.5193190157097</v>
      </c>
      <c r="D8908" s="42"/>
    </row>
    <row r="8909" spans="2:4" ht="16" thickBot="1" x14ac:dyDescent="0.25">
      <c r="B8909" s="5">
        <v>8904</v>
      </c>
      <c r="C8909" s="11">
        <v>60.958239547111262</v>
      </c>
      <c r="D8909" s="42"/>
    </row>
    <row r="8910" spans="2:4" ht="16" thickBot="1" x14ac:dyDescent="0.25">
      <c r="B8910" s="4">
        <v>8905</v>
      </c>
      <c r="C8910" s="10">
        <v>158.28420248623016</v>
      </c>
      <c r="D8910" s="42"/>
    </row>
    <row r="8911" spans="2:4" ht="16" thickBot="1" x14ac:dyDescent="0.25">
      <c r="B8911" s="5">
        <v>8906</v>
      </c>
      <c r="C8911" s="11">
        <v>568.22556440430412</v>
      </c>
      <c r="D8911" s="42"/>
    </row>
    <row r="8912" spans="2:4" ht="16" thickBot="1" x14ac:dyDescent="0.25">
      <c r="B8912" s="4">
        <v>8907</v>
      </c>
      <c r="C8912" s="10">
        <v>271.22100004640458</v>
      </c>
      <c r="D8912" s="42"/>
    </row>
    <row r="8913" spans="2:4" ht="16" thickBot="1" x14ac:dyDescent="0.25">
      <c r="B8913" s="5">
        <v>8908</v>
      </c>
      <c r="C8913" s="11">
        <v>740.80173678196695</v>
      </c>
      <c r="D8913" s="42"/>
    </row>
    <row r="8914" spans="2:4" ht="16" thickBot="1" x14ac:dyDescent="0.25">
      <c r="B8914" s="4">
        <v>8909</v>
      </c>
      <c r="C8914" s="10">
        <v>285.96376273372971</v>
      </c>
      <c r="D8914" s="42"/>
    </row>
    <row r="8915" spans="2:4" ht="16" thickBot="1" x14ac:dyDescent="0.25">
      <c r="B8915" s="5">
        <v>8910</v>
      </c>
      <c r="C8915" s="11">
        <v>224.15578516023805</v>
      </c>
      <c r="D8915" s="42"/>
    </row>
    <row r="8916" spans="2:4" ht="16" thickBot="1" x14ac:dyDescent="0.25">
      <c r="B8916" s="4">
        <v>8911</v>
      </c>
      <c r="C8916" s="10">
        <v>210.78255453524639</v>
      </c>
      <c r="D8916" s="42"/>
    </row>
    <row r="8917" spans="2:4" ht="16" thickBot="1" x14ac:dyDescent="0.25">
      <c r="B8917" s="5">
        <v>8912</v>
      </c>
      <c r="C8917" s="11">
        <v>285.14307834720034</v>
      </c>
      <c r="D8917" s="42"/>
    </row>
    <row r="8918" spans="2:4" ht="16" thickBot="1" x14ac:dyDescent="0.25">
      <c r="B8918" s="4">
        <v>8913</v>
      </c>
      <c r="C8918" s="10">
        <v>143.00822711239479</v>
      </c>
      <c r="D8918" s="42"/>
    </row>
    <row r="8919" spans="2:4" ht="16" thickBot="1" x14ac:dyDescent="0.25">
      <c r="B8919" s="5">
        <v>8914</v>
      </c>
      <c r="C8919" s="11">
        <v>355.78687853772527</v>
      </c>
      <c r="D8919" s="42"/>
    </row>
    <row r="8920" spans="2:4" ht="16" thickBot="1" x14ac:dyDescent="0.25">
      <c r="B8920" s="4">
        <v>8915</v>
      </c>
      <c r="C8920" s="10">
        <v>233.01136358426587</v>
      </c>
      <c r="D8920" s="42"/>
    </row>
    <row r="8921" spans="2:4" ht="16" thickBot="1" x14ac:dyDescent="0.25">
      <c r="B8921" s="5">
        <v>8916</v>
      </c>
      <c r="C8921" s="11">
        <v>204.16688210824597</v>
      </c>
      <c r="D8921" s="42"/>
    </row>
    <row r="8922" spans="2:4" ht="16" thickBot="1" x14ac:dyDescent="0.25">
      <c r="B8922" s="4">
        <v>8917</v>
      </c>
      <c r="C8922" s="10">
        <v>412.41080405869491</v>
      </c>
      <c r="D8922" s="42"/>
    </row>
    <row r="8923" spans="2:4" ht="16" thickBot="1" x14ac:dyDescent="0.25">
      <c r="B8923" s="5">
        <v>8918</v>
      </c>
      <c r="C8923" s="11">
        <v>388.55549782883747</v>
      </c>
      <c r="D8923" s="42"/>
    </row>
    <row r="8924" spans="2:4" ht="16" thickBot="1" x14ac:dyDescent="0.25">
      <c r="B8924" s="4">
        <v>8919</v>
      </c>
      <c r="C8924" s="10">
        <v>382.61879282504941</v>
      </c>
      <c r="D8924" s="42"/>
    </row>
    <row r="8925" spans="2:4" ht="16" thickBot="1" x14ac:dyDescent="0.25">
      <c r="B8925" s="5">
        <v>8920</v>
      </c>
      <c r="C8925" s="11">
        <v>466.8428076779208</v>
      </c>
      <c r="D8925" s="42"/>
    </row>
    <row r="8926" spans="2:4" ht="16" thickBot="1" x14ac:dyDescent="0.25">
      <c r="B8926" s="4">
        <v>8921</v>
      </c>
      <c r="C8926" s="10">
        <v>264.49694647164841</v>
      </c>
      <c r="D8926" s="42"/>
    </row>
    <row r="8927" spans="2:4" ht="16" thickBot="1" x14ac:dyDescent="0.25">
      <c r="B8927" s="5">
        <v>8922</v>
      </c>
      <c r="C8927" s="11">
        <v>306.25225077228549</v>
      </c>
      <c r="D8927" s="42"/>
    </row>
    <row r="8928" spans="2:4" ht="16" thickBot="1" x14ac:dyDescent="0.25">
      <c r="B8928" s="4">
        <v>8923</v>
      </c>
      <c r="C8928" s="10">
        <v>337.27504879516562</v>
      </c>
      <c r="D8928" s="42"/>
    </row>
    <row r="8929" spans="2:4" ht="16" thickBot="1" x14ac:dyDescent="0.25">
      <c r="B8929" s="5">
        <v>8924</v>
      </c>
      <c r="C8929" s="11">
        <v>109.11363591252577</v>
      </c>
      <c r="D8929" s="42"/>
    </row>
    <row r="8930" spans="2:4" ht="16" thickBot="1" x14ac:dyDescent="0.25">
      <c r="B8930" s="4">
        <v>8925</v>
      </c>
      <c r="C8930" s="10">
        <v>84.919772459560605</v>
      </c>
      <c r="D8930" s="42"/>
    </row>
    <row r="8931" spans="2:4" ht="16" thickBot="1" x14ac:dyDescent="0.25">
      <c r="B8931" s="5">
        <v>8926</v>
      </c>
      <c r="C8931" s="11">
        <v>225.83198091660935</v>
      </c>
      <c r="D8931" s="42"/>
    </row>
    <row r="8932" spans="2:4" ht="16" thickBot="1" x14ac:dyDescent="0.25">
      <c r="B8932" s="4">
        <v>8927</v>
      </c>
      <c r="C8932" s="10">
        <v>473.32128138993704</v>
      </c>
      <c r="D8932" s="42"/>
    </row>
    <row r="8933" spans="2:4" ht="16" thickBot="1" x14ac:dyDescent="0.25">
      <c r="B8933" s="5">
        <v>8928</v>
      </c>
      <c r="C8933" s="11">
        <v>412.07590512949349</v>
      </c>
      <c r="D8933" s="42"/>
    </row>
    <row r="8934" spans="2:4" ht="16" thickBot="1" x14ac:dyDescent="0.25">
      <c r="B8934" s="4">
        <v>8929</v>
      </c>
      <c r="C8934" s="10">
        <v>64.082213228371913</v>
      </c>
      <c r="D8934" s="42"/>
    </row>
    <row r="8935" spans="2:4" ht="16" thickBot="1" x14ac:dyDescent="0.25">
      <c r="B8935" s="5">
        <v>8930</v>
      </c>
      <c r="C8935" s="11">
        <v>283.34680117448045</v>
      </c>
      <c r="D8935" s="42"/>
    </row>
    <row r="8936" spans="2:4" ht="16" thickBot="1" x14ac:dyDescent="0.25">
      <c r="B8936" s="4">
        <v>8931</v>
      </c>
      <c r="C8936" s="10">
        <v>77.519011641578004</v>
      </c>
      <c r="D8936" s="42"/>
    </row>
    <row r="8937" spans="2:4" ht="16" thickBot="1" x14ac:dyDescent="0.25">
      <c r="B8937" s="5">
        <v>8932</v>
      </c>
      <c r="C8937" s="11">
        <v>230.56893152483505</v>
      </c>
      <c r="D8937" s="42"/>
    </row>
    <row r="8938" spans="2:4" ht="16" thickBot="1" x14ac:dyDescent="0.25">
      <c r="B8938" s="4">
        <v>8933</v>
      </c>
      <c r="C8938" s="10">
        <v>169.14365477352882</v>
      </c>
      <c r="D8938" s="42"/>
    </row>
    <row r="8939" spans="2:4" ht="16" thickBot="1" x14ac:dyDescent="0.25">
      <c r="B8939" s="5">
        <v>8934</v>
      </c>
      <c r="C8939" s="11">
        <v>383.07170155710793</v>
      </c>
      <c r="D8939" s="42"/>
    </row>
    <row r="8940" spans="2:4" ht="16" thickBot="1" x14ac:dyDescent="0.25">
      <c r="B8940" s="4">
        <v>8935</v>
      </c>
      <c r="C8940" s="10">
        <v>398.31910441743844</v>
      </c>
      <c r="D8940" s="42"/>
    </row>
    <row r="8941" spans="2:4" ht="16" thickBot="1" x14ac:dyDescent="0.25">
      <c r="B8941" s="5">
        <v>8936</v>
      </c>
      <c r="C8941" s="11">
        <v>189.38798375632609</v>
      </c>
      <c r="D8941" s="42"/>
    </row>
    <row r="8942" spans="2:4" ht="16" thickBot="1" x14ac:dyDescent="0.25">
      <c r="B8942" s="4">
        <v>8937</v>
      </c>
      <c r="C8942" s="10">
        <v>135.36614264328321</v>
      </c>
      <c r="D8942" s="42"/>
    </row>
    <row r="8943" spans="2:4" ht="16" thickBot="1" x14ac:dyDescent="0.25">
      <c r="B8943" s="5">
        <v>8938</v>
      </c>
      <c r="C8943" s="11">
        <v>585.78568402779854</v>
      </c>
      <c r="D8943" s="42"/>
    </row>
    <row r="8944" spans="2:4" ht="16" thickBot="1" x14ac:dyDescent="0.25">
      <c r="B8944" s="4">
        <v>8939</v>
      </c>
      <c r="C8944" s="10">
        <v>139.92469133416961</v>
      </c>
      <c r="D8944" s="42"/>
    </row>
    <row r="8945" spans="2:4" ht="16" thickBot="1" x14ac:dyDescent="0.25">
      <c r="B8945" s="5">
        <v>8940</v>
      </c>
      <c r="C8945" s="11">
        <v>106.49294879171097</v>
      </c>
      <c r="D8945" s="42"/>
    </row>
    <row r="8946" spans="2:4" ht="16" thickBot="1" x14ac:dyDescent="0.25">
      <c r="B8946" s="4">
        <v>8941</v>
      </c>
      <c r="C8946" s="10">
        <v>28.547313097467768</v>
      </c>
      <c r="D8946" s="42"/>
    </row>
    <row r="8947" spans="2:4" ht="16" thickBot="1" x14ac:dyDescent="0.25">
      <c r="B8947" s="5">
        <v>8942</v>
      </c>
      <c r="C8947" s="11">
        <v>331.9907303254592</v>
      </c>
      <c r="D8947" s="42"/>
    </row>
    <row r="8948" spans="2:4" ht="16" thickBot="1" x14ac:dyDescent="0.25">
      <c r="B8948" s="4">
        <v>8943</v>
      </c>
      <c r="C8948" s="10">
        <v>247.6045975229213</v>
      </c>
      <c r="D8948" s="42"/>
    </row>
    <row r="8949" spans="2:4" ht="16" thickBot="1" x14ac:dyDescent="0.25">
      <c r="B8949" s="5">
        <v>8944</v>
      </c>
      <c r="C8949" s="11">
        <v>605.54700431815183</v>
      </c>
      <c r="D8949" s="42"/>
    </row>
    <row r="8950" spans="2:4" ht="16" thickBot="1" x14ac:dyDescent="0.25">
      <c r="B8950" s="4">
        <v>8945</v>
      </c>
      <c r="C8950" s="10">
        <v>636.53476792664731</v>
      </c>
      <c r="D8950" s="42"/>
    </row>
    <row r="8951" spans="2:4" ht="16" thickBot="1" x14ac:dyDescent="0.25">
      <c r="B8951" s="5">
        <v>8946</v>
      </c>
      <c r="C8951" s="11">
        <v>482.11209631266024</v>
      </c>
      <c r="D8951" s="42"/>
    </row>
    <row r="8952" spans="2:4" ht="16" thickBot="1" x14ac:dyDescent="0.25">
      <c r="B8952" s="4">
        <v>8947</v>
      </c>
      <c r="C8952" s="10">
        <v>224.02496013515974</v>
      </c>
      <c r="D8952" s="42"/>
    </row>
    <row r="8953" spans="2:4" ht="16" thickBot="1" x14ac:dyDescent="0.25">
      <c r="B8953" s="5">
        <v>8948</v>
      </c>
      <c r="C8953" s="11">
        <v>211.21289438662049</v>
      </c>
      <c r="D8953" s="42"/>
    </row>
    <row r="8954" spans="2:4" ht="16" thickBot="1" x14ac:dyDescent="0.25">
      <c r="B8954" s="4">
        <v>8949</v>
      </c>
      <c r="C8954" s="10">
        <v>277.04076599015644</v>
      </c>
      <c r="D8954" s="42"/>
    </row>
    <row r="8955" spans="2:4" ht="16" thickBot="1" x14ac:dyDescent="0.25">
      <c r="B8955" s="5">
        <v>8950</v>
      </c>
      <c r="C8955" s="11">
        <v>673.64134355601516</v>
      </c>
      <c r="D8955" s="42"/>
    </row>
    <row r="8956" spans="2:4" ht="16" thickBot="1" x14ac:dyDescent="0.25">
      <c r="B8956" s="4">
        <v>8951</v>
      </c>
      <c r="C8956" s="10">
        <v>146.75094756561069</v>
      </c>
      <c r="D8956" s="42"/>
    </row>
    <row r="8957" spans="2:4" ht="16" thickBot="1" x14ac:dyDescent="0.25">
      <c r="B8957" s="5">
        <v>8952</v>
      </c>
      <c r="C8957" s="11">
        <v>346.579966964861</v>
      </c>
      <c r="D8957" s="42"/>
    </row>
    <row r="8958" spans="2:4" ht="16" thickBot="1" x14ac:dyDescent="0.25">
      <c r="B8958" s="4">
        <v>8953</v>
      </c>
      <c r="C8958" s="10">
        <v>311.13294352657562</v>
      </c>
      <c r="D8958" s="42"/>
    </row>
    <row r="8959" spans="2:4" ht="16" thickBot="1" x14ac:dyDescent="0.25">
      <c r="B8959" s="5">
        <v>8954</v>
      </c>
      <c r="C8959" s="11">
        <v>217.03596486797014</v>
      </c>
      <c r="D8959" s="42"/>
    </row>
    <row r="8960" spans="2:4" ht="16" thickBot="1" x14ac:dyDescent="0.25">
      <c r="B8960" s="4">
        <v>8955</v>
      </c>
      <c r="C8960" s="10">
        <v>209.9548864498924</v>
      </c>
      <c r="D8960" s="42"/>
    </row>
    <row r="8961" spans="2:4" ht="16" thickBot="1" x14ac:dyDescent="0.25">
      <c r="B8961" s="5">
        <v>8956</v>
      </c>
      <c r="C8961" s="11">
        <v>306.33575256229722</v>
      </c>
      <c r="D8961" s="42"/>
    </row>
    <row r="8962" spans="2:4" ht="16" thickBot="1" x14ac:dyDescent="0.25">
      <c r="B8962" s="4">
        <v>8957</v>
      </c>
      <c r="C8962" s="10">
        <v>711.1999047228345</v>
      </c>
      <c r="D8962" s="42"/>
    </row>
    <row r="8963" spans="2:4" ht="16" thickBot="1" x14ac:dyDescent="0.25">
      <c r="B8963" s="5">
        <v>8958</v>
      </c>
      <c r="C8963" s="11">
        <v>408.10532007394994</v>
      </c>
      <c r="D8963" s="42"/>
    </row>
    <row r="8964" spans="2:4" ht="16" thickBot="1" x14ac:dyDescent="0.25">
      <c r="B8964" s="4">
        <v>8959</v>
      </c>
      <c r="C8964" s="10">
        <v>187.41437011990681</v>
      </c>
      <c r="D8964" s="42"/>
    </row>
    <row r="8965" spans="2:4" ht="16" thickBot="1" x14ac:dyDescent="0.25">
      <c r="B8965" s="5">
        <v>8960</v>
      </c>
      <c r="C8965" s="11">
        <v>196.47536002709984</v>
      </c>
      <c r="D8965" s="42"/>
    </row>
    <row r="8966" spans="2:4" ht="16" thickBot="1" x14ac:dyDescent="0.25">
      <c r="B8966" s="4">
        <v>8961</v>
      </c>
      <c r="C8966" s="10">
        <v>239.20688777921433</v>
      </c>
      <c r="D8966" s="42"/>
    </row>
    <row r="8967" spans="2:4" ht="16" thickBot="1" x14ac:dyDescent="0.25">
      <c r="B8967" s="5">
        <v>8962</v>
      </c>
      <c r="C8967" s="11">
        <v>254.24460331360649</v>
      </c>
      <c r="D8967" s="42"/>
    </row>
    <row r="8968" spans="2:4" ht="16" thickBot="1" x14ac:dyDescent="0.25">
      <c r="B8968" s="4">
        <v>8963</v>
      </c>
      <c r="C8968" s="10">
        <v>135.51405711621786</v>
      </c>
      <c r="D8968" s="42"/>
    </row>
    <row r="8969" spans="2:4" ht="16" thickBot="1" x14ac:dyDescent="0.25">
      <c r="B8969" s="5">
        <v>8964</v>
      </c>
      <c r="C8969" s="11">
        <v>98.440400666492593</v>
      </c>
      <c r="D8969" s="42"/>
    </row>
    <row r="8970" spans="2:4" ht="16" thickBot="1" x14ac:dyDescent="0.25">
      <c r="B8970" s="4">
        <v>8965</v>
      </c>
      <c r="C8970" s="10">
        <v>250.27357602334581</v>
      </c>
      <c r="D8970" s="42"/>
    </row>
    <row r="8971" spans="2:4" ht="16" thickBot="1" x14ac:dyDescent="0.25">
      <c r="B8971" s="5">
        <v>8966</v>
      </c>
      <c r="C8971" s="11">
        <v>289.03858470592911</v>
      </c>
      <c r="D8971" s="42"/>
    </row>
    <row r="8972" spans="2:4" ht="16" thickBot="1" x14ac:dyDescent="0.25">
      <c r="B8972" s="4">
        <v>8967</v>
      </c>
      <c r="C8972" s="10">
        <v>268.49004084095571</v>
      </c>
      <c r="D8972" s="42"/>
    </row>
    <row r="8973" spans="2:4" ht="16" thickBot="1" x14ac:dyDescent="0.25">
      <c r="B8973" s="5">
        <v>8968</v>
      </c>
      <c r="C8973" s="11">
        <v>328.90515603833052</v>
      </c>
      <c r="D8973" s="42"/>
    </row>
    <row r="8974" spans="2:4" ht="16" thickBot="1" x14ac:dyDescent="0.25">
      <c r="B8974" s="4">
        <v>8969</v>
      </c>
      <c r="C8974" s="10">
        <v>75.815858949459567</v>
      </c>
      <c r="D8974" s="42"/>
    </row>
    <row r="8975" spans="2:4" ht="16" thickBot="1" x14ac:dyDescent="0.25">
      <c r="B8975" s="5">
        <v>8970</v>
      </c>
      <c r="C8975" s="11">
        <v>273.25655886856708</v>
      </c>
      <c r="D8975" s="42"/>
    </row>
    <row r="8976" spans="2:4" ht="16" thickBot="1" x14ac:dyDescent="0.25">
      <c r="B8976" s="4">
        <v>8971</v>
      </c>
      <c r="C8976" s="10">
        <v>178.92692948315852</v>
      </c>
      <c r="D8976" s="42"/>
    </row>
    <row r="8977" spans="2:4" ht="16" thickBot="1" x14ac:dyDescent="0.25">
      <c r="B8977" s="5">
        <v>8972</v>
      </c>
      <c r="C8977" s="11">
        <v>374.60450581541568</v>
      </c>
      <c r="D8977" s="42"/>
    </row>
    <row r="8978" spans="2:4" ht="16" thickBot="1" x14ac:dyDescent="0.25">
      <c r="B8978" s="4">
        <v>8973</v>
      </c>
      <c r="C8978" s="10">
        <v>133.89956923765263</v>
      </c>
      <c r="D8978" s="42"/>
    </row>
    <row r="8979" spans="2:4" ht="16" thickBot="1" x14ac:dyDescent="0.25">
      <c r="B8979" s="5">
        <v>8974</v>
      </c>
      <c r="C8979" s="11">
        <v>561.30936861832004</v>
      </c>
      <c r="D8979" s="42"/>
    </row>
    <row r="8980" spans="2:4" ht="16" thickBot="1" x14ac:dyDescent="0.25">
      <c r="B8980" s="4">
        <v>8975</v>
      </c>
      <c r="C8980" s="10">
        <v>445.54572152003789</v>
      </c>
      <c r="D8980" s="42"/>
    </row>
    <row r="8981" spans="2:4" ht="16" thickBot="1" x14ac:dyDescent="0.25">
      <c r="B8981" s="5">
        <v>8976</v>
      </c>
      <c r="C8981" s="11">
        <v>449.82489077756759</v>
      </c>
      <c r="D8981" s="42"/>
    </row>
    <row r="8982" spans="2:4" ht="16" thickBot="1" x14ac:dyDescent="0.25">
      <c r="B8982" s="4">
        <v>8977</v>
      </c>
      <c r="C8982" s="10">
        <v>436.19415172940171</v>
      </c>
      <c r="D8982" s="42"/>
    </row>
    <row r="8983" spans="2:4" ht="16" thickBot="1" x14ac:dyDescent="0.25">
      <c r="B8983" s="5">
        <v>8978</v>
      </c>
      <c r="C8983" s="11">
        <v>208.08821262344924</v>
      </c>
      <c r="D8983" s="42"/>
    </row>
    <row r="8984" spans="2:4" ht="16" thickBot="1" x14ac:dyDescent="0.25">
      <c r="B8984" s="4">
        <v>8979</v>
      </c>
      <c r="C8984" s="10">
        <v>110.5913251168157</v>
      </c>
      <c r="D8984" s="42"/>
    </row>
    <row r="8985" spans="2:4" ht="16" thickBot="1" x14ac:dyDescent="0.25">
      <c r="B8985" s="5">
        <v>8980</v>
      </c>
      <c r="C8985" s="11">
        <v>170.68130440394827</v>
      </c>
      <c r="D8985" s="42"/>
    </row>
    <row r="8986" spans="2:4" ht="16" thickBot="1" x14ac:dyDescent="0.25">
      <c r="B8986" s="4">
        <v>8981</v>
      </c>
      <c r="C8986" s="10">
        <v>388.79773264429798</v>
      </c>
      <c r="D8986" s="42"/>
    </row>
    <row r="8987" spans="2:4" ht="16" thickBot="1" x14ac:dyDescent="0.25">
      <c r="B8987" s="5">
        <v>8982</v>
      </c>
      <c r="C8987" s="11">
        <v>319.64457093998686</v>
      </c>
      <c r="D8987" s="42"/>
    </row>
    <row r="8988" spans="2:4" ht="16" thickBot="1" x14ac:dyDescent="0.25">
      <c r="B8988" s="4">
        <v>8983</v>
      </c>
      <c r="C8988" s="10">
        <v>119.62768350904533</v>
      </c>
      <c r="D8988" s="42"/>
    </row>
    <row r="8989" spans="2:4" ht="16" thickBot="1" x14ac:dyDescent="0.25">
      <c r="B8989" s="5">
        <v>8984</v>
      </c>
      <c r="C8989" s="11">
        <v>160.32351347634139</v>
      </c>
      <c r="D8989" s="42"/>
    </row>
    <row r="8990" spans="2:4" ht="16" thickBot="1" x14ac:dyDescent="0.25">
      <c r="B8990" s="4">
        <v>8985</v>
      </c>
      <c r="C8990" s="10">
        <v>375.4687451221331</v>
      </c>
      <c r="D8990" s="42"/>
    </row>
    <row r="8991" spans="2:4" ht="16" thickBot="1" x14ac:dyDescent="0.25">
      <c r="B8991" s="5">
        <v>8986</v>
      </c>
      <c r="C8991" s="11">
        <v>222.02097078491315</v>
      </c>
      <c r="D8991" s="42"/>
    </row>
    <row r="8992" spans="2:4" ht="16" thickBot="1" x14ac:dyDescent="0.25">
      <c r="B8992" s="4">
        <v>8987</v>
      </c>
      <c r="C8992" s="10">
        <v>353.3656471843276</v>
      </c>
      <c r="D8992" s="42"/>
    </row>
    <row r="8993" spans="2:4" ht="16" thickBot="1" x14ac:dyDescent="0.25">
      <c r="B8993" s="5">
        <v>8988</v>
      </c>
      <c r="C8993" s="11">
        <v>448.41616470430733</v>
      </c>
      <c r="D8993" s="42"/>
    </row>
    <row r="8994" spans="2:4" ht="16" thickBot="1" x14ac:dyDescent="0.25">
      <c r="B8994" s="4">
        <v>8989</v>
      </c>
      <c r="C8994" s="10">
        <v>353.41102902730722</v>
      </c>
      <c r="D8994" s="42"/>
    </row>
    <row r="8995" spans="2:4" ht="16" thickBot="1" x14ac:dyDescent="0.25">
      <c r="B8995" s="5">
        <v>8990</v>
      </c>
      <c r="C8995" s="11">
        <v>353.49541721127531</v>
      </c>
      <c r="D8995" s="42"/>
    </row>
    <row r="8996" spans="2:4" ht="16" thickBot="1" x14ac:dyDescent="0.25">
      <c r="B8996" s="4">
        <v>8991</v>
      </c>
      <c r="C8996" s="10">
        <v>358.18323247129405</v>
      </c>
      <c r="D8996" s="42"/>
    </row>
    <row r="8997" spans="2:4" ht="16" thickBot="1" x14ac:dyDescent="0.25">
      <c r="B8997" s="5">
        <v>8992</v>
      </c>
      <c r="C8997" s="11">
        <v>314.5208821075546</v>
      </c>
      <c r="D8997" s="42"/>
    </row>
    <row r="8998" spans="2:4" ht="16" thickBot="1" x14ac:dyDescent="0.25">
      <c r="B8998" s="4">
        <v>8993</v>
      </c>
      <c r="C8998" s="10">
        <v>320.74679567669847</v>
      </c>
      <c r="D8998" s="42"/>
    </row>
    <row r="8999" spans="2:4" ht="16" thickBot="1" x14ac:dyDescent="0.25">
      <c r="B8999" s="5">
        <v>8994</v>
      </c>
      <c r="C8999" s="11">
        <v>224.50112982665163</v>
      </c>
      <c r="D8999" s="42"/>
    </row>
    <row r="9000" spans="2:4" ht="16" thickBot="1" x14ac:dyDescent="0.25">
      <c r="B9000" s="4">
        <v>8995</v>
      </c>
      <c r="C9000" s="10">
        <v>311.34828394006439</v>
      </c>
      <c r="D9000" s="42"/>
    </row>
    <row r="9001" spans="2:4" ht="16" thickBot="1" x14ac:dyDescent="0.25">
      <c r="B9001" s="5">
        <v>8996</v>
      </c>
      <c r="C9001" s="11">
        <v>248.60977533644405</v>
      </c>
      <c r="D9001" s="42"/>
    </row>
    <row r="9002" spans="2:4" ht="16" thickBot="1" x14ac:dyDescent="0.25">
      <c r="B9002" s="4">
        <v>8997</v>
      </c>
      <c r="C9002" s="10">
        <v>163.40126852620776</v>
      </c>
      <c r="D9002" s="42"/>
    </row>
    <row r="9003" spans="2:4" ht="16" thickBot="1" x14ac:dyDescent="0.25">
      <c r="B9003" s="5">
        <v>8998</v>
      </c>
      <c r="C9003" s="11">
        <v>954.67309736090044</v>
      </c>
      <c r="D9003" s="42"/>
    </row>
    <row r="9004" spans="2:4" ht="16" thickBot="1" x14ac:dyDescent="0.25">
      <c r="B9004" s="4">
        <v>8999</v>
      </c>
      <c r="C9004" s="10">
        <v>84.265236432758911</v>
      </c>
      <c r="D9004" s="42"/>
    </row>
    <row r="9005" spans="2:4" ht="16" thickBot="1" x14ac:dyDescent="0.25">
      <c r="B9005" s="5">
        <v>9000</v>
      </c>
      <c r="C9005" s="11">
        <v>440.67584058485755</v>
      </c>
      <c r="D9005" s="42"/>
    </row>
    <row r="9006" spans="2:4" ht="16" thickBot="1" x14ac:dyDescent="0.25">
      <c r="B9006" s="4">
        <v>9001</v>
      </c>
      <c r="C9006" s="10">
        <v>103.89112671547663</v>
      </c>
      <c r="D9006" s="42"/>
    </row>
    <row r="9007" spans="2:4" ht="16" thickBot="1" x14ac:dyDescent="0.25">
      <c r="B9007" s="5">
        <v>9002</v>
      </c>
      <c r="C9007" s="11">
        <v>90.144667400124291</v>
      </c>
      <c r="D9007" s="42"/>
    </row>
    <row r="9008" spans="2:4" ht="16" thickBot="1" x14ac:dyDescent="0.25">
      <c r="B9008" s="4">
        <v>9003</v>
      </c>
      <c r="C9008" s="10">
        <v>408.21336124369628</v>
      </c>
      <c r="D9008" s="42"/>
    </row>
    <row r="9009" spans="2:4" ht="16" thickBot="1" x14ac:dyDescent="0.25">
      <c r="B9009" s="5">
        <v>9004</v>
      </c>
      <c r="C9009" s="11">
        <v>101.1742332148453</v>
      </c>
      <c r="D9009" s="42"/>
    </row>
    <row r="9010" spans="2:4" ht="16" thickBot="1" x14ac:dyDescent="0.25">
      <c r="B9010" s="4">
        <v>9005</v>
      </c>
      <c r="C9010" s="10">
        <v>160.93824523039143</v>
      </c>
      <c r="D9010" s="42"/>
    </row>
    <row r="9011" spans="2:4" ht="16" thickBot="1" x14ac:dyDescent="0.25">
      <c r="B9011" s="5">
        <v>9006</v>
      </c>
      <c r="C9011" s="11">
        <v>312.71000104783371</v>
      </c>
      <c r="D9011" s="42"/>
    </row>
    <row r="9012" spans="2:4" ht="16" thickBot="1" x14ac:dyDescent="0.25">
      <c r="B9012" s="4">
        <v>9007</v>
      </c>
      <c r="C9012" s="10">
        <v>347.27128491464782</v>
      </c>
      <c r="D9012" s="42"/>
    </row>
    <row r="9013" spans="2:4" ht="16" thickBot="1" x14ac:dyDescent="0.25">
      <c r="B9013" s="5">
        <v>9008</v>
      </c>
      <c r="C9013" s="11">
        <v>385.53258051921489</v>
      </c>
      <c r="D9013" s="42"/>
    </row>
    <row r="9014" spans="2:4" ht="16" thickBot="1" x14ac:dyDescent="0.25">
      <c r="B9014" s="4">
        <v>9009</v>
      </c>
      <c r="C9014" s="10">
        <v>161.02337822320541</v>
      </c>
      <c r="D9014" s="42"/>
    </row>
    <row r="9015" spans="2:4" ht="16" thickBot="1" x14ac:dyDescent="0.25">
      <c r="B9015" s="5">
        <v>9010</v>
      </c>
      <c r="C9015" s="11">
        <v>120.45406898919707</v>
      </c>
      <c r="D9015" s="42"/>
    </row>
    <row r="9016" spans="2:4" ht="16" thickBot="1" x14ac:dyDescent="0.25">
      <c r="B9016" s="4">
        <v>9011</v>
      </c>
      <c r="C9016" s="10">
        <v>206.22043162784678</v>
      </c>
      <c r="D9016" s="42"/>
    </row>
    <row r="9017" spans="2:4" ht="16" thickBot="1" x14ac:dyDescent="0.25">
      <c r="B9017" s="5">
        <v>9012</v>
      </c>
      <c r="C9017" s="11">
        <v>319.65939552228491</v>
      </c>
      <c r="D9017" s="42"/>
    </row>
    <row r="9018" spans="2:4" ht="16" thickBot="1" x14ac:dyDescent="0.25">
      <c r="B9018" s="4">
        <v>9013</v>
      </c>
      <c r="C9018" s="10">
        <v>176.22559344476139</v>
      </c>
      <c r="D9018" s="42"/>
    </row>
    <row r="9019" spans="2:4" ht="16" thickBot="1" x14ac:dyDescent="0.25">
      <c r="B9019" s="5">
        <v>9014</v>
      </c>
      <c r="C9019" s="11">
        <v>301.59935542394595</v>
      </c>
      <c r="D9019" s="42"/>
    </row>
    <row r="9020" spans="2:4" ht="16" thickBot="1" x14ac:dyDescent="0.25">
      <c r="B9020" s="4">
        <v>9015</v>
      </c>
      <c r="C9020" s="10">
        <v>333.06858555470927</v>
      </c>
      <c r="D9020" s="42"/>
    </row>
    <row r="9021" spans="2:4" ht="16" thickBot="1" x14ac:dyDescent="0.25">
      <c r="B9021" s="5">
        <v>9016</v>
      </c>
      <c r="C9021" s="11">
        <v>681.54317740917395</v>
      </c>
      <c r="D9021" s="42"/>
    </row>
    <row r="9022" spans="2:4" ht="16" thickBot="1" x14ac:dyDescent="0.25">
      <c r="B9022" s="4">
        <v>9017</v>
      </c>
      <c r="C9022" s="10">
        <v>130.32409541820363</v>
      </c>
      <c r="D9022" s="42"/>
    </row>
    <row r="9023" spans="2:4" ht="16" thickBot="1" x14ac:dyDescent="0.25">
      <c r="B9023" s="5">
        <v>9018</v>
      </c>
      <c r="C9023" s="11">
        <v>203.1076834327138</v>
      </c>
      <c r="D9023" s="42"/>
    </row>
    <row r="9024" spans="2:4" ht="16" thickBot="1" x14ac:dyDescent="0.25">
      <c r="B9024" s="4">
        <v>9019</v>
      </c>
      <c r="C9024" s="10">
        <v>261.15765250838797</v>
      </c>
      <c r="D9024" s="42"/>
    </row>
    <row r="9025" spans="2:4" ht="16" thickBot="1" x14ac:dyDescent="0.25">
      <c r="B9025" s="5">
        <v>9020</v>
      </c>
      <c r="C9025" s="11">
        <v>86.275148937368115</v>
      </c>
      <c r="D9025" s="42"/>
    </row>
    <row r="9026" spans="2:4" ht="16" thickBot="1" x14ac:dyDescent="0.25">
      <c r="B9026" s="4">
        <v>9021</v>
      </c>
      <c r="C9026" s="10">
        <v>78.150045815541461</v>
      </c>
      <c r="D9026" s="42"/>
    </row>
    <row r="9027" spans="2:4" ht="16" thickBot="1" x14ac:dyDescent="0.25">
      <c r="B9027" s="5">
        <v>9022</v>
      </c>
      <c r="C9027" s="11">
        <v>284.28792248191507</v>
      </c>
      <c r="D9027" s="42"/>
    </row>
    <row r="9028" spans="2:4" ht="16" thickBot="1" x14ac:dyDescent="0.25">
      <c r="B9028" s="4">
        <v>9023</v>
      </c>
      <c r="C9028" s="10">
        <v>195.6455078536903</v>
      </c>
      <c r="D9028" s="42"/>
    </row>
    <row r="9029" spans="2:4" ht="16" thickBot="1" x14ac:dyDescent="0.25">
      <c r="B9029" s="5">
        <v>9024</v>
      </c>
      <c r="C9029" s="11">
        <v>229.42027220706134</v>
      </c>
      <c r="D9029" s="42"/>
    </row>
    <row r="9030" spans="2:4" ht="16" thickBot="1" x14ac:dyDescent="0.25">
      <c r="B9030" s="4">
        <v>9025</v>
      </c>
      <c r="C9030" s="10">
        <v>166.50075524693241</v>
      </c>
      <c r="D9030" s="42"/>
    </row>
    <row r="9031" spans="2:4" ht="16" thickBot="1" x14ac:dyDescent="0.25">
      <c r="B9031" s="5">
        <v>9026</v>
      </c>
      <c r="C9031" s="11">
        <v>65.580923418018017</v>
      </c>
      <c r="D9031" s="42"/>
    </row>
    <row r="9032" spans="2:4" ht="16" thickBot="1" x14ac:dyDescent="0.25">
      <c r="B9032" s="4">
        <v>9027</v>
      </c>
      <c r="C9032" s="10">
        <v>408.31308344011484</v>
      </c>
      <c r="D9032" s="42"/>
    </row>
    <row r="9033" spans="2:4" ht="16" thickBot="1" x14ac:dyDescent="0.25">
      <c r="B9033" s="5">
        <v>9028</v>
      </c>
      <c r="C9033" s="11">
        <v>437.31989741303579</v>
      </c>
      <c r="D9033" s="42"/>
    </row>
    <row r="9034" spans="2:4" ht="16" thickBot="1" x14ac:dyDescent="0.25">
      <c r="B9034" s="4">
        <v>9029</v>
      </c>
      <c r="C9034" s="10">
        <v>159.60750764704136</v>
      </c>
      <c r="D9034" s="42"/>
    </row>
    <row r="9035" spans="2:4" ht="16" thickBot="1" x14ac:dyDescent="0.25">
      <c r="B9035" s="5">
        <v>9030</v>
      </c>
      <c r="C9035" s="11">
        <v>198.80764287680717</v>
      </c>
      <c r="D9035" s="42"/>
    </row>
    <row r="9036" spans="2:4" ht="16" thickBot="1" x14ac:dyDescent="0.25">
      <c r="B9036" s="4">
        <v>9031</v>
      </c>
      <c r="C9036" s="10">
        <v>385.91751906031948</v>
      </c>
      <c r="D9036" s="42"/>
    </row>
    <row r="9037" spans="2:4" ht="16" thickBot="1" x14ac:dyDescent="0.25">
      <c r="B9037" s="5">
        <v>9032</v>
      </c>
      <c r="C9037" s="11">
        <v>98.400473725895665</v>
      </c>
      <c r="D9037" s="42"/>
    </row>
    <row r="9038" spans="2:4" ht="16" thickBot="1" x14ac:dyDescent="0.25">
      <c r="B9038" s="4">
        <v>9033</v>
      </c>
      <c r="C9038" s="10">
        <v>514.11701433236931</v>
      </c>
      <c r="D9038" s="42"/>
    </row>
    <row r="9039" spans="2:4" ht="16" thickBot="1" x14ac:dyDescent="0.25">
      <c r="B9039" s="5">
        <v>9034</v>
      </c>
      <c r="C9039" s="11">
        <v>30.450306269499034</v>
      </c>
      <c r="D9039" s="42"/>
    </row>
    <row r="9040" spans="2:4" ht="16" thickBot="1" x14ac:dyDescent="0.25">
      <c r="B9040" s="4">
        <v>9035</v>
      </c>
      <c r="C9040" s="10">
        <v>347.78532915752237</v>
      </c>
      <c r="D9040" s="42"/>
    </row>
    <row r="9041" spans="2:4" ht="16" thickBot="1" x14ac:dyDescent="0.25">
      <c r="B9041" s="5">
        <v>9036</v>
      </c>
      <c r="C9041" s="11">
        <v>185.22358044241989</v>
      </c>
      <c r="D9041" s="42"/>
    </row>
    <row r="9042" spans="2:4" ht="16" thickBot="1" x14ac:dyDescent="0.25">
      <c r="B9042" s="4">
        <v>9037</v>
      </c>
      <c r="C9042" s="10">
        <v>358.70626919162532</v>
      </c>
      <c r="D9042" s="42"/>
    </row>
    <row r="9043" spans="2:4" ht="16" thickBot="1" x14ac:dyDescent="0.25">
      <c r="B9043" s="5">
        <v>9038</v>
      </c>
      <c r="C9043" s="11">
        <v>443.42863078105051</v>
      </c>
      <c r="D9043" s="42"/>
    </row>
    <row r="9044" spans="2:4" ht="16" thickBot="1" x14ac:dyDescent="0.25">
      <c r="B9044" s="4">
        <v>9039</v>
      </c>
      <c r="C9044" s="10">
        <v>619.73031865383905</v>
      </c>
      <c r="D9044" s="42"/>
    </row>
    <row r="9045" spans="2:4" ht="16" thickBot="1" x14ac:dyDescent="0.25">
      <c r="B9045" s="5">
        <v>9040</v>
      </c>
      <c r="C9045" s="11">
        <v>127.57605656696603</v>
      </c>
      <c r="D9045" s="42"/>
    </row>
    <row r="9046" spans="2:4" ht="16" thickBot="1" x14ac:dyDescent="0.25">
      <c r="B9046" s="4">
        <v>9041</v>
      </c>
      <c r="C9046" s="10">
        <v>433.88500251359517</v>
      </c>
      <c r="D9046" s="42"/>
    </row>
    <row r="9047" spans="2:4" ht="16" thickBot="1" x14ac:dyDescent="0.25">
      <c r="B9047" s="5">
        <v>9042</v>
      </c>
      <c r="C9047" s="11">
        <v>193.37350118268333</v>
      </c>
      <c r="D9047" s="42"/>
    </row>
    <row r="9048" spans="2:4" ht="16" thickBot="1" x14ac:dyDescent="0.25">
      <c r="B9048" s="4">
        <v>9043</v>
      </c>
      <c r="C9048" s="10">
        <v>152.56245207463476</v>
      </c>
      <c r="D9048" s="42"/>
    </row>
    <row r="9049" spans="2:4" ht="16" thickBot="1" x14ac:dyDescent="0.25">
      <c r="B9049" s="5">
        <v>9044</v>
      </c>
      <c r="C9049" s="11">
        <v>266.13870152484208</v>
      </c>
      <c r="D9049" s="42"/>
    </row>
    <row r="9050" spans="2:4" ht="16" thickBot="1" x14ac:dyDescent="0.25">
      <c r="B9050" s="4">
        <v>9045</v>
      </c>
      <c r="C9050" s="10">
        <v>225.43147360151579</v>
      </c>
      <c r="D9050" s="42"/>
    </row>
    <row r="9051" spans="2:4" ht="16" thickBot="1" x14ac:dyDescent="0.25">
      <c r="B9051" s="5">
        <v>9046</v>
      </c>
      <c r="C9051" s="11">
        <v>138.0988785530883</v>
      </c>
      <c r="D9051" s="42"/>
    </row>
    <row r="9052" spans="2:4" ht="16" thickBot="1" x14ac:dyDescent="0.25">
      <c r="B9052" s="4">
        <v>9047</v>
      </c>
      <c r="C9052" s="10">
        <v>130.19512023793104</v>
      </c>
      <c r="D9052" s="42"/>
    </row>
    <row r="9053" spans="2:4" ht="16" thickBot="1" x14ac:dyDescent="0.25">
      <c r="B9053" s="5">
        <v>9048</v>
      </c>
      <c r="C9053" s="11">
        <v>213.69315712588389</v>
      </c>
      <c r="D9053" s="42"/>
    </row>
    <row r="9054" spans="2:4" ht="16" thickBot="1" x14ac:dyDescent="0.25">
      <c r="B9054" s="4">
        <v>9049</v>
      </c>
      <c r="C9054" s="10">
        <v>353.9895440379313</v>
      </c>
      <c r="D9054" s="42"/>
    </row>
    <row r="9055" spans="2:4" ht="16" thickBot="1" x14ac:dyDescent="0.25">
      <c r="B9055" s="5">
        <v>9050</v>
      </c>
      <c r="C9055" s="11">
        <v>168.49607704142045</v>
      </c>
      <c r="D9055" s="42"/>
    </row>
    <row r="9056" spans="2:4" ht="16" thickBot="1" x14ac:dyDescent="0.25">
      <c r="B9056" s="4">
        <v>9051</v>
      </c>
      <c r="C9056" s="10">
        <v>42.167185711848425</v>
      </c>
      <c r="D9056" s="42"/>
    </row>
    <row r="9057" spans="2:4" ht="16" thickBot="1" x14ac:dyDescent="0.25">
      <c r="B9057" s="5">
        <v>9052</v>
      </c>
      <c r="C9057" s="11">
        <v>94.04867887287736</v>
      </c>
      <c r="D9057" s="42"/>
    </row>
    <row r="9058" spans="2:4" ht="16" thickBot="1" x14ac:dyDescent="0.25">
      <c r="B9058" s="4">
        <v>9053</v>
      </c>
      <c r="C9058" s="10">
        <v>285.63443965088254</v>
      </c>
      <c r="D9058" s="42"/>
    </row>
    <row r="9059" spans="2:4" ht="16" thickBot="1" x14ac:dyDescent="0.25">
      <c r="B9059" s="5">
        <v>9054</v>
      </c>
      <c r="C9059" s="11">
        <v>467.178782444121</v>
      </c>
      <c r="D9059" s="42"/>
    </row>
    <row r="9060" spans="2:4" ht="16" thickBot="1" x14ac:dyDescent="0.25">
      <c r="B9060" s="4">
        <v>9055</v>
      </c>
      <c r="C9060" s="10">
        <v>116.69577635043852</v>
      </c>
      <c r="D9060" s="42"/>
    </row>
    <row r="9061" spans="2:4" ht="16" thickBot="1" x14ac:dyDescent="0.25">
      <c r="B9061" s="5">
        <v>9056</v>
      </c>
      <c r="C9061" s="11">
        <v>380.93837827465569</v>
      </c>
      <c r="D9061" s="42"/>
    </row>
    <row r="9062" spans="2:4" ht="16" thickBot="1" x14ac:dyDescent="0.25">
      <c r="B9062" s="4">
        <v>9057</v>
      </c>
      <c r="C9062" s="10">
        <v>94.166681420841584</v>
      </c>
      <c r="D9062" s="42"/>
    </row>
    <row r="9063" spans="2:4" ht="16" thickBot="1" x14ac:dyDescent="0.25">
      <c r="B9063" s="5">
        <v>9058</v>
      </c>
      <c r="C9063" s="11">
        <v>428.08635512162664</v>
      </c>
      <c r="D9063" s="42"/>
    </row>
    <row r="9064" spans="2:4" ht="16" thickBot="1" x14ac:dyDescent="0.25">
      <c r="B9064" s="4">
        <v>9059</v>
      </c>
      <c r="C9064" s="10">
        <v>234.88098627977763</v>
      </c>
      <c r="D9064" s="42"/>
    </row>
    <row r="9065" spans="2:4" ht="16" thickBot="1" x14ac:dyDescent="0.25">
      <c r="B9065" s="5">
        <v>9060</v>
      </c>
      <c r="C9065" s="11">
        <v>126.42631790629598</v>
      </c>
      <c r="D9065" s="42"/>
    </row>
    <row r="9066" spans="2:4" ht="16" thickBot="1" x14ac:dyDescent="0.25">
      <c r="B9066" s="4">
        <v>9061</v>
      </c>
      <c r="C9066" s="10">
        <v>409.80313135755233</v>
      </c>
      <c r="D9066" s="42"/>
    </row>
    <row r="9067" spans="2:4" ht="16" thickBot="1" x14ac:dyDescent="0.25">
      <c r="B9067" s="5">
        <v>9062</v>
      </c>
      <c r="C9067" s="11">
        <v>261.78877844236609</v>
      </c>
      <c r="D9067" s="42"/>
    </row>
    <row r="9068" spans="2:4" ht="16" thickBot="1" x14ac:dyDescent="0.25">
      <c r="B9068" s="4">
        <v>9063</v>
      </c>
      <c r="C9068" s="10">
        <v>402.19825075248258</v>
      </c>
      <c r="D9068" s="42"/>
    </row>
    <row r="9069" spans="2:4" ht="16" thickBot="1" x14ac:dyDescent="0.25">
      <c r="B9069" s="5">
        <v>9064</v>
      </c>
      <c r="C9069" s="11">
        <v>162.1158526453091</v>
      </c>
      <c r="D9069" s="42"/>
    </row>
    <row r="9070" spans="2:4" ht="16" thickBot="1" x14ac:dyDescent="0.25">
      <c r="B9070" s="4">
        <v>9065</v>
      </c>
      <c r="C9070" s="10">
        <v>250.11595950485616</v>
      </c>
      <c r="D9070" s="42"/>
    </row>
    <row r="9071" spans="2:4" ht="16" thickBot="1" x14ac:dyDescent="0.25">
      <c r="B9071" s="5">
        <v>9066</v>
      </c>
      <c r="C9071" s="11">
        <v>405.86346364765672</v>
      </c>
      <c r="D9071" s="42"/>
    </row>
    <row r="9072" spans="2:4" ht="16" thickBot="1" x14ac:dyDescent="0.25">
      <c r="B9072" s="4">
        <v>9067</v>
      </c>
      <c r="C9072" s="10">
        <v>139.14414052854812</v>
      </c>
      <c r="D9072" s="42"/>
    </row>
    <row r="9073" spans="2:4" ht="16" thickBot="1" x14ac:dyDescent="0.25">
      <c r="B9073" s="5">
        <v>9068</v>
      </c>
      <c r="C9073" s="11">
        <v>606.87784891757735</v>
      </c>
      <c r="D9073" s="42"/>
    </row>
    <row r="9074" spans="2:4" ht="16" thickBot="1" x14ac:dyDescent="0.25">
      <c r="B9074" s="4">
        <v>9069</v>
      </c>
      <c r="C9074" s="10">
        <v>300.73320717644634</v>
      </c>
      <c r="D9074" s="42"/>
    </row>
    <row r="9075" spans="2:4" ht="16" thickBot="1" x14ac:dyDescent="0.25">
      <c r="B9075" s="5">
        <v>9070</v>
      </c>
      <c r="C9075" s="11">
        <v>427.3542845695444</v>
      </c>
      <c r="D9075" s="42"/>
    </row>
    <row r="9076" spans="2:4" ht="16" thickBot="1" x14ac:dyDescent="0.25">
      <c r="B9076" s="4">
        <v>9071</v>
      </c>
      <c r="C9076" s="10">
        <v>303.95818840705596</v>
      </c>
      <c r="D9076" s="42"/>
    </row>
    <row r="9077" spans="2:4" ht="16" thickBot="1" x14ac:dyDescent="0.25">
      <c r="B9077" s="5">
        <v>9072</v>
      </c>
      <c r="C9077" s="11">
        <v>180.43550211733228</v>
      </c>
      <c r="D9077" s="42"/>
    </row>
    <row r="9078" spans="2:4" ht="16" thickBot="1" x14ac:dyDescent="0.25">
      <c r="B9078" s="4">
        <v>9073</v>
      </c>
      <c r="C9078" s="10">
        <v>344.68671961780319</v>
      </c>
      <c r="D9078" s="42"/>
    </row>
    <row r="9079" spans="2:4" ht="16" thickBot="1" x14ac:dyDescent="0.25">
      <c r="B9079" s="5">
        <v>9074</v>
      </c>
      <c r="C9079" s="11">
        <v>281.08929165495965</v>
      </c>
      <c r="D9079" s="42"/>
    </row>
    <row r="9080" spans="2:4" ht="16" thickBot="1" x14ac:dyDescent="0.25">
      <c r="B9080" s="4">
        <v>9075</v>
      </c>
      <c r="C9080" s="10">
        <v>549.28675960917894</v>
      </c>
      <c r="D9080" s="42"/>
    </row>
    <row r="9081" spans="2:4" ht="16" thickBot="1" x14ac:dyDescent="0.25">
      <c r="B9081" s="5">
        <v>9076</v>
      </c>
      <c r="C9081" s="11">
        <v>283.78592934259723</v>
      </c>
      <c r="D9081" s="42"/>
    </row>
    <row r="9082" spans="2:4" ht="16" thickBot="1" x14ac:dyDescent="0.25">
      <c r="B9082" s="4">
        <v>9077</v>
      </c>
      <c r="C9082" s="10">
        <v>175.855336866812</v>
      </c>
      <c r="D9082" s="42"/>
    </row>
    <row r="9083" spans="2:4" ht="16" thickBot="1" x14ac:dyDescent="0.25">
      <c r="B9083" s="5">
        <v>9078</v>
      </c>
      <c r="C9083" s="11">
        <v>307.51352070202933</v>
      </c>
      <c r="D9083" s="42"/>
    </row>
    <row r="9084" spans="2:4" ht="16" thickBot="1" x14ac:dyDescent="0.25">
      <c r="B9084" s="4">
        <v>9079</v>
      </c>
      <c r="C9084" s="10">
        <v>154.66179046979929</v>
      </c>
      <c r="D9084" s="42"/>
    </row>
    <row r="9085" spans="2:4" ht="16" thickBot="1" x14ac:dyDescent="0.25">
      <c r="B9085" s="5">
        <v>9080</v>
      </c>
      <c r="C9085" s="11">
        <v>276.40162964808377</v>
      </c>
      <c r="D9085" s="42"/>
    </row>
    <row r="9086" spans="2:4" ht="16" thickBot="1" x14ac:dyDescent="0.25">
      <c r="B9086" s="4">
        <v>9081</v>
      </c>
      <c r="C9086" s="10">
        <v>111.1273443929954</v>
      </c>
      <c r="D9086" s="42"/>
    </row>
    <row r="9087" spans="2:4" ht="16" thickBot="1" x14ac:dyDescent="0.25">
      <c r="B9087" s="5">
        <v>9082</v>
      </c>
      <c r="C9087" s="11">
        <v>229.02123954550368</v>
      </c>
      <c r="D9087" s="42"/>
    </row>
    <row r="9088" spans="2:4" ht="16" thickBot="1" x14ac:dyDescent="0.25">
      <c r="B9088" s="4">
        <v>9083</v>
      </c>
      <c r="C9088" s="10">
        <v>229.93289817263468</v>
      </c>
      <c r="D9088" s="42"/>
    </row>
    <row r="9089" spans="2:4" ht="16" thickBot="1" x14ac:dyDescent="0.25">
      <c r="B9089" s="5">
        <v>9084</v>
      </c>
      <c r="C9089" s="11">
        <v>404.49174234151212</v>
      </c>
      <c r="D9089" s="42"/>
    </row>
    <row r="9090" spans="2:4" ht="16" thickBot="1" x14ac:dyDescent="0.25">
      <c r="B9090" s="4">
        <v>9085</v>
      </c>
      <c r="C9090" s="10">
        <v>108.25898830102628</v>
      </c>
      <c r="D9090" s="42"/>
    </row>
    <row r="9091" spans="2:4" ht="16" thickBot="1" x14ac:dyDescent="0.25">
      <c r="B9091" s="5">
        <v>9086</v>
      </c>
      <c r="C9091" s="11">
        <v>26.122717397728131</v>
      </c>
      <c r="D9091" s="42"/>
    </row>
    <row r="9092" spans="2:4" ht="16" thickBot="1" x14ac:dyDescent="0.25">
      <c r="B9092" s="4">
        <v>9087</v>
      </c>
      <c r="C9092" s="10">
        <v>279.45688345752785</v>
      </c>
      <c r="D9092" s="42"/>
    </row>
    <row r="9093" spans="2:4" ht="16" thickBot="1" x14ac:dyDescent="0.25">
      <c r="B9093" s="5">
        <v>9088</v>
      </c>
      <c r="C9093" s="11">
        <v>243.33687829609735</v>
      </c>
      <c r="D9093" s="42"/>
    </row>
    <row r="9094" spans="2:4" ht="16" thickBot="1" x14ac:dyDescent="0.25">
      <c r="B9094" s="4">
        <v>9089</v>
      </c>
      <c r="C9094" s="10">
        <v>122.12666680586815</v>
      </c>
      <c r="D9094" s="42"/>
    </row>
    <row r="9095" spans="2:4" ht="16" thickBot="1" x14ac:dyDescent="0.25">
      <c r="B9095" s="5">
        <v>9090</v>
      </c>
      <c r="C9095" s="11">
        <v>338.2017679963555</v>
      </c>
      <c r="D9095" s="42"/>
    </row>
    <row r="9096" spans="2:4" ht="16" thickBot="1" x14ac:dyDescent="0.25">
      <c r="B9096" s="4">
        <v>9091</v>
      </c>
      <c r="C9096" s="10">
        <v>752.77424052803542</v>
      </c>
      <c r="D9096" s="42"/>
    </row>
    <row r="9097" spans="2:4" ht="16" thickBot="1" x14ac:dyDescent="0.25">
      <c r="B9097" s="5">
        <v>9092</v>
      </c>
      <c r="C9097" s="11">
        <v>406.24104104661171</v>
      </c>
      <c r="D9097" s="42"/>
    </row>
    <row r="9098" spans="2:4" ht="16" thickBot="1" x14ac:dyDescent="0.25">
      <c r="B9098" s="4">
        <v>9093</v>
      </c>
      <c r="C9098" s="10">
        <v>182.339356400051</v>
      </c>
      <c r="D9098" s="42"/>
    </row>
    <row r="9099" spans="2:4" ht="16" thickBot="1" x14ac:dyDescent="0.25">
      <c r="B9099" s="5">
        <v>9094</v>
      </c>
      <c r="C9099" s="11">
        <v>644.20875676092305</v>
      </c>
      <c r="D9099" s="42"/>
    </row>
    <row r="9100" spans="2:4" ht="16" thickBot="1" x14ac:dyDescent="0.25">
      <c r="B9100" s="4">
        <v>9095</v>
      </c>
      <c r="C9100" s="10">
        <v>177.93943844335229</v>
      </c>
      <c r="D9100" s="42"/>
    </row>
    <row r="9101" spans="2:4" ht="16" thickBot="1" x14ac:dyDescent="0.25">
      <c r="B9101" s="5">
        <v>9096</v>
      </c>
      <c r="C9101" s="11">
        <v>540.09029223024004</v>
      </c>
      <c r="D9101" s="42"/>
    </row>
    <row r="9102" spans="2:4" ht="16" thickBot="1" x14ac:dyDescent="0.25">
      <c r="B9102" s="4">
        <v>9097</v>
      </c>
      <c r="C9102" s="10">
        <v>504.21028268500993</v>
      </c>
      <c r="D9102" s="42"/>
    </row>
    <row r="9103" spans="2:4" ht="16" thickBot="1" x14ac:dyDescent="0.25">
      <c r="B9103" s="5">
        <v>9098</v>
      </c>
      <c r="C9103" s="11">
        <v>64.775450127718671</v>
      </c>
      <c r="D9103" s="42"/>
    </row>
    <row r="9104" spans="2:4" ht="16" thickBot="1" x14ac:dyDescent="0.25">
      <c r="B9104" s="4">
        <v>9099</v>
      </c>
      <c r="C9104" s="10">
        <v>343.53577672188271</v>
      </c>
      <c r="D9104" s="42"/>
    </row>
    <row r="9105" spans="2:4" ht="16" thickBot="1" x14ac:dyDescent="0.25">
      <c r="B9105" s="5">
        <v>9100</v>
      </c>
      <c r="C9105" s="11">
        <v>435.88015389664247</v>
      </c>
      <c r="D9105" s="42"/>
    </row>
    <row r="9106" spans="2:4" ht="16" thickBot="1" x14ac:dyDescent="0.25">
      <c r="B9106" s="4">
        <v>9101</v>
      </c>
      <c r="C9106" s="10">
        <v>537.06829264964938</v>
      </c>
      <c r="D9106" s="42"/>
    </row>
    <row r="9107" spans="2:4" ht="16" thickBot="1" x14ac:dyDescent="0.25">
      <c r="B9107" s="5">
        <v>9102</v>
      </c>
      <c r="C9107" s="11">
        <v>263.78004951910498</v>
      </c>
      <c r="D9107" s="42"/>
    </row>
    <row r="9108" spans="2:4" ht="16" thickBot="1" x14ac:dyDescent="0.25">
      <c r="B9108" s="4">
        <v>9103</v>
      </c>
      <c r="C9108" s="10">
        <v>223.70379560010832</v>
      </c>
      <c r="D9108" s="42"/>
    </row>
    <row r="9109" spans="2:4" ht="16" thickBot="1" x14ac:dyDescent="0.25">
      <c r="B9109" s="5">
        <v>9104</v>
      </c>
      <c r="C9109" s="11">
        <v>76.210803469771363</v>
      </c>
      <c r="D9109" s="42"/>
    </row>
    <row r="9110" spans="2:4" ht="16" thickBot="1" x14ac:dyDescent="0.25">
      <c r="B9110" s="4">
        <v>9105</v>
      </c>
      <c r="C9110" s="10">
        <v>258.8394025439577</v>
      </c>
      <c r="D9110" s="42"/>
    </row>
    <row r="9111" spans="2:4" ht="16" thickBot="1" x14ac:dyDescent="0.25">
      <c r="B9111" s="5">
        <v>9106</v>
      </c>
      <c r="C9111" s="11">
        <v>76.442221413408362</v>
      </c>
      <c r="D9111" s="42"/>
    </row>
    <row r="9112" spans="2:4" ht="16" thickBot="1" x14ac:dyDescent="0.25">
      <c r="B9112" s="4">
        <v>9107</v>
      </c>
      <c r="C9112" s="10">
        <v>92.890659910313659</v>
      </c>
      <c r="D9112" s="42"/>
    </row>
    <row r="9113" spans="2:4" ht="16" thickBot="1" x14ac:dyDescent="0.25">
      <c r="B9113" s="5">
        <v>9108</v>
      </c>
      <c r="C9113" s="11">
        <v>257.06204514818222</v>
      </c>
      <c r="D9113" s="42"/>
    </row>
    <row r="9114" spans="2:4" ht="16" thickBot="1" x14ac:dyDescent="0.25">
      <c r="B9114" s="4">
        <v>9109</v>
      </c>
      <c r="C9114" s="10">
        <v>260.8501404456394</v>
      </c>
      <c r="D9114" s="42"/>
    </row>
    <row r="9115" spans="2:4" ht="16" thickBot="1" x14ac:dyDescent="0.25">
      <c r="B9115" s="5">
        <v>9110</v>
      </c>
      <c r="C9115" s="11">
        <v>312.18849858027681</v>
      </c>
      <c r="D9115" s="42"/>
    </row>
    <row r="9116" spans="2:4" ht="16" thickBot="1" x14ac:dyDescent="0.25">
      <c r="B9116" s="4">
        <v>9111</v>
      </c>
      <c r="C9116" s="10">
        <v>44.486747104645367</v>
      </c>
      <c r="D9116" s="42"/>
    </row>
    <row r="9117" spans="2:4" ht="16" thickBot="1" x14ac:dyDescent="0.25">
      <c r="B9117" s="5">
        <v>9112</v>
      </c>
      <c r="C9117" s="11">
        <v>130.66766086719099</v>
      </c>
      <c r="D9117" s="42"/>
    </row>
    <row r="9118" spans="2:4" ht="16" thickBot="1" x14ac:dyDescent="0.25">
      <c r="B9118" s="4">
        <v>9113</v>
      </c>
      <c r="C9118" s="10">
        <v>340.74427587371747</v>
      </c>
      <c r="D9118" s="42"/>
    </row>
    <row r="9119" spans="2:4" ht="16" thickBot="1" x14ac:dyDescent="0.25">
      <c r="B9119" s="5">
        <v>9114</v>
      </c>
      <c r="C9119" s="11">
        <v>492.49175718696779</v>
      </c>
      <c r="D9119" s="42"/>
    </row>
    <row r="9120" spans="2:4" ht="16" thickBot="1" x14ac:dyDescent="0.25">
      <c r="B9120" s="4">
        <v>9115</v>
      </c>
      <c r="C9120" s="10">
        <v>295.77371614692788</v>
      </c>
      <c r="D9120" s="42"/>
    </row>
    <row r="9121" spans="2:4" ht="16" thickBot="1" x14ac:dyDescent="0.25">
      <c r="B9121" s="5">
        <v>9116</v>
      </c>
      <c r="C9121" s="11">
        <v>368.14154535431163</v>
      </c>
      <c r="D9121" s="42"/>
    </row>
    <row r="9122" spans="2:4" ht="16" thickBot="1" x14ac:dyDescent="0.25">
      <c r="B9122" s="4">
        <v>9117</v>
      </c>
      <c r="C9122" s="10">
        <v>283.42412784219857</v>
      </c>
      <c r="D9122" s="42"/>
    </row>
    <row r="9123" spans="2:4" ht="16" thickBot="1" x14ac:dyDescent="0.25">
      <c r="B9123" s="5">
        <v>9118</v>
      </c>
      <c r="C9123" s="11">
        <v>117.2859329090593</v>
      </c>
      <c r="D9123" s="42"/>
    </row>
    <row r="9124" spans="2:4" ht="16" thickBot="1" x14ac:dyDescent="0.25">
      <c r="B9124" s="4">
        <v>9119</v>
      </c>
      <c r="C9124" s="10">
        <v>207.06867761966672</v>
      </c>
      <c r="D9124" s="42"/>
    </row>
    <row r="9125" spans="2:4" ht="16" thickBot="1" x14ac:dyDescent="0.25">
      <c r="B9125" s="5">
        <v>9120</v>
      </c>
      <c r="C9125" s="11">
        <v>224.05202927744122</v>
      </c>
      <c r="D9125" s="42"/>
    </row>
    <row r="9126" spans="2:4" ht="16" thickBot="1" x14ac:dyDescent="0.25">
      <c r="B9126" s="4">
        <v>9121</v>
      </c>
      <c r="C9126" s="10">
        <v>212.31326860308127</v>
      </c>
      <c r="D9126" s="42"/>
    </row>
    <row r="9127" spans="2:4" ht="16" thickBot="1" x14ac:dyDescent="0.25">
      <c r="B9127" s="5">
        <v>9122</v>
      </c>
      <c r="C9127" s="11">
        <v>115.4905452696018</v>
      </c>
      <c r="D9127" s="42"/>
    </row>
    <row r="9128" spans="2:4" ht="16" thickBot="1" x14ac:dyDescent="0.25">
      <c r="B9128" s="4">
        <v>9123</v>
      </c>
      <c r="C9128" s="10">
        <v>90.718675646741985</v>
      </c>
      <c r="D9128" s="42"/>
    </row>
    <row r="9129" spans="2:4" ht="16" thickBot="1" x14ac:dyDescent="0.25">
      <c r="B9129" s="5">
        <v>9124</v>
      </c>
      <c r="C9129" s="11">
        <v>81.205634968346985</v>
      </c>
      <c r="D9129" s="42"/>
    </row>
    <row r="9130" spans="2:4" ht="16" thickBot="1" x14ac:dyDescent="0.25">
      <c r="B9130" s="4">
        <v>9125</v>
      </c>
      <c r="C9130" s="10">
        <v>92.604785249945436</v>
      </c>
      <c r="D9130" s="42"/>
    </row>
    <row r="9131" spans="2:4" ht="16" thickBot="1" x14ac:dyDescent="0.25">
      <c r="B9131" s="5">
        <v>9126</v>
      </c>
      <c r="C9131" s="11">
        <v>182.73409286159821</v>
      </c>
      <c r="D9131" s="42"/>
    </row>
    <row r="9132" spans="2:4" ht="16" thickBot="1" x14ac:dyDescent="0.25">
      <c r="B9132" s="4">
        <v>9127</v>
      </c>
      <c r="C9132" s="10">
        <v>633.47306029752929</v>
      </c>
      <c r="D9132" s="42"/>
    </row>
    <row r="9133" spans="2:4" ht="16" thickBot="1" x14ac:dyDescent="0.25">
      <c r="B9133" s="5">
        <v>9128</v>
      </c>
      <c r="C9133" s="11">
        <v>74.559444398863945</v>
      </c>
      <c r="D9133" s="42"/>
    </row>
    <row r="9134" spans="2:4" ht="16" thickBot="1" x14ac:dyDescent="0.25">
      <c r="B9134" s="4">
        <v>9129</v>
      </c>
      <c r="C9134" s="10">
        <v>215.18501455112815</v>
      </c>
      <c r="D9134" s="42"/>
    </row>
    <row r="9135" spans="2:4" ht="16" thickBot="1" x14ac:dyDescent="0.25">
      <c r="B9135" s="5">
        <v>9130</v>
      </c>
      <c r="C9135" s="11">
        <v>88.84711047098277</v>
      </c>
      <c r="D9135" s="42"/>
    </row>
    <row r="9136" spans="2:4" ht="16" thickBot="1" x14ac:dyDescent="0.25">
      <c r="B9136" s="4">
        <v>9131</v>
      </c>
      <c r="C9136" s="10">
        <v>185.3250710306109</v>
      </c>
      <c r="D9136" s="42"/>
    </row>
    <row r="9137" spans="2:4" ht="16" thickBot="1" x14ac:dyDescent="0.25">
      <c r="B9137" s="5">
        <v>9132</v>
      </c>
      <c r="C9137" s="11">
        <v>279.85047620058737</v>
      </c>
      <c r="D9137" s="42"/>
    </row>
    <row r="9138" spans="2:4" ht="16" thickBot="1" x14ac:dyDescent="0.25">
      <c r="B9138" s="4">
        <v>9133</v>
      </c>
      <c r="C9138" s="10">
        <v>326.63353559070305</v>
      </c>
      <c r="D9138" s="42"/>
    </row>
    <row r="9139" spans="2:4" ht="16" thickBot="1" x14ac:dyDescent="0.25">
      <c r="B9139" s="5">
        <v>9134</v>
      </c>
      <c r="C9139" s="11">
        <v>182.35822897881886</v>
      </c>
      <c r="D9139" s="42"/>
    </row>
    <row r="9140" spans="2:4" ht="16" thickBot="1" x14ac:dyDescent="0.25">
      <c r="B9140" s="4">
        <v>9135</v>
      </c>
      <c r="C9140" s="10">
        <v>442.4768486596127</v>
      </c>
      <c r="D9140" s="42"/>
    </row>
    <row r="9141" spans="2:4" ht="16" thickBot="1" x14ac:dyDescent="0.25">
      <c r="B9141" s="5">
        <v>9136</v>
      </c>
      <c r="C9141" s="11">
        <v>594.2817320968162</v>
      </c>
      <c r="D9141" s="42"/>
    </row>
    <row r="9142" spans="2:4" ht="16" thickBot="1" x14ac:dyDescent="0.25">
      <c r="B9142" s="4">
        <v>9137</v>
      </c>
      <c r="C9142" s="10">
        <v>408.53285137672276</v>
      </c>
      <c r="D9142" s="42"/>
    </row>
    <row r="9143" spans="2:4" ht="16" thickBot="1" x14ac:dyDescent="0.25">
      <c r="B9143" s="5">
        <v>9138</v>
      </c>
      <c r="C9143" s="11">
        <v>91.792895812126687</v>
      </c>
      <c r="D9143" s="42"/>
    </row>
    <row r="9144" spans="2:4" ht="16" thickBot="1" x14ac:dyDescent="0.25">
      <c r="B9144" s="4">
        <v>9139</v>
      </c>
      <c r="C9144" s="10">
        <v>672.05190085505217</v>
      </c>
      <c r="D9144" s="42"/>
    </row>
    <row r="9145" spans="2:4" ht="16" thickBot="1" x14ac:dyDescent="0.25">
      <c r="B9145" s="5">
        <v>9140</v>
      </c>
      <c r="C9145" s="11">
        <v>269.85979663405885</v>
      </c>
      <c r="D9145" s="42"/>
    </row>
    <row r="9146" spans="2:4" ht="16" thickBot="1" x14ac:dyDescent="0.25">
      <c r="B9146" s="4">
        <v>9141</v>
      </c>
      <c r="C9146" s="10">
        <v>61.537627489271266</v>
      </c>
      <c r="D9146" s="42"/>
    </row>
    <row r="9147" spans="2:4" ht="16" thickBot="1" x14ac:dyDescent="0.25">
      <c r="B9147" s="5">
        <v>9142</v>
      </c>
      <c r="C9147" s="11">
        <v>365.63034089529384</v>
      </c>
      <c r="D9147" s="42"/>
    </row>
    <row r="9148" spans="2:4" ht="16" thickBot="1" x14ac:dyDescent="0.25">
      <c r="B9148" s="4">
        <v>9143</v>
      </c>
      <c r="C9148" s="10">
        <v>209.59407559112285</v>
      </c>
      <c r="D9148" s="42"/>
    </row>
    <row r="9149" spans="2:4" ht="16" thickBot="1" x14ac:dyDescent="0.25">
      <c r="B9149" s="5">
        <v>9144</v>
      </c>
      <c r="C9149" s="11">
        <v>340.61822632434712</v>
      </c>
      <c r="D9149" s="42"/>
    </row>
    <row r="9150" spans="2:4" ht="16" thickBot="1" x14ac:dyDescent="0.25">
      <c r="B9150" s="4">
        <v>9145</v>
      </c>
      <c r="C9150" s="10">
        <v>393.88809379456694</v>
      </c>
      <c r="D9150" s="42"/>
    </row>
    <row r="9151" spans="2:4" ht="16" thickBot="1" x14ac:dyDescent="0.25">
      <c r="B9151" s="5">
        <v>9146</v>
      </c>
      <c r="C9151" s="11">
        <v>172.07532974709451</v>
      </c>
      <c r="D9151" s="42"/>
    </row>
    <row r="9152" spans="2:4" ht="16" thickBot="1" x14ac:dyDescent="0.25">
      <c r="B9152" s="4">
        <v>9147</v>
      </c>
      <c r="C9152" s="10">
        <v>496.3395343083634</v>
      </c>
      <c r="D9152" s="42"/>
    </row>
    <row r="9153" spans="2:4" ht="16" thickBot="1" x14ac:dyDescent="0.25">
      <c r="B9153" s="5">
        <v>9148</v>
      </c>
      <c r="C9153" s="11">
        <v>99.747365205970368</v>
      </c>
      <c r="D9153" s="42"/>
    </row>
    <row r="9154" spans="2:4" ht="16" thickBot="1" x14ac:dyDescent="0.25">
      <c r="B9154" s="4">
        <v>9149</v>
      </c>
      <c r="C9154" s="10">
        <v>506.16748169652095</v>
      </c>
      <c r="D9154" s="42"/>
    </row>
    <row r="9155" spans="2:4" ht="16" thickBot="1" x14ac:dyDescent="0.25">
      <c r="B9155" s="5">
        <v>9150</v>
      </c>
      <c r="C9155" s="11">
        <v>287.51497731678245</v>
      </c>
      <c r="D9155" s="42"/>
    </row>
    <row r="9156" spans="2:4" ht="16" thickBot="1" x14ac:dyDescent="0.25">
      <c r="B9156" s="4">
        <v>9151</v>
      </c>
      <c r="C9156" s="10">
        <v>318.03141275843188</v>
      </c>
      <c r="D9156" s="42"/>
    </row>
    <row r="9157" spans="2:4" ht="16" thickBot="1" x14ac:dyDescent="0.25">
      <c r="B9157" s="5">
        <v>9152</v>
      </c>
      <c r="C9157" s="11">
        <v>298.38772014643246</v>
      </c>
      <c r="D9157" s="42"/>
    </row>
    <row r="9158" spans="2:4" ht="16" thickBot="1" x14ac:dyDescent="0.25">
      <c r="B9158" s="4">
        <v>9153</v>
      </c>
      <c r="C9158" s="10">
        <v>181.83969550035675</v>
      </c>
      <c r="D9158" s="42"/>
    </row>
    <row r="9159" spans="2:4" ht="16" thickBot="1" x14ac:dyDescent="0.25">
      <c r="B9159" s="5">
        <v>9154</v>
      </c>
      <c r="C9159" s="11">
        <v>128.69131247271304</v>
      </c>
      <c r="D9159" s="42"/>
    </row>
    <row r="9160" spans="2:4" ht="16" thickBot="1" x14ac:dyDescent="0.25">
      <c r="B9160" s="4">
        <v>9155</v>
      </c>
      <c r="C9160" s="10">
        <v>289.55015168789026</v>
      </c>
      <c r="D9160" s="42"/>
    </row>
    <row r="9161" spans="2:4" ht="16" thickBot="1" x14ac:dyDescent="0.25">
      <c r="B9161" s="5">
        <v>9156</v>
      </c>
      <c r="C9161" s="11">
        <v>131.05763208820588</v>
      </c>
      <c r="D9161" s="42"/>
    </row>
    <row r="9162" spans="2:4" ht="16" thickBot="1" x14ac:dyDescent="0.25">
      <c r="B9162" s="4">
        <v>9157</v>
      </c>
      <c r="C9162" s="10">
        <v>102.05398057432436</v>
      </c>
      <c r="D9162" s="42"/>
    </row>
    <row r="9163" spans="2:4" ht="16" thickBot="1" x14ac:dyDescent="0.25">
      <c r="B9163" s="5">
        <v>9158</v>
      </c>
      <c r="C9163" s="11">
        <v>20.379963465927982</v>
      </c>
      <c r="D9163" s="42"/>
    </row>
    <row r="9164" spans="2:4" ht="16" thickBot="1" x14ac:dyDescent="0.25">
      <c r="B9164" s="4">
        <v>9159</v>
      </c>
      <c r="C9164" s="10">
        <v>425.39628127055352</v>
      </c>
      <c r="D9164" s="42"/>
    </row>
    <row r="9165" spans="2:4" ht="16" thickBot="1" x14ac:dyDescent="0.25">
      <c r="B9165" s="5">
        <v>9160</v>
      </c>
      <c r="C9165" s="11">
        <v>415.56981232586952</v>
      </c>
      <c r="D9165" s="42"/>
    </row>
    <row r="9166" spans="2:4" ht="16" thickBot="1" x14ac:dyDescent="0.25">
      <c r="B9166" s="4">
        <v>9161</v>
      </c>
      <c r="C9166" s="10">
        <v>118.4900633629136</v>
      </c>
      <c r="D9166" s="42"/>
    </row>
    <row r="9167" spans="2:4" ht="16" thickBot="1" x14ac:dyDescent="0.25">
      <c r="B9167" s="5">
        <v>9162</v>
      </c>
      <c r="C9167" s="11">
        <v>486.48475012886365</v>
      </c>
      <c r="D9167" s="42"/>
    </row>
    <row r="9168" spans="2:4" ht="16" thickBot="1" x14ac:dyDescent="0.25">
      <c r="B9168" s="4">
        <v>9163</v>
      </c>
      <c r="C9168" s="10">
        <v>222.6191981892629</v>
      </c>
      <c r="D9168" s="42"/>
    </row>
    <row r="9169" spans="2:4" ht="16" thickBot="1" x14ac:dyDescent="0.25">
      <c r="B9169" s="5">
        <v>9164</v>
      </c>
      <c r="C9169" s="11">
        <v>245.58248258092289</v>
      </c>
      <c r="D9169" s="42"/>
    </row>
    <row r="9170" spans="2:4" ht="16" thickBot="1" x14ac:dyDescent="0.25">
      <c r="B9170" s="4">
        <v>9165</v>
      </c>
      <c r="C9170" s="10">
        <v>233.25290336963565</v>
      </c>
      <c r="D9170" s="42"/>
    </row>
    <row r="9171" spans="2:4" ht="16" thickBot="1" x14ac:dyDescent="0.25">
      <c r="B9171" s="5">
        <v>9166</v>
      </c>
      <c r="C9171" s="11">
        <v>73.531137344393784</v>
      </c>
      <c r="D9171" s="42"/>
    </row>
    <row r="9172" spans="2:4" ht="16" thickBot="1" x14ac:dyDescent="0.25">
      <c r="B9172" s="4">
        <v>9167</v>
      </c>
      <c r="C9172" s="10">
        <v>544.0855070956801</v>
      </c>
      <c r="D9172" s="42"/>
    </row>
    <row r="9173" spans="2:4" ht="16" thickBot="1" x14ac:dyDescent="0.25">
      <c r="B9173" s="5">
        <v>9168</v>
      </c>
      <c r="C9173" s="11">
        <v>130.88580973783414</v>
      </c>
      <c r="D9173" s="42"/>
    </row>
    <row r="9174" spans="2:4" ht="16" thickBot="1" x14ac:dyDescent="0.25">
      <c r="B9174" s="4">
        <v>9169</v>
      </c>
      <c r="C9174" s="10">
        <v>230.70973996078001</v>
      </c>
      <c r="D9174" s="42"/>
    </row>
    <row r="9175" spans="2:4" ht="16" thickBot="1" x14ac:dyDescent="0.25">
      <c r="B9175" s="5">
        <v>9170</v>
      </c>
      <c r="C9175" s="11">
        <v>430.50967168191971</v>
      </c>
      <c r="D9175" s="42"/>
    </row>
    <row r="9176" spans="2:4" ht="16" thickBot="1" x14ac:dyDescent="0.25">
      <c r="B9176" s="4">
        <v>9171</v>
      </c>
      <c r="C9176" s="10">
        <v>218.1909180130136</v>
      </c>
      <c r="D9176" s="42"/>
    </row>
    <row r="9177" spans="2:4" ht="16" thickBot="1" x14ac:dyDescent="0.25">
      <c r="B9177" s="5">
        <v>9172</v>
      </c>
      <c r="C9177" s="11">
        <v>92.96290118914969</v>
      </c>
      <c r="D9177" s="42"/>
    </row>
    <row r="9178" spans="2:4" ht="16" thickBot="1" x14ac:dyDescent="0.25">
      <c r="B9178" s="4">
        <v>9173</v>
      </c>
      <c r="C9178" s="10">
        <v>377.57697314136607</v>
      </c>
      <c r="D9178" s="42"/>
    </row>
    <row r="9179" spans="2:4" ht="16" thickBot="1" x14ac:dyDescent="0.25">
      <c r="B9179" s="5">
        <v>9174</v>
      </c>
      <c r="C9179" s="11">
        <v>110.40473945241837</v>
      </c>
      <c r="D9179" s="42"/>
    </row>
    <row r="9180" spans="2:4" ht="16" thickBot="1" x14ac:dyDescent="0.25">
      <c r="B9180" s="4">
        <v>9175</v>
      </c>
      <c r="C9180" s="10">
        <v>697.81983341450768</v>
      </c>
      <c r="D9180" s="42"/>
    </row>
    <row r="9181" spans="2:4" ht="16" thickBot="1" x14ac:dyDescent="0.25">
      <c r="B9181" s="5">
        <v>9176</v>
      </c>
      <c r="C9181" s="11">
        <v>484.23683180508152</v>
      </c>
      <c r="D9181" s="42"/>
    </row>
    <row r="9182" spans="2:4" ht="16" thickBot="1" x14ac:dyDescent="0.25">
      <c r="B9182" s="4">
        <v>9177</v>
      </c>
      <c r="C9182" s="10">
        <v>286.08676813051346</v>
      </c>
      <c r="D9182" s="42"/>
    </row>
    <row r="9183" spans="2:4" ht="16" thickBot="1" x14ac:dyDescent="0.25">
      <c r="B9183" s="5">
        <v>9178</v>
      </c>
      <c r="C9183" s="11">
        <v>222.86999434649752</v>
      </c>
      <c r="D9183" s="42"/>
    </row>
    <row r="9184" spans="2:4" ht="16" thickBot="1" x14ac:dyDescent="0.25">
      <c r="B9184" s="4">
        <v>9179</v>
      </c>
      <c r="C9184" s="10">
        <v>144.81202864888056</v>
      </c>
      <c r="D9184" s="42"/>
    </row>
    <row r="9185" spans="2:4" ht="16" thickBot="1" x14ac:dyDescent="0.25">
      <c r="B9185" s="5">
        <v>9180</v>
      </c>
      <c r="C9185" s="11">
        <v>100.5578292134207</v>
      </c>
      <c r="D9185" s="42"/>
    </row>
    <row r="9186" spans="2:4" ht="16" thickBot="1" x14ac:dyDescent="0.25">
      <c r="B9186" s="4">
        <v>9181</v>
      </c>
      <c r="C9186" s="10">
        <v>157.04649108391101</v>
      </c>
      <c r="D9186" s="42"/>
    </row>
    <row r="9187" spans="2:4" ht="16" thickBot="1" x14ac:dyDescent="0.25">
      <c r="B9187" s="5">
        <v>9182</v>
      </c>
      <c r="C9187" s="11">
        <v>214.62311779990247</v>
      </c>
      <c r="D9187" s="42"/>
    </row>
    <row r="9188" spans="2:4" ht="16" thickBot="1" x14ac:dyDescent="0.25">
      <c r="B9188" s="4">
        <v>9183</v>
      </c>
      <c r="C9188" s="10">
        <v>126.30330512141887</v>
      </c>
      <c r="D9188" s="42"/>
    </row>
    <row r="9189" spans="2:4" ht="16" thickBot="1" x14ac:dyDescent="0.25">
      <c r="B9189" s="5">
        <v>9184</v>
      </c>
      <c r="C9189" s="11">
        <v>34.581750342443343</v>
      </c>
      <c r="D9189" s="42"/>
    </row>
    <row r="9190" spans="2:4" ht="16" thickBot="1" x14ac:dyDescent="0.25">
      <c r="B9190" s="4">
        <v>9185</v>
      </c>
      <c r="C9190" s="10">
        <v>298.39705280126611</v>
      </c>
      <c r="D9190" s="42"/>
    </row>
    <row r="9191" spans="2:4" ht="16" thickBot="1" x14ac:dyDescent="0.25">
      <c r="B9191" s="5">
        <v>9186</v>
      </c>
      <c r="C9191" s="11">
        <v>479.8749307805295</v>
      </c>
      <c r="D9191" s="42"/>
    </row>
    <row r="9192" spans="2:4" ht="16" thickBot="1" x14ac:dyDescent="0.25">
      <c r="B9192" s="4">
        <v>9187</v>
      </c>
      <c r="C9192" s="10">
        <v>400.73493354188543</v>
      </c>
      <c r="D9192" s="42"/>
    </row>
    <row r="9193" spans="2:4" ht="16" thickBot="1" x14ac:dyDescent="0.25">
      <c r="B9193" s="5">
        <v>9188</v>
      </c>
      <c r="C9193" s="11">
        <v>60.239515732001252</v>
      </c>
      <c r="D9193" s="42"/>
    </row>
    <row r="9194" spans="2:4" ht="16" thickBot="1" x14ac:dyDescent="0.25">
      <c r="B9194" s="4">
        <v>9189</v>
      </c>
      <c r="C9194" s="10">
        <v>102.02597587430579</v>
      </c>
      <c r="D9194" s="42"/>
    </row>
    <row r="9195" spans="2:4" ht="16" thickBot="1" x14ac:dyDescent="0.25">
      <c r="B9195" s="5">
        <v>9190</v>
      </c>
      <c r="C9195" s="11">
        <v>206.50455013352919</v>
      </c>
      <c r="D9195" s="42"/>
    </row>
    <row r="9196" spans="2:4" ht="16" thickBot="1" x14ac:dyDescent="0.25">
      <c r="B9196" s="4">
        <v>9191</v>
      </c>
      <c r="C9196" s="10">
        <v>48.405671736041377</v>
      </c>
      <c r="D9196" s="42"/>
    </row>
    <row r="9197" spans="2:4" ht="16" thickBot="1" x14ac:dyDescent="0.25">
      <c r="B9197" s="5">
        <v>9192</v>
      </c>
      <c r="C9197" s="11">
        <v>218.71738435433693</v>
      </c>
      <c r="D9197" s="42"/>
    </row>
    <row r="9198" spans="2:4" ht="16" thickBot="1" x14ac:dyDescent="0.25">
      <c r="B9198" s="4">
        <v>9193</v>
      </c>
      <c r="C9198" s="10">
        <v>61.762313268203037</v>
      </c>
      <c r="D9198" s="42"/>
    </row>
    <row r="9199" spans="2:4" ht="16" thickBot="1" x14ac:dyDescent="0.25">
      <c r="B9199" s="5">
        <v>9194</v>
      </c>
      <c r="C9199" s="11">
        <v>323.65739506892663</v>
      </c>
      <c r="D9199" s="42"/>
    </row>
    <row r="9200" spans="2:4" ht="16" thickBot="1" x14ac:dyDescent="0.25">
      <c r="B9200" s="4">
        <v>9195</v>
      </c>
      <c r="C9200" s="10">
        <v>212.51242795438259</v>
      </c>
      <c r="D9200" s="42"/>
    </row>
    <row r="9201" spans="2:4" ht="16" thickBot="1" x14ac:dyDescent="0.25">
      <c r="B9201" s="5">
        <v>9196</v>
      </c>
      <c r="C9201" s="11">
        <v>541.84693897803731</v>
      </c>
      <c r="D9201" s="42"/>
    </row>
    <row r="9202" spans="2:4" ht="16" thickBot="1" x14ac:dyDescent="0.25">
      <c r="B9202" s="4">
        <v>9197</v>
      </c>
      <c r="C9202" s="10">
        <v>276.76695827636274</v>
      </c>
      <c r="D9202" s="42"/>
    </row>
    <row r="9203" spans="2:4" ht="16" thickBot="1" x14ac:dyDescent="0.25">
      <c r="B9203" s="5">
        <v>9198</v>
      </c>
      <c r="C9203" s="11">
        <v>139.20260810941815</v>
      </c>
      <c r="D9203" s="42"/>
    </row>
    <row r="9204" spans="2:4" ht="16" thickBot="1" x14ac:dyDescent="0.25">
      <c r="B9204" s="4">
        <v>9199</v>
      </c>
      <c r="C9204" s="10">
        <v>96.441149351801101</v>
      </c>
      <c r="D9204" s="42"/>
    </row>
    <row r="9205" spans="2:4" ht="16" thickBot="1" x14ac:dyDescent="0.25">
      <c r="B9205" s="5">
        <v>9200</v>
      </c>
      <c r="C9205" s="11">
        <v>161.17986032698241</v>
      </c>
      <c r="D9205" s="42"/>
    </row>
    <row r="9206" spans="2:4" ht="16" thickBot="1" x14ac:dyDescent="0.25">
      <c r="B9206" s="4">
        <v>9201</v>
      </c>
      <c r="C9206" s="10">
        <v>466.63186526715475</v>
      </c>
      <c r="D9206" s="42"/>
    </row>
    <row r="9207" spans="2:4" ht="16" thickBot="1" x14ac:dyDescent="0.25">
      <c r="B9207" s="5">
        <v>9202</v>
      </c>
      <c r="C9207" s="11">
        <v>63.715585814885223</v>
      </c>
      <c r="D9207" s="42"/>
    </row>
    <row r="9208" spans="2:4" ht="16" thickBot="1" x14ac:dyDescent="0.25">
      <c r="B9208" s="4">
        <v>9203</v>
      </c>
      <c r="C9208" s="10">
        <v>123.20591604798864</v>
      </c>
      <c r="D9208" s="42"/>
    </row>
    <row r="9209" spans="2:4" ht="16" thickBot="1" x14ac:dyDescent="0.25">
      <c r="B9209" s="5">
        <v>9204</v>
      </c>
      <c r="C9209" s="11">
        <v>289.67546326778483</v>
      </c>
      <c r="D9209" s="42"/>
    </row>
    <row r="9210" spans="2:4" ht="16" thickBot="1" x14ac:dyDescent="0.25">
      <c r="B9210" s="4">
        <v>9205</v>
      </c>
      <c r="C9210" s="10">
        <v>333.83706460048586</v>
      </c>
      <c r="D9210" s="42"/>
    </row>
    <row r="9211" spans="2:4" ht="16" thickBot="1" x14ac:dyDescent="0.25">
      <c r="B9211" s="5">
        <v>9206</v>
      </c>
      <c r="C9211" s="11">
        <v>906.54152704951593</v>
      </c>
      <c r="D9211" s="42"/>
    </row>
    <row r="9212" spans="2:4" ht="16" thickBot="1" x14ac:dyDescent="0.25">
      <c r="B9212" s="4">
        <v>9207</v>
      </c>
      <c r="C9212" s="10">
        <v>121.84084969957713</v>
      </c>
      <c r="D9212" s="42"/>
    </row>
    <row r="9213" spans="2:4" ht="16" thickBot="1" x14ac:dyDescent="0.25">
      <c r="B9213" s="5">
        <v>9208</v>
      </c>
      <c r="C9213" s="11">
        <v>165.56653810590313</v>
      </c>
      <c r="D9213" s="42"/>
    </row>
    <row r="9214" spans="2:4" ht="16" thickBot="1" x14ac:dyDescent="0.25">
      <c r="B9214" s="4">
        <v>9209</v>
      </c>
      <c r="C9214" s="10">
        <v>74.337545142810711</v>
      </c>
      <c r="D9214" s="42"/>
    </row>
    <row r="9215" spans="2:4" ht="16" thickBot="1" x14ac:dyDescent="0.25">
      <c r="B9215" s="5">
        <v>9210</v>
      </c>
      <c r="C9215" s="11">
        <v>256.71973426911529</v>
      </c>
      <c r="D9215" s="42"/>
    </row>
    <row r="9216" spans="2:4" ht="16" thickBot="1" x14ac:dyDescent="0.25">
      <c r="B9216" s="4">
        <v>9211</v>
      </c>
      <c r="C9216" s="10">
        <v>153.8053743720092</v>
      </c>
      <c r="D9216" s="42"/>
    </row>
    <row r="9217" spans="2:4" ht="16" thickBot="1" x14ac:dyDescent="0.25">
      <c r="B9217" s="5">
        <v>9212</v>
      </c>
      <c r="C9217" s="11">
        <v>271.36438941604649</v>
      </c>
      <c r="D9217" s="42"/>
    </row>
    <row r="9218" spans="2:4" ht="16" thickBot="1" x14ac:dyDescent="0.25">
      <c r="B9218" s="4">
        <v>9213</v>
      </c>
      <c r="C9218" s="10">
        <v>200.72109319064273</v>
      </c>
      <c r="D9218" s="42"/>
    </row>
    <row r="9219" spans="2:4" ht="16" thickBot="1" x14ac:dyDescent="0.25">
      <c r="B9219" s="5">
        <v>9214</v>
      </c>
      <c r="C9219" s="11">
        <v>345.37209509793712</v>
      </c>
      <c r="D9219" s="42"/>
    </row>
    <row r="9220" spans="2:4" ht="16" thickBot="1" x14ac:dyDescent="0.25">
      <c r="B9220" s="4">
        <v>9215</v>
      </c>
      <c r="C9220" s="10">
        <v>278.14270906541304</v>
      </c>
      <c r="D9220" s="42"/>
    </row>
    <row r="9221" spans="2:4" ht="16" thickBot="1" x14ac:dyDescent="0.25">
      <c r="B9221" s="5">
        <v>9216</v>
      </c>
      <c r="C9221" s="11">
        <v>136.02285356334158</v>
      </c>
      <c r="D9221" s="42"/>
    </row>
    <row r="9222" spans="2:4" ht="16" thickBot="1" x14ac:dyDescent="0.25">
      <c r="B9222" s="4">
        <v>9217</v>
      </c>
      <c r="C9222" s="10">
        <v>151.82808059158796</v>
      </c>
      <c r="D9222" s="42"/>
    </row>
    <row r="9223" spans="2:4" ht="16" thickBot="1" x14ac:dyDescent="0.25">
      <c r="B9223" s="5">
        <v>9218</v>
      </c>
      <c r="C9223" s="11">
        <v>619.1726542564104</v>
      </c>
      <c r="D9223" s="42"/>
    </row>
    <row r="9224" spans="2:4" ht="16" thickBot="1" x14ac:dyDescent="0.25">
      <c r="B9224" s="4">
        <v>9219</v>
      </c>
      <c r="C9224" s="10">
        <v>358.36459878289998</v>
      </c>
      <c r="D9224" s="42"/>
    </row>
    <row r="9225" spans="2:4" ht="16" thickBot="1" x14ac:dyDescent="0.25">
      <c r="B9225" s="5">
        <v>9220</v>
      </c>
      <c r="C9225" s="11">
        <v>119.28651546374491</v>
      </c>
      <c r="D9225" s="42"/>
    </row>
    <row r="9226" spans="2:4" ht="16" thickBot="1" x14ac:dyDescent="0.25">
      <c r="B9226" s="4">
        <v>9221</v>
      </c>
      <c r="C9226" s="10">
        <v>296.79625201194261</v>
      </c>
      <c r="D9226" s="42"/>
    </row>
    <row r="9227" spans="2:4" ht="16" thickBot="1" x14ac:dyDescent="0.25">
      <c r="B9227" s="5">
        <v>9222</v>
      </c>
      <c r="C9227" s="11">
        <v>451.42393987436077</v>
      </c>
      <c r="D9227" s="42"/>
    </row>
    <row r="9228" spans="2:4" ht="16" thickBot="1" x14ac:dyDescent="0.25">
      <c r="B9228" s="4">
        <v>9223</v>
      </c>
      <c r="C9228" s="10">
        <v>391.33378546844654</v>
      </c>
      <c r="D9228" s="42"/>
    </row>
    <row r="9229" spans="2:4" ht="16" thickBot="1" x14ac:dyDescent="0.25">
      <c r="B9229" s="5">
        <v>9224</v>
      </c>
      <c r="C9229" s="11">
        <v>113.61018382956603</v>
      </c>
      <c r="D9229" s="42"/>
    </row>
    <row r="9230" spans="2:4" ht="16" thickBot="1" x14ac:dyDescent="0.25">
      <c r="B9230" s="4">
        <v>9225</v>
      </c>
      <c r="C9230" s="10">
        <v>118.70217415185601</v>
      </c>
      <c r="D9230" s="42"/>
    </row>
    <row r="9231" spans="2:4" ht="16" thickBot="1" x14ac:dyDescent="0.25">
      <c r="B9231" s="5">
        <v>9226</v>
      </c>
      <c r="C9231" s="11">
        <v>166.47655411752925</v>
      </c>
      <c r="D9231" s="42"/>
    </row>
    <row r="9232" spans="2:4" ht="16" thickBot="1" x14ac:dyDescent="0.25">
      <c r="B9232" s="4">
        <v>9227</v>
      </c>
      <c r="C9232" s="10">
        <v>158.89810119951557</v>
      </c>
      <c r="D9232" s="42"/>
    </row>
    <row r="9233" spans="2:4" ht="16" thickBot="1" x14ac:dyDescent="0.25">
      <c r="B9233" s="5">
        <v>9228</v>
      </c>
      <c r="C9233" s="11">
        <v>490.87290783530233</v>
      </c>
      <c r="D9233" s="42"/>
    </row>
    <row r="9234" spans="2:4" ht="16" thickBot="1" x14ac:dyDescent="0.25">
      <c r="B9234" s="4">
        <v>9229</v>
      </c>
      <c r="C9234" s="10">
        <v>268.76669795692044</v>
      </c>
      <c r="D9234" s="42"/>
    </row>
    <row r="9235" spans="2:4" ht="16" thickBot="1" x14ac:dyDescent="0.25">
      <c r="B9235" s="5">
        <v>9230</v>
      </c>
      <c r="C9235" s="11">
        <v>170.81938274350819</v>
      </c>
      <c r="D9235" s="42"/>
    </row>
    <row r="9236" spans="2:4" ht="16" thickBot="1" x14ac:dyDescent="0.25">
      <c r="B9236" s="4">
        <v>9231</v>
      </c>
      <c r="C9236" s="10">
        <v>104.17234260436194</v>
      </c>
      <c r="D9236" s="42"/>
    </row>
    <row r="9237" spans="2:4" ht="16" thickBot="1" x14ac:dyDescent="0.25">
      <c r="B9237" s="5">
        <v>9232</v>
      </c>
      <c r="C9237" s="11">
        <v>192.95212355594566</v>
      </c>
      <c r="D9237" s="42"/>
    </row>
    <row r="9238" spans="2:4" ht="16" thickBot="1" x14ac:dyDescent="0.25">
      <c r="B9238" s="4">
        <v>9233</v>
      </c>
      <c r="C9238" s="10">
        <v>264.21230110852275</v>
      </c>
      <c r="D9238" s="42"/>
    </row>
    <row r="9239" spans="2:4" ht="16" thickBot="1" x14ac:dyDescent="0.25">
      <c r="B9239" s="5">
        <v>9234</v>
      </c>
      <c r="C9239" s="11">
        <v>295.97046889702222</v>
      </c>
      <c r="D9239" s="42"/>
    </row>
    <row r="9240" spans="2:4" ht="16" thickBot="1" x14ac:dyDescent="0.25">
      <c r="B9240" s="4">
        <v>9235</v>
      </c>
      <c r="C9240" s="10">
        <v>271.61412546726683</v>
      </c>
      <c r="D9240" s="42"/>
    </row>
    <row r="9241" spans="2:4" ht="16" thickBot="1" x14ac:dyDescent="0.25">
      <c r="B9241" s="5">
        <v>9236</v>
      </c>
      <c r="C9241" s="11">
        <v>104.00457592418984</v>
      </c>
      <c r="D9241" s="42"/>
    </row>
    <row r="9242" spans="2:4" ht="16" thickBot="1" x14ac:dyDescent="0.25">
      <c r="B9242" s="4">
        <v>9237</v>
      </c>
      <c r="C9242" s="10">
        <v>395.07795177638098</v>
      </c>
      <c r="D9242" s="42"/>
    </row>
    <row r="9243" spans="2:4" ht="16" thickBot="1" x14ac:dyDescent="0.25">
      <c r="B9243" s="5">
        <v>9238</v>
      </c>
      <c r="C9243" s="11">
        <v>530.71770101351296</v>
      </c>
      <c r="D9243" s="42"/>
    </row>
    <row r="9244" spans="2:4" ht="16" thickBot="1" x14ac:dyDescent="0.25">
      <c r="B9244" s="4">
        <v>9239</v>
      </c>
      <c r="C9244" s="10">
        <v>201.74555561745274</v>
      </c>
      <c r="D9244" s="42"/>
    </row>
    <row r="9245" spans="2:4" ht="16" thickBot="1" x14ac:dyDescent="0.25">
      <c r="B9245" s="5">
        <v>9240</v>
      </c>
      <c r="C9245" s="11">
        <v>213.66866567065054</v>
      </c>
      <c r="D9245" s="42"/>
    </row>
    <row r="9246" spans="2:4" ht="16" thickBot="1" x14ac:dyDescent="0.25">
      <c r="B9246" s="4">
        <v>9241</v>
      </c>
      <c r="C9246" s="10">
        <v>428.52450376011706</v>
      </c>
      <c r="D9246" s="42"/>
    </row>
    <row r="9247" spans="2:4" ht="16" thickBot="1" x14ac:dyDescent="0.25">
      <c r="B9247" s="5">
        <v>9242</v>
      </c>
      <c r="C9247" s="11">
        <v>223.40997010229171</v>
      </c>
      <c r="D9247" s="42"/>
    </row>
    <row r="9248" spans="2:4" ht="16" thickBot="1" x14ac:dyDescent="0.25">
      <c r="B9248" s="4">
        <v>9243</v>
      </c>
      <c r="C9248" s="10">
        <v>178.09414751820123</v>
      </c>
      <c r="D9248" s="42"/>
    </row>
    <row r="9249" spans="2:4" ht="16" thickBot="1" x14ac:dyDescent="0.25">
      <c r="B9249" s="5">
        <v>9244</v>
      </c>
      <c r="C9249" s="11">
        <v>297.48065268546031</v>
      </c>
      <c r="D9249" s="42"/>
    </row>
    <row r="9250" spans="2:4" ht="16" thickBot="1" x14ac:dyDescent="0.25">
      <c r="B9250" s="4">
        <v>9245</v>
      </c>
      <c r="C9250" s="10">
        <v>273.29804170928287</v>
      </c>
      <c r="D9250" s="42"/>
    </row>
    <row r="9251" spans="2:4" ht="16" thickBot="1" x14ac:dyDescent="0.25">
      <c r="B9251" s="5">
        <v>9246</v>
      </c>
      <c r="C9251" s="11">
        <v>300.29683436751282</v>
      </c>
      <c r="D9251" s="42"/>
    </row>
    <row r="9252" spans="2:4" ht="16" thickBot="1" x14ac:dyDescent="0.25">
      <c r="B9252" s="4">
        <v>9247</v>
      </c>
      <c r="C9252" s="10">
        <v>382.01461919725591</v>
      </c>
      <c r="D9252" s="42"/>
    </row>
    <row r="9253" spans="2:4" ht="16" thickBot="1" x14ac:dyDescent="0.25">
      <c r="B9253" s="5">
        <v>9248</v>
      </c>
      <c r="C9253" s="11">
        <v>24.760961322441904</v>
      </c>
      <c r="D9253" s="42"/>
    </row>
    <row r="9254" spans="2:4" ht="16" thickBot="1" x14ac:dyDescent="0.25">
      <c r="B9254" s="4">
        <v>9249</v>
      </c>
      <c r="C9254" s="10">
        <v>372.89249566470693</v>
      </c>
      <c r="D9254" s="42"/>
    </row>
    <row r="9255" spans="2:4" ht="16" thickBot="1" x14ac:dyDescent="0.25">
      <c r="B9255" s="5">
        <v>9250</v>
      </c>
      <c r="C9255" s="11">
        <v>37.700568399446105</v>
      </c>
      <c r="D9255" s="42"/>
    </row>
    <row r="9256" spans="2:4" ht="16" thickBot="1" x14ac:dyDescent="0.25">
      <c r="B9256" s="4">
        <v>9251</v>
      </c>
      <c r="C9256" s="10">
        <v>271.57713400114403</v>
      </c>
      <c r="D9256" s="42"/>
    </row>
    <row r="9257" spans="2:4" ht="16" thickBot="1" x14ac:dyDescent="0.25">
      <c r="B9257" s="5">
        <v>9252</v>
      </c>
      <c r="C9257" s="11">
        <v>184.88123559870766</v>
      </c>
      <c r="D9257" s="42"/>
    </row>
    <row r="9258" spans="2:4" ht="16" thickBot="1" x14ac:dyDescent="0.25">
      <c r="B9258" s="4">
        <v>9253</v>
      </c>
      <c r="C9258" s="10">
        <v>100.2486696372621</v>
      </c>
      <c r="D9258" s="42"/>
    </row>
    <row r="9259" spans="2:4" ht="16" thickBot="1" x14ac:dyDescent="0.25">
      <c r="B9259" s="5">
        <v>9254</v>
      </c>
      <c r="C9259" s="11">
        <v>175.90283172505758</v>
      </c>
      <c r="D9259" s="42"/>
    </row>
    <row r="9260" spans="2:4" ht="16" thickBot="1" x14ac:dyDescent="0.25">
      <c r="B9260" s="4">
        <v>9255</v>
      </c>
      <c r="C9260" s="10">
        <v>44.590910294816808</v>
      </c>
      <c r="D9260" s="42"/>
    </row>
    <row r="9261" spans="2:4" ht="16" thickBot="1" x14ac:dyDescent="0.25">
      <c r="B9261" s="5">
        <v>9256</v>
      </c>
      <c r="C9261" s="11">
        <v>209.43532003149778</v>
      </c>
      <c r="D9261" s="42"/>
    </row>
    <row r="9262" spans="2:4" ht="16" thickBot="1" x14ac:dyDescent="0.25">
      <c r="B9262" s="4">
        <v>9257</v>
      </c>
      <c r="C9262" s="10">
        <v>90.718860118698615</v>
      </c>
      <c r="D9262" s="42"/>
    </row>
    <row r="9263" spans="2:4" ht="16" thickBot="1" x14ac:dyDescent="0.25">
      <c r="B9263" s="5">
        <v>9258</v>
      </c>
      <c r="C9263" s="11">
        <v>185.74779908413561</v>
      </c>
      <c r="D9263" s="42"/>
    </row>
    <row r="9264" spans="2:4" ht="16" thickBot="1" x14ac:dyDescent="0.25">
      <c r="B9264" s="4">
        <v>9259</v>
      </c>
      <c r="C9264" s="10">
        <v>602.57246842535278</v>
      </c>
      <c r="D9264" s="42"/>
    </row>
    <row r="9265" spans="2:4" ht="16" thickBot="1" x14ac:dyDescent="0.25">
      <c r="B9265" s="5">
        <v>9260</v>
      </c>
      <c r="C9265" s="11">
        <v>356.66591648763443</v>
      </c>
      <c r="D9265" s="42"/>
    </row>
    <row r="9266" spans="2:4" ht="16" thickBot="1" x14ac:dyDescent="0.25">
      <c r="B9266" s="4">
        <v>9261</v>
      </c>
      <c r="C9266" s="10">
        <v>424.88024969576622</v>
      </c>
      <c r="D9266" s="42"/>
    </row>
    <row r="9267" spans="2:4" ht="16" thickBot="1" x14ac:dyDescent="0.25">
      <c r="B9267" s="5">
        <v>9262</v>
      </c>
      <c r="C9267" s="11">
        <v>353.5609090606539</v>
      </c>
      <c r="D9267" s="42"/>
    </row>
    <row r="9268" spans="2:4" ht="16" thickBot="1" x14ac:dyDescent="0.25">
      <c r="B9268" s="4">
        <v>9263</v>
      </c>
      <c r="C9268" s="10">
        <v>439.49581324025996</v>
      </c>
      <c r="D9268" s="42"/>
    </row>
    <row r="9269" spans="2:4" ht="16" thickBot="1" x14ac:dyDescent="0.25">
      <c r="B9269" s="5">
        <v>9264</v>
      </c>
      <c r="C9269" s="11">
        <v>405.02778778618324</v>
      </c>
      <c r="D9269" s="42"/>
    </row>
    <row r="9270" spans="2:4" ht="16" thickBot="1" x14ac:dyDescent="0.25">
      <c r="B9270" s="4">
        <v>9265</v>
      </c>
      <c r="C9270" s="10">
        <v>87.511406720330228</v>
      </c>
      <c r="D9270" s="42"/>
    </row>
    <row r="9271" spans="2:4" ht="16" thickBot="1" x14ac:dyDescent="0.25">
      <c r="B9271" s="5">
        <v>9266</v>
      </c>
      <c r="C9271" s="11">
        <v>117.07386755388795</v>
      </c>
      <c r="D9271" s="42"/>
    </row>
    <row r="9272" spans="2:4" ht="16" thickBot="1" x14ac:dyDescent="0.25">
      <c r="B9272" s="4">
        <v>9267</v>
      </c>
      <c r="C9272" s="10">
        <v>369.84657551940091</v>
      </c>
      <c r="D9272" s="42"/>
    </row>
    <row r="9273" spans="2:4" ht="16" thickBot="1" x14ac:dyDescent="0.25">
      <c r="B9273" s="5">
        <v>9268</v>
      </c>
      <c r="C9273" s="11">
        <v>182.86592363050019</v>
      </c>
      <c r="D9273" s="42"/>
    </row>
    <row r="9274" spans="2:4" ht="16" thickBot="1" x14ac:dyDescent="0.25">
      <c r="B9274" s="4">
        <v>9269</v>
      </c>
      <c r="C9274" s="10">
        <v>402.80011162570452</v>
      </c>
      <c r="D9274" s="42"/>
    </row>
    <row r="9275" spans="2:4" ht="16" thickBot="1" x14ac:dyDescent="0.25">
      <c r="B9275" s="5">
        <v>9270</v>
      </c>
      <c r="C9275" s="11">
        <v>169.29966182924591</v>
      </c>
      <c r="D9275" s="42"/>
    </row>
    <row r="9276" spans="2:4" ht="16" thickBot="1" x14ac:dyDescent="0.25">
      <c r="B9276" s="4">
        <v>9271</v>
      </c>
      <c r="C9276" s="10">
        <v>119.97697537479011</v>
      </c>
      <c r="D9276" s="42"/>
    </row>
    <row r="9277" spans="2:4" ht="16" thickBot="1" x14ac:dyDescent="0.25">
      <c r="B9277" s="5">
        <v>9272</v>
      </c>
      <c r="C9277" s="11">
        <v>421.97492773873745</v>
      </c>
      <c r="D9277" s="42"/>
    </row>
    <row r="9278" spans="2:4" ht="16" thickBot="1" x14ac:dyDescent="0.25">
      <c r="B9278" s="4">
        <v>9273</v>
      </c>
      <c r="C9278" s="10">
        <v>149.86590731472546</v>
      </c>
      <c r="D9278" s="42"/>
    </row>
    <row r="9279" spans="2:4" ht="16" thickBot="1" x14ac:dyDescent="0.25">
      <c r="B9279" s="5">
        <v>9274</v>
      </c>
      <c r="C9279" s="11">
        <v>439.46473719536857</v>
      </c>
      <c r="D9279" s="42"/>
    </row>
    <row r="9280" spans="2:4" ht="16" thickBot="1" x14ac:dyDescent="0.25">
      <c r="B9280" s="4">
        <v>9275</v>
      </c>
      <c r="C9280" s="10">
        <v>228.99736497463732</v>
      </c>
      <c r="D9280" s="42"/>
    </row>
    <row r="9281" spans="2:4" ht="16" thickBot="1" x14ac:dyDescent="0.25">
      <c r="B9281" s="5">
        <v>9276</v>
      </c>
      <c r="C9281" s="11">
        <v>708.10639764535597</v>
      </c>
      <c r="D9281" s="42"/>
    </row>
    <row r="9282" spans="2:4" ht="16" thickBot="1" x14ac:dyDescent="0.25">
      <c r="B9282" s="4">
        <v>9277</v>
      </c>
      <c r="C9282" s="10">
        <v>157.02811713166292</v>
      </c>
      <c r="D9282" s="42"/>
    </row>
    <row r="9283" spans="2:4" ht="16" thickBot="1" x14ac:dyDescent="0.25">
      <c r="B9283" s="5">
        <v>9278</v>
      </c>
      <c r="C9283" s="11">
        <v>340.38840456063383</v>
      </c>
      <c r="D9283" s="42"/>
    </row>
    <row r="9284" spans="2:4" ht="16" thickBot="1" x14ac:dyDescent="0.25">
      <c r="B9284" s="4">
        <v>9279</v>
      </c>
      <c r="C9284" s="10">
        <v>379.95150155168619</v>
      </c>
      <c r="D9284" s="42"/>
    </row>
    <row r="9285" spans="2:4" ht="16" thickBot="1" x14ac:dyDescent="0.25">
      <c r="B9285" s="5">
        <v>9280</v>
      </c>
      <c r="C9285" s="11">
        <v>243.97283895487104</v>
      </c>
      <c r="D9285" s="42"/>
    </row>
    <row r="9286" spans="2:4" ht="16" thickBot="1" x14ac:dyDescent="0.25">
      <c r="B9286" s="4">
        <v>9281</v>
      </c>
      <c r="C9286" s="10">
        <v>167.91147505904053</v>
      </c>
      <c r="D9286" s="42"/>
    </row>
    <row r="9287" spans="2:4" ht="16" thickBot="1" x14ac:dyDescent="0.25">
      <c r="B9287" s="5">
        <v>9282</v>
      </c>
      <c r="C9287" s="11">
        <v>184.55035195867723</v>
      </c>
      <c r="D9287" s="42"/>
    </row>
    <row r="9288" spans="2:4" ht="16" thickBot="1" x14ac:dyDescent="0.25">
      <c r="B9288" s="4">
        <v>9283</v>
      </c>
      <c r="C9288" s="10">
        <v>240.27938755679591</v>
      </c>
      <c r="D9288" s="42"/>
    </row>
    <row r="9289" spans="2:4" ht="16" thickBot="1" x14ac:dyDescent="0.25">
      <c r="B9289" s="5">
        <v>9284</v>
      </c>
      <c r="C9289" s="11">
        <v>393.72350006304549</v>
      </c>
      <c r="D9289" s="42"/>
    </row>
    <row r="9290" spans="2:4" ht="16" thickBot="1" x14ac:dyDescent="0.25">
      <c r="B9290" s="4">
        <v>9285</v>
      </c>
      <c r="C9290" s="10">
        <v>351.48138730175111</v>
      </c>
      <c r="D9290" s="42"/>
    </row>
    <row r="9291" spans="2:4" ht="16" thickBot="1" x14ac:dyDescent="0.25">
      <c r="B9291" s="5">
        <v>9286</v>
      </c>
      <c r="C9291" s="11">
        <v>143.59945315075274</v>
      </c>
      <c r="D9291" s="42"/>
    </row>
    <row r="9292" spans="2:4" ht="16" thickBot="1" x14ac:dyDescent="0.25">
      <c r="B9292" s="4">
        <v>9287</v>
      </c>
      <c r="C9292" s="10">
        <v>600.14953561313166</v>
      </c>
      <c r="D9292" s="42"/>
    </row>
    <row r="9293" spans="2:4" ht="16" thickBot="1" x14ac:dyDescent="0.25">
      <c r="B9293" s="5">
        <v>9288</v>
      </c>
      <c r="C9293" s="11">
        <v>187.41335042331715</v>
      </c>
      <c r="D9293" s="42"/>
    </row>
    <row r="9294" spans="2:4" ht="16" thickBot="1" x14ac:dyDescent="0.25">
      <c r="B9294" s="4">
        <v>9289</v>
      </c>
      <c r="C9294" s="10">
        <v>110.35045708817509</v>
      </c>
      <c r="D9294" s="42"/>
    </row>
    <row r="9295" spans="2:4" ht="16" thickBot="1" x14ac:dyDescent="0.25">
      <c r="B9295" s="5">
        <v>9290</v>
      </c>
      <c r="C9295" s="11">
        <v>57.701916384849035</v>
      </c>
      <c r="D9295" s="42"/>
    </row>
    <row r="9296" spans="2:4" ht="16" thickBot="1" x14ac:dyDescent="0.25">
      <c r="B9296" s="4">
        <v>9291</v>
      </c>
      <c r="C9296" s="10">
        <v>204.1709422826651</v>
      </c>
      <c r="D9296" s="42"/>
    </row>
    <row r="9297" spans="2:4" ht="16" thickBot="1" x14ac:dyDescent="0.25">
      <c r="B9297" s="5">
        <v>9292</v>
      </c>
      <c r="C9297" s="11">
        <v>159.23042198971143</v>
      </c>
      <c r="D9297" s="42"/>
    </row>
    <row r="9298" spans="2:4" ht="16" thickBot="1" x14ac:dyDescent="0.25">
      <c r="B9298" s="4">
        <v>9293</v>
      </c>
      <c r="C9298" s="10">
        <v>180.78416786774017</v>
      </c>
      <c r="D9298" s="42"/>
    </row>
    <row r="9299" spans="2:4" ht="16" thickBot="1" x14ac:dyDescent="0.25">
      <c r="B9299" s="5">
        <v>9294</v>
      </c>
      <c r="C9299" s="11">
        <v>392.02666484148563</v>
      </c>
      <c r="D9299" s="42"/>
    </row>
    <row r="9300" spans="2:4" ht="16" thickBot="1" x14ac:dyDescent="0.25">
      <c r="B9300" s="4">
        <v>9295</v>
      </c>
      <c r="C9300" s="10">
        <v>243.54699106114515</v>
      </c>
      <c r="D9300" s="42"/>
    </row>
    <row r="9301" spans="2:4" ht="16" thickBot="1" x14ac:dyDescent="0.25">
      <c r="B9301" s="5">
        <v>9296</v>
      </c>
      <c r="C9301" s="11">
        <v>462.99176545664227</v>
      </c>
      <c r="D9301" s="42"/>
    </row>
    <row r="9302" spans="2:4" ht="16" thickBot="1" x14ac:dyDescent="0.25">
      <c r="B9302" s="4">
        <v>9297</v>
      </c>
      <c r="C9302" s="10">
        <v>107.32493505234963</v>
      </c>
      <c r="D9302" s="42"/>
    </row>
    <row r="9303" spans="2:4" ht="16" thickBot="1" x14ac:dyDescent="0.25">
      <c r="B9303" s="5">
        <v>9298</v>
      </c>
      <c r="C9303" s="11">
        <v>252.65865020389705</v>
      </c>
      <c r="D9303" s="42"/>
    </row>
    <row r="9304" spans="2:4" ht="16" thickBot="1" x14ac:dyDescent="0.25">
      <c r="B9304" s="4">
        <v>9299</v>
      </c>
      <c r="C9304" s="10">
        <v>327.56891277258296</v>
      </c>
      <c r="D9304" s="42"/>
    </row>
    <row r="9305" spans="2:4" ht="16" thickBot="1" x14ac:dyDescent="0.25">
      <c r="B9305" s="5">
        <v>9300</v>
      </c>
      <c r="C9305" s="11">
        <v>641.73783959553907</v>
      </c>
      <c r="D9305" s="42"/>
    </row>
    <row r="9306" spans="2:4" ht="16" thickBot="1" x14ac:dyDescent="0.25">
      <c r="B9306" s="4">
        <v>9301</v>
      </c>
      <c r="C9306" s="10">
        <v>87.093495259790828</v>
      </c>
      <c r="D9306" s="42"/>
    </row>
    <row r="9307" spans="2:4" ht="16" thickBot="1" x14ac:dyDescent="0.25">
      <c r="B9307" s="5">
        <v>9302</v>
      </c>
      <c r="C9307" s="11">
        <v>668.34941068607236</v>
      </c>
      <c r="D9307" s="42"/>
    </row>
    <row r="9308" spans="2:4" ht="16" thickBot="1" x14ac:dyDescent="0.25">
      <c r="B9308" s="4">
        <v>9303</v>
      </c>
      <c r="C9308" s="10">
        <v>365.59277866198681</v>
      </c>
      <c r="D9308" s="42"/>
    </row>
    <row r="9309" spans="2:4" ht="16" thickBot="1" x14ac:dyDescent="0.25">
      <c r="B9309" s="5">
        <v>9304</v>
      </c>
      <c r="C9309" s="11">
        <v>573.52292294478241</v>
      </c>
      <c r="D9309" s="42"/>
    </row>
    <row r="9310" spans="2:4" ht="16" thickBot="1" x14ac:dyDescent="0.25">
      <c r="B9310" s="4">
        <v>9305</v>
      </c>
      <c r="C9310" s="10">
        <v>291.49346839487606</v>
      </c>
      <c r="D9310" s="42"/>
    </row>
    <row r="9311" spans="2:4" ht="16" thickBot="1" x14ac:dyDescent="0.25">
      <c r="B9311" s="5">
        <v>9306</v>
      </c>
      <c r="C9311" s="11">
        <v>283.83412640097407</v>
      </c>
      <c r="D9311" s="42"/>
    </row>
    <row r="9312" spans="2:4" ht="16" thickBot="1" x14ac:dyDescent="0.25">
      <c r="B9312" s="4">
        <v>9307</v>
      </c>
      <c r="C9312" s="10">
        <v>400.29288830468585</v>
      </c>
      <c r="D9312" s="42"/>
    </row>
    <row r="9313" spans="2:4" ht="16" thickBot="1" x14ac:dyDescent="0.25">
      <c r="B9313" s="5">
        <v>9308</v>
      </c>
      <c r="C9313" s="11">
        <v>202.12863189826686</v>
      </c>
      <c r="D9313" s="42"/>
    </row>
    <row r="9314" spans="2:4" ht="16" thickBot="1" x14ac:dyDescent="0.25">
      <c r="B9314" s="4">
        <v>9309</v>
      </c>
      <c r="C9314" s="10">
        <v>384.7745307907835</v>
      </c>
      <c r="D9314" s="42"/>
    </row>
    <row r="9315" spans="2:4" ht="16" thickBot="1" x14ac:dyDescent="0.25">
      <c r="B9315" s="5">
        <v>9310</v>
      </c>
      <c r="C9315" s="11">
        <v>322.72887628213834</v>
      </c>
      <c r="D9315" s="42"/>
    </row>
    <row r="9316" spans="2:4" ht="16" thickBot="1" x14ac:dyDescent="0.25">
      <c r="B9316" s="4">
        <v>9311</v>
      </c>
      <c r="C9316" s="10">
        <v>254.73527549997215</v>
      </c>
      <c r="D9316" s="42"/>
    </row>
    <row r="9317" spans="2:4" ht="16" thickBot="1" x14ac:dyDescent="0.25">
      <c r="B9317" s="5">
        <v>9312</v>
      </c>
      <c r="C9317" s="11">
        <v>261.17028216594144</v>
      </c>
      <c r="D9317" s="42"/>
    </row>
    <row r="9318" spans="2:4" ht="16" thickBot="1" x14ac:dyDescent="0.25">
      <c r="B9318" s="4">
        <v>9313</v>
      </c>
      <c r="C9318" s="10">
        <v>153.97327941965503</v>
      </c>
      <c r="D9318" s="42"/>
    </row>
    <row r="9319" spans="2:4" ht="16" thickBot="1" x14ac:dyDescent="0.25">
      <c r="B9319" s="5">
        <v>9314</v>
      </c>
      <c r="C9319" s="11">
        <v>113.27496483522283</v>
      </c>
      <c r="D9319" s="42"/>
    </row>
    <row r="9320" spans="2:4" ht="16" thickBot="1" x14ac:dyDescent="0.25">
      <c r="B9320" s="4">
        <v>9315</v>
      </c>
      <c r="C9320" s="10">
        <v>333.98538938125444</v>
      </c>
      <c r="D9320" s="42"/>
    </row>
    <row r="9321" spans="2:4" ht="16" thickBot="1" x14ac:dyDescent="0.25">
      <c r="B9321" s="5">
        <v>9316</v>
      </c>
      <c r="C9321" s="11">
        <v>499.17840054674389</v>
      </c>
      <c r="D9321" s="42"/>
    </row>
    <row r="9322" spans="2:4" ht="16" thickBot="1" x14ac:dyDescent="0.25">
      <c r="B9322" s="4">
        <v>9317</v>
      </c>
      <c r="C9322" s="10">
        <v>179.68322522649768</v>
      </c>
      <c r="D9322" s="42"/>
    </row>
    <row r="9323" spans="2:4" ht="16" thickBot="1" x14ac:dyDescent="0.25">
      <c r="B9323" s="5">
        <v>9318</v>
      </c>
      <c r="C9323" s="11">
        <v>113.87279093766949</v>
      </c>
      <c r="D9323" s="42"/>
    </row>
    <row r="9324" spans="2:4" ht="16" thickBot="1" x14ac:dyDescent="0.25">
      <c r="B9324" s="4">
        <v>9319</v>
      </c>
      <c r="C9324" s="10">
        <v>138.11842561023545</v>
      </c>
      <c r="D9324" s="42"/>
    </row>
    <row r="9325" spans="2:4" ht="16" thickBot="1" x14ac:dyDescent="0.25">
      <c r="B9325" s="5">
        <v>9320</v>
      </c>
      <c r="C9325" s="11">
        <v>156.41992051554305</v>
      </c>
      <c r="D9325" s="42"/>
    </row>
    <row r="9326" spans="2:4" ht="16" thickBot="1" x14ac:dyDescent="0.25">
      <c r="B9326" s="4">
        <v>9321</v>
      </c>
      <c r="C9326" s="10">
        <v>150.64400147106682</v>
      </c>
      <c r="D9326" s="42"/>
    </row>
    <row r="9327" spans="2:4" ht="16" thickBot="1" x14ac:dyDescent="0.25">
      <c r="B9327" s="5">
        <v>9322</v>
      </c>
      <c r="C9327" s="11">
        <v>385.3994312545251</v>
      </c>
      <c r="D9327" s="42"/>
    </row>
    <row r="9328" spans="2:4" ht="16" thickBot="1" x14ac:dyDescent="0.25">
      <c r="B9328" s="4">
        <v>9323</v>
      </c>
      <c r="C9328" s="10">
        <v>529.55480470897078</v>
      </c>
      <c r="D9328" s="42"/>
    </row>
    <row r="9329" spans="2:4" ht="16" thickBot="1" x14ac:dyDescent="0.25">
      <c r="B9329" s="5">
        <v>9324</v>
      </c>
      <c r="C9329" s="11">
        <v>216.54881995975612</v>
      </c>
      <c r="D9329" s="42"/>
    </row>
    <row r="9330" spans="2:4" ht="16" thickBot="1" x14ac:dyDescent="0.25">
      <c r="B9330" s="4">
        <v>9325</v>
      </c>
      <c r="C9330" s="10">
        <v>269.72835441558857</v>
      </c>
      <c r="D9330" s="42"/>
    </row>
    <row r="9331" spans="2:4" ht="16" thickBot="1" x14ac:dyDescent="0.25">
      <c r="B9331" s="5">
        <v>9326</v>
      </c>
      <c r="C9331" s="11">
        <v>219.42967123293562</v>
      </c>
      <c r="D9331" s="42"/>
    </row>
    <row r="9332" spans="2:4" ht="16" thickBot="1" x14ac:dyDescent="0.25">
      <c r="B9332" s="4">
        <v>9327</v>
      </c>
      <c r="C9332" s="10">
        <v>316.41209849155763</v>
      </c>
      <c r="D9332" s="42"/>
    </row>
    <row r="9333" spans="2:4" ht="16" thickBot="1" x14ac:dyDescent="0.25">
      <c r="B9333" s="5">
        <v>9328</v>
      </c>
      <c r="C9333" s="11">
        <v>201.14226040218219</v>
      </c>
      <c r="D9333" s="42"/>
    </row>
    <row r="9334" spans="2:4" ht="16" thickBot="1" x14ac:dyDescent="0.25">
      <c r="B9334" s="4">
        <v>9329</v>
      </c>
      <c r="C9334" s="10">
        <v>247.59492891276014</v>
      </c>
      <c r="D9334" s="42"/>
    </row>
    <row r="9335" spans="2:4" ht="16" thickBot="1" x14ac:dyDescent="0.25">
      <c r="B9335" s="5">
        <v>9330</v>
      </c>
      <c r="C9335" s="11">
        <v>262.96747112201575</v>
      </c>
      <c r="D9335" s="42"/>
    </row>
    <row r="9336" spans="2:4" ht="16" thickBot="1" x14ac:dyDescent="0.25">
      <c r="B9336" s="4">
        <v>9331</v>
      </c>
      <c r="C9336" s="10">
        <v>158.92684217010296</v>
      </c>
      <c r="D9336" s="42"/>
    </row>
    <row r="9337" spans="2:4" ht="16" thickBot="1" x14ac:dyDescent="0.25">
      <c r="B9337" s="5">
        <v>9332</v>
      </c>
      <c r="C9337" s="11">
        <v>316.01633941901719</v>
      </c>
      <c r="D9337" s="42"/>
    </row>
    <row r="9338" spans="2:4" ht="16" thickBot="1" x14ac:dyDescent="0.25">
      <c r="B9338" s="4">
        <v>9333</v>
      </c>
      <c r="C9338" s="10">
        <v>206.44299467991848</v>
      </c>
      <c r="D9338" s="42"/>
    </row>
    <row r="9339" spans="2:4" ht="16" thickBot="1" x14ac:dyDescent="0.25">
      <c r="B9339" s="5">
        <v>9334</v>
      </c>
      <c r="C9339" s="11">
        <v>731.76842659836291</v>
      </c>
      <c r="D9339" s="42"/>
    </row>
    <row r="9340" spans="2:4" ht="16" thickBot="1" x14ac:dyDescent="0.25">
      <c r="B9340" s="4">
        <v>9335</v>
      </c>
      <c r="C9340" s="10">
        <v>142.22816221286934</v>
      </c>
      <c r="D9340" s="42"/>
    </row>
    <row r="9341" spans="2:4" ht="16" thickBot="1" x14ac:dyDescent="0.25">
      <c r="B9341" s="5">
        <v>9336</v>
      </c>
      <c r="C9341" s="11">
        <v>258.45625680325145</v>
      </c>
      <c r="D9341" s="42"/>
    </row>
    <row r="9342" spans="2:4" ht="16" thickBot="1" x14ac:dyDescent="0.25">
      <c r="B9342" s="4">
        <v>9337</v>
      </c>
      <c r="C9342" s="10">
        <v>182.55456576668396</v>
      </c>
      <c r="D9342" s="42"/>
    </row>
    <row r="9343" spans="2:4" ht="16" thickBot="1" x14ac:dyDescent="0.25">
      <c r="B9343" s="5">
        <v>9338</v>
      </c>
      <c r="C9343" s="11">
        <v>82.602064551548565</v>
      </c>
      <c r="D9343" s="42"/>
    </row>
    <row r="9344" spans="2:4" ht="16" thickBot="1" x14ac:dyDescent="0.25">
      <c r="B9344" s="4">
        <v>9339</v>
      </c>
      <c r="C9344" s="10">
        <v>311.99084796916992</v>
      </c>
      <c r="D9344" s="42"/>
    </row>
    <row r="9345" spans="2:4" ht="16" thickBot="1" x14ac:dyDescent="0.25">
      <c r="B9345" s="5">
        <v>9340</v>
      </c>
      <c r="C9345" s="11">
        <v>319.03656364836695</v>
      </c>
      <c r="D9345" s="42"/>
    </row>
    <row r="9346" spans="2:4" ht="16" thickBot="1" x14ac:dyDescent="0.25">
      <c r="B9346" s="4">
        <v>9341</v>
      </c>
      <c r="C9346" s="10">
        <v>239.31380896163353</v>
      </c>
      <c r="D9346" s="42"/>
    </row>
    <row r="9347" spans="2:4" ht="16" thickBot="1" x14ac:dyDescent="0.25">
      <c r="B9347" s="5">
        <v>9342</v>
      </c>
      <c r="C9347" s="11">
        <v>170.36841007748703</v>
      </c>
      <c r="D9347" s="42"/>
    </row>
    <row r="9348" spans="2:4" ht="16" thickBot="1" x14ac:dyDescent="0.25">
      <c r="B9348" s="4">
        <v>9343</v>
      </c>
      <c r="C9348" s="10">
        <v>411.45033414343112</v>
      </c>
      <c r="D9348" s="42"/>
    </row>
    <row r="9349" spans="2:4" ht="16" thickBot="1" x14ac:dyDescent="0.25">
      <c r="B9349" s="5">
        <v>9344</v>
      </c>
      <c r="C9349" s="11">
        <v>272.38130970578567</v>
      </c>
      <c r="D9349" s="42"/>
    </row>
    <row r="9350" spans="2:4" ht="16" thickBot="1" x14ac:dyDescent="0.25">
      <c r="B9350" s="4">
        <v>9345</v>
      </c>
      <c r="C9350" s="10">
        <v>410.52466830986248</v>
      </c>
      <c r="D9350" s="42"/>
    </row>
    <row r="9351" spans="2:4" ht="16" thickBot="1" x14ac:dyDescent="0.25">
      <c r="B9351" s="5">
        <v>9346</v>
      </c>
      <c r="C9351" s="11">
        <v>200.89179869039748</v>
      </c>
      <c r="D9351" s="42"/>
    </row>
    <row r="9352" spans="2:4" ht="16" thickBot="1" x14ac:dyDescent="0.25">
      <c r="B9352" s="4">
        <v>9347</v>
      </c>
      <c r="C9352" s="10">
        <v>107.13585329864358</v>
      </c>
      <c r="D9352" s="42"/>
    </row>
    <row r="9353" spans="2:4" ht="16" thickBot="1" x14ac:dyDescent="0.25">
      <c r="B9353" s="5">
        <v>9348</v>
      </c>
      <c r="C9353" s="11">
        <v>93.8532539698395</v>
      </c>
      <c r="D9353" s="42"/>
    </row>
    <row r="9354" spans="2:4" ht="16" thickBot="1" x14ac:dyDescent="0.25">
      <c r="B9354" s="4">
        <v>9349</v>
      </c>
      <c r="C9354" s="10">
        <v>70.672105489040007</v>
      </c>
      <c r="D9354" s="42"/>
    </row>
    <row r="9355" spans="2:4" ht="16" thickBot="1" x14ac:dyDescent="0.25">
      <c r="B9355" s="5">
        <v>9350</v>
      </c>
      <c r="C9355" s="11">
        <v>217.07362492171549</v>
      </c>
      <c r="D9355" s="42"/>
    </row>
    <row r="9356" spans="2:4" ht="16" thickBot="1" x14ac:dyDescent="0.25">
      <c r="B9356" s="4">
        <v>9351</v>
      </c>
      <c r="C9356" s="10">
        <v>476.94586979725187</v>
      </c>
      <c r="D9356" s="42"/>
    </row>
    <row r="9357" spans="2:4" ht="16" thickBot="1" x14ac:dyDescent="0.25">
      <c r="B9357" s="5">
        <v>9352</v>
      </c>
      <c r="C9357" s="11">
        <v>775.66847598971742</v>
      </c>
      <c r="D9357" s="42"/>
    </row>
    <row r="9358" spans="2:4" ht="16" thickBot="1" x14ac:dyDescent="0.25">
      <c r="B9358" s="4">
        <v>9353</v>
      </c>
      <c r="C9358" s="10">
        <v>213.67724648040928</v>
      </c>
      <c r="D9358" s="42"/>
    </row>
    <row r="9359" spans="2:4" ht="16" thickBot="1" x14ac:dyDescent="0.25">
      <c r="B9359" s="5">
        <v>9354</v>
      </c>
      <c r="C9359" s="11">
        <v>99.594543029055487</v>
      </c>
      <c r="D9359" s="42"/>
    </row>
    <row r="9360" spans="2:4" ht="16" thickBot="1" x14ac:dyDescent="0.25">
      <c r="B9360" s="4">
        <v>9355</v>
      </c>
      <c r="C9360" s="10">
        <v>263.44180495117706</v>
      </c>
      <c r="D9360" s="42"/>
    </row>
    <row r="9361" spans="2:4" ht="16" thickBot="1" x14ac:dyDescent="0.25">
      <c r="B9361" s="5">
        <v>9356</v>
      </c>
      <c r="C9361" s="11">
        <v>360.71711550839598</v>
      </c>
      <c r="D9361" s="42"/>
    </row>
    <row r="9362" spans="2:4" ht="16" thickBot="1" x14ac:dyDescent="0.25">
      <c r="B9362" s="4">
        <v>9357</v>
      </c>
      <c r="C9362" s="10">
        <v>391.8017869663322</v>
      </c>
      <c r="D9362" s="42"/>
    </row>
    <row r="9363" spans="2:4" ht="16" thickBot="1" x14ac:dyDescent="0.25">
      <c r="B9363" s="5">
        <v>9358</v>
      </c>
      <c r="C9363" s="11">
        <v>409.4014939781714</v>
      </c>
      <c r="D9363" s="42"/>
    </row>
    <row r="9364" spans="2:4" ht="16" thickBot="1" x14ac:dyDescent="0.25">
      <c r="B9364" s="4">
        <v>9359</v>
      </c>
      <c r="C9364" s="10">
        <v>219.98400285068325</v>
      </c>
      <c r="D9364" s="42"/>
    </row>
    <row r="9365" spans="2:4" ht="16" thickBot="1" x14ac:dyDescent="0.25">
      <c r="B9365" s="5">
        <v>9360</v>
      </c>
      <c r="C9365" s="11">
        <v>224.50704916146262</v>
      </c>
      <c r="D9365" s="42"/>
    </row>
    <row r="9366" spans="2:4" ht="16" thickBot="1" x14ac:dyDescent="0.25">
      <c r="B9366" s="4">
        <v>9361</v>
      </c>
      <c r="C9366" s="10">
        <v>359.05452590642341</v>
      </c>
      <c r="D9366" s="42"/>
    </row>
    <row r="9367" spans="2:4" ht="16" thickBot="1" x14ac:dyDescent="0.25">
      <c r="B9367" s="5">
        <v>9362</v>
      </c>
      <c r="C9367" s="11">
        <v>445.8529968002577</v>
      </c>
      <c r="D9367" s="42"/>
    </row>
    <row r="9368" spans="2:4" ht="16" thickBot="1" x14ac:dyDescent="0.25">
      <c r="B9368" s="4">
        <v>9363</v>
      </c>
      <c r="C9368" s="10">
        <v>226.88455290496145</v>
      </c>
      <c r="D9368" s="42"/>
    </row>
    <row r="9369" spans="2:4" ht="16" thickBot="1" x14ac:dyDescent="0.25">
      <c r="B9369" s="5">
        <v>9364</v>
      </c>
      <c r="C9369" s="11">
        <v>223.07493133418504</v>
      </c>
      <c r="D9369" s="42"/>
    </row>
    <row r="9370" spans="2:4" ht="16" thickBot="1" x14ac:dyDescent="0.25">
      <c r="B9370" s="4">
        <v>9365</v>
      </c>
      <c r="C9370" s="10">
        <v>96.173402226824706</v>
      </c>
      <c r="D9370" s="42"/>
    </row>
    <row r="9371" spans="2:4" ht="16" thickBot="1" x14ac:dyDescent="0.25">
      <c r="B9371" s="5">
        <v>9366</v>
      </c>
      <c r="C9371" s="11">
        <v>393.66886514711814</v>
      </c>
      <c r="D9371" s="42"/>
    </row>
    <row r="9372" spans="2:4" ht="16" thickBot="1" x14ac:dyDescent="0.25">
      <c r="B9372" s="4">
        <v>9367</v>
      </c>
      <c r="C9372" s="10">
        <v>280.20831574452228</v>
      </c>
      <c r="D9372" s="42"/>
    </row>
    <row r="9373" spans="2:4" ht="16" thickBot="1" x14ac:dyDescent="0.25">
      <c r="B9373" s="5">
        <v>9368</v>
      </c>
      <c r="C9373" s="11">
        <v>157.91315442397948</v>
      </c>
      <c r="D9373" s="42"/>
    </row>
    <row r="9374" spans="2:4" ht="16" thickBot="1" x14ac:dyDescent="0.25">
      <c r="B9374" s="4">
        <v>9369</v>
      </c>
      <c r="C9374" s="10">
        <v>409.92653187869928</v>
      </c>
      <c r="D9374" s="42"/>
    </row>
    <row r="9375" spans="2:4" ht="16" thickBot="1" x14ac:dyDescent="0.25">
      <c r="B9375" s="5">
        <v>9370</v>
      </c>
      <c r="C9375" s="11">
        <v>343.38474108269071</v>
      </c>
      <c r="D9375" s="42"/>
    </row>
    <row r="9376" spans="2:4" ht="16" thickBot="1" x14ac:dyDescent="0.25">
      <c r="B9376" s="4">
        <v>9371</v>
      </c>
      <c r="C9376" s="10">
        <v>195.85503423814467</v>
      </c>
      <c r="D9376" s="42"/>
    </row>
    <row r="9377" spans="2:4" ht="16" thickBot="1" x14ac:dyDescent="0.25">
      <c r="B9377" s="5">
        <v>9372</v>
      </c>
      <c r="C9377" s="11">
        <v>719.97464409906786</v>
      </c>
      <c r="D9377" s="42"/>
    </row>
    <row r="9378" spans="2:4" ht="16" thickBot="1" x14ac:dyDescent="0.25">
      <c r="B9378" s="4">
        <v>9373</v>
      </c>
      <c r="C9378" s="10">
        <v>194.51188291220569</v>
      </c>
      <c r="D9378" s="42"/>
    </row>
    <row r="9379" spans="2:4" ht="16" thickBot="1" x14ac:dyDescent="0.25">
      <c r="B9379" s="5">
        <v>9374</v>
      </c>
      <c r="C9379" s="11">
        <v>130.9729493618884</v>
      </c>
      <c r="D9379" s="42"/>
    </row>
    <row r="9380" spans="2:4" ht="16" thickBot="1" x14ac:dyDescent="0.25">
      <c r="B9380" s="4">
        <v>9375</v>
      </c>
      <c r="C9380" s="10">
        <v>240.74548839855566</v>
      </c>
      <c r="D9380" s="42"/>
    </row>
    <row r="9381" spans="2:4" ht="16" thickBot="1" x14ac:dyDescent="0.25">
      <c r="B9381" s="5">
        <v>9376</v>
      </c>
      <c r="C9381" s="11">
        <v>139.12126322447588</v>
      </c>
      <c r="D9381" s="42"/>
    </row>
    <row r="9382" spans="2:4" ht="16" thickBot="1" x14ac:dyDescent="0.25">
      <c r="B9382" s="4">
        <v>9377</v>
      </c>
      <c r="C9382" s="10">
        <v>130.25262167303748</v>
      </c>
      <c r="D9382" s="42"/>
    </row>
    <row r="9383" spans="2:4" ht="16" thickBot="1" x14ac:dyDescent="0.25">
      <c r="B9383" s="5">
        <v>9378</v>
      </c>
      <c r="C9383" s="11">
        <v>136.18156852696757</v>
      </c>
      <c r="D9383" s="42"/>
    </row>
    <row r="9384" spans="2:4" ht="16" thickBot="1" x14ac:dyDescent="0.25">
      <c r="B9384" s="4">
        <v>9379</v>
      </c>
      <c r="C9384" s="10">
        <v>349.94158065014437</v>
      </c>
      <c r="D9384" s="42"/>
    </row>
    <row r="9385" spans="2:4" ht="16" thickBot="1" x14ac:dyDescent="0.25">
      <c r="B9385" s="5">
        <v>9380</v>
      </c>
      <c r="C9385" s="11">
        <v>260.75041295674617</v>
      </c>
      <c r="D9385" s="42"/>
    </row>
    <row r="9386" spans="2:4" ht="16" thickBot="1" x14ac:dyDescent="0.25">
      <c r="B9386" s="4">
        <v>9381</v>
      </c>
      <c r="C9386" s="10">
        <v>183.72905063128101</v>
      </c>
      <c r="D9386" s="42"/>
    </row>
    <row r="9387" spans="2:4" ht="16" thickBot="1" x14ac:dyDescent="0.25">
      <c r="B9387" s="5">
        <v>9382</v>
      </c>
      <c r="C9387" s="11">
        <v>273.90903016491671</v>
      </c>
      <c r="D9387" s="42"/>
    </row>
    <row r="9388" spans="2:4" ht="16" thickBot="1" x14ac:dyDescent="0.25">
      <c r="B9388" s="4">
        <v>9383</v>
      </c>
      <c r="C9388" s="10">
        <v>59.47653872379648</v>
      </c>
      <c r="D9388" s="42"/>
    </row>
    <row r="9389" spans="2:4" ht="16" thickBot="1" x14ac:dyDescent="0.25">
      <c r="B9389" s="5">
        <v>9384</v>
      </c>
      <c r="C9389" s="11">
        <v>332.63898325560319</v>
      </c>
      <c r="D9389" s="42"/>
    </row>
    <row r="9390" spans="2:4" ht="16" thickBot="1" x14ac:dyDescent="0.25">
      <c r="B9390" s="4">
        <v>9385</v>
      </c>
      <c r="C9390" s="10">
        <v>357.09452811756489</v>
      </c>
      <c r="D9390" s="42"/>
    </row>
    <row r="9391" spans="2:4" ht="16" thickBot="1" x14ac:dyDescent="0.25">
      <c r="B9391" s="5">
        <v>9386</v>
      </c>
      <c r="C9391" s="11">
        <v>312.60192814047326</v>
      </c>
      <c r="D9391" s="42"/>
    </row>
    <row r="9392" spans="2:4" ht="16" thickBot="1" x14ac:dyDescent="0.25">
      <c r="B9392" s="4">
        <v>9387</v>
      </c>
      <c r="C9392" s="10">
        <v>45.060752151908297</v>
      </c>
      <c r="D9392" s="42"/>
    </row>
    <row r="9393" spans="2:4" ht="16" thickBot="1" x14ac:dyDescent="0.25">
      <c r="B9393" s="5">
        <v>9388</v>
      </c>
      <c r="C9393" s="11">
        <v>154.6693116339045</v>
      </c>
      <c r="D9393" s="42"/>
    </row>
    <row r="9394" spans="2:4" ht="16" thickBot="1" x14ac:dyDescent="0.25">
      <c r="B9394" s="4">
        <v>9389</v>
      </c>
      <c r="C9394" s="10">
        <v>336.4404495122605</v>
      </c>
      <c r="D9394" s="42"/>
    </row>
    <row r="9395" spans="2:4" ht="16" thickBot="1" x14ac:dyDescent="0.25">
      <c r="B9395" s="5">
        <v>9390</v>
      </c>
      <c r="C9395" s="11">
        <v>182.47603172662664</v>
      </c>
      <c r="D9395" s="42"/>
    </row>
    <row r="9396" spans="2:4" ht="16" thickBot="1" x14ac:dyDescent="0.25">
      <c r="B9396" s="4">
        <v>9391</v>
      </c>
      <c r="C9396" s="10">
        <v>188.1107676795298</v>
      </c>
      <c r="D9396" s="42"/>
    </row>
    <row r="9397" spans="2:4" ht="16" thickBot="1" x14ac:dyDescent="0.25">
      <c r="B9397" s="5">
        <v>9392</v>
      </c>
      <c r="C9397" s="11">
        <v>421.98110280755213</v>
      </c>
      <c r="D9397" s="42"/>
    </row>
    <row r="9398" spans="2:4" ht="16" thickBot="1" x14ac:dyDescent="0.25">
      <c r="B9398" s="4">
        <v>9393</v>
      </c>
      <c r="C9398" s="10">
        <v>151.00810814819556</v>
      </c>
      <c r="D9398" s="42"/>
    </row>
    <row r="9399" spans="2:4" ht="16" thickBot="1" x14ac:dyDescent="0.25">
      <c r="B9399" s="5">
        <v>9394</v>
      </c>
      <c r="C9399" s="11">
        <v>263.99329550310239</v>
      </c>
      <c r="D9399" s="42"/>
    </row>
    <row r="9400" spans="2:4" ht="16" thickBot="1" x14ac:dyDescent="0.25">
      <c r="B9400" s="4">
        <v>9395</v>
      </c>
      <c r="C9400" s="10">
        <v>426.98147370026987</v>
      </c>
      <c r="D9400" s="42"/>
    </row>
    <row r="9401" spans="2:4" ht="16" thickBot="1" x14ac:dyDescent="0.25">
      <c r="B9401" s="5">
        <v>9396</v>
      </c>
      <c r="C9401" s="11">
        <v>265.65266363505754</v>
      </c>
      <c r="D9401" s="42"/>
    </row>
    <row r="9402" spans="2:4" ht="16" thickBot="1" x14ac:dyDescent="0.25">
      <c r="B9402" s="4">
        <v>9397</v>
      </c>
      <c r="C9402" s="10">
        <v>184.79204756080782</v>
      </c>
      <c r="D9402" s="42"/>
    </row>
    <row r="9403" spans="2:4" ht="16" thickBot="1" x14ac:dyDescent="0.25">
      <c r="B9403" s="5">
        <v>9398</v>
      </c>
      <c r="C9403" s="11">
        <v>70.946160526754724</v>
      </c>
      <c r="D9403" s="42"/>
    </row>
    <row r="9404" spans="2:4" ht="16" thickBot="1" x14ac:dyDescent="0.25">
      <c r="B9404" s="4">
        <v>9399</v>
      </c>
      <c r="C9404" s="10">
        <v>193.26567301462316</v>
      </c>
      <c r="D9404" s="42"/>
    </row>
    <row r="9405" spans="2:4" ht="16" thickBot="1" x14ac:dyDescent="0.25">
      <c r="B9405" s="5">
        <v>9400</v>
      </c>
      <c r="C9405" s="11">
        <v>397.70079963441759</v>
      </c>
      <c r="D9405" s="42"/>
    </row>
    <row r="9406" spans="2:4" ht="16" thickBot="1" x14ac:dyDescent="0.25">
      <c r="B9406" s="4">
        <v>9401</v>
      </c>
      <c r="C9406" s="10">
        <v>290.14680919563136</v>
      </c>
      <c r="D9406" s="42"/>
    </row>
    <row r="9407" spans="2:4" ht="16" thickBot="1" x14ac:dyDescent="0.25">
      <c r="B9407" s="5">
        <v>9402</v>
      </c>
      <c r="C9407" s="11">
        <v>177.39238524449209</v>
      </c>
      <c r="D9407" s="42"/>
    </row>
    <row r="9408" spans="2:4" ht="16" thickBot="1" x14ac:dyDescent="0.25">
      <c r="B9408" s="4">
        <v>9403</v>
      </c>
      <c r="C9408" s="10">
        <v>112.90997221207442</v>
      </c>
      <c r="D9408" s="42"/>
    </row>
    <row r="9409" spans="2:4" ht="16" thickBot="1" x14ac:dyDescent="0.25">
      <c r="B9409" s="5">
        <v>9404</v>
      </c>
      <c r="C9409" s="11">
        <v>151.54730568664442</v>
      </c>
      <c r="D9409" s="42"/>
    </row>
    <row r="9410" spans="2:4" ht="16" thickBot="1" x14ac:dyDescent="0.25">
      <c r="B9410" s="4">
        <v>9405</v>
      </c>
      <c r="C9410" s="10">
        <v>474.41224167098358</v>
      </c>
      <c r="D9410" s="42"/>
    </row>
    <row r="9411" spans="2:4" ht="16" thickBot="1" x14ac:dyDescent="0.25">
      <c r="B9411" s="5">
        <v>9406</v>
      </c>
      <c r="C9411" s="11">
        <v>232.61847680497414</v>
      </c>
      <c r="D9411" s="42"/>
    </row>
    <row r="9412" spans="2:4" ht="16" thickBot="1" x14ac:dyDescent="0.25">
      <c r="B9412" s="4">
        <v>9407</v>
      </c>
      <c r="C9412" s="10">
        <v>86.783350725878194</v>
      </c>
      <c r="D9412" s="42"/>
    </row>
    <row r="9413" spans="2:4" ht="16" thickBot="1" x14ac:dyDescent="0.25">
      <c r="B9413" s="5">
        <v>9408</v>
      </c>
      <c r="C9413" s="11">
        <v>235.3474867247601</v>
      </c>
      <c r="D9413" s="42"/>
    </row>
    <row r="9414" spans="2:4" ht="16" thickBot="1" x14ac:dyDescent="0.25">
      <c r="B9414" s="4">
        <v>9409</v>
      </c>
      <c r="C9414" s="10">
        <v>112.67738927177722</v>
      </c>
      <c r="D9414" s="42"/>
    </row>
    <row r="9415" spans="2:4" ht="16" thickBot="1" x14ac:dyDescent="0.25">
      <c r="B9415" s="5">
        <v>9410</v>
      </c>
      <c r="C9415" s="11">
        <v>142.99934580687759</v>
      </c>
      <c r="D9415" s="42"/>
    </row>
    <row r="9416" spans="2:4" ht="16" thickBot="1" x14ac:dyDescent="0.25">
      <c r="B9416" s="4">
        <v>9411</v>
      </c>
      <c r="C9416" s="10">
        <v>396.14241082383256</v>
      </c>
      <c r="D9416" s="42"/>
    </row>
    <row r="9417" spans="2:4" ht="16" thickBot="1" x14ac:dyDescent="0.25">
      <c r="B9417" s="5">
        <v>9412</v>
      </c>
      <c r="C9417" s="11">
        <v>435.14605556745653</v>
      </c>
      <c r="D9417" s="42"/>
    </row>
    <row r="9418" spans="2:4" ht="16" thickBot="1" x14ac:dyDescent="0.25">
      <c r="B9418" s="4">
        <v>9413</v>
      </c>
      <c r="C9418" s="10">
        <v>297.97328397608322</v>
      </c>
      <c r="D9418" s="42"/>
    </row>
    <row r="9419" spans="2:4" ht="16" thickBot="1" x14ac:dyDescent="0.25">
      <c r="B9419" s="5">
        <v>9414</v>
      </c>
      <c r="C9419" s="11">
        <v>735.03090676016609</v>
      </c>
      <c r="D9419" s="42"/>
    </row>
    <row r="9420" spans="2:4" ht="16" thickBot="1" x14ac:dyDescent="0.25">
      <c r="B9420" s="4">
        <v>9415</v>
      </c>
      <c r="C9420" s="10">
        <v>117.08532830628015</v>
      </c>
      <c r="D9420" s="42"/>
    </row>
    <row r="9421" spans="2:4" ht="16" thickBot="1" x14ac:dyDescent="0.25">
      <c r="B9421" s="5">
        <v>9416</v>
      </c>
      <c r="C9421" s="11">
        <v>401.8999749417606</v>
      </c>
      <c r="D9421" s="42"/>
    </row>
    <row r="9422" spans="2:4" ht="16" thickBot="1" x14ac:dyDescent="0.25">
      <c r="B9422" s="4">
        <v>9417</v>
      </c>
      <c r="C9422" s="10">
        <v>388.2686185171948</v>
      </c>
      <c r="D9422" s="42"/>
    </row>
    <row r="9423" spans="2:4" ht="16" thickBot="1" x14ac:dyDescent="0.25">
      <c r="B9423" s="5">
        <v>9418</v>
      </c>
      <c r="C9423" s="11">
        <v>173.7247318622172</v>
      </c>
      <c r="D9423" s="42"/>
    </row>
    <row r="9424" spans="2:4" ht="16" thickBot="1" x14ac:dyDescent="0.25">
      <c r="B9424" s="4">
        <v>9419</v>
      </c>
      <c r="C9424" s="10">
        <v>125.98767958702324</v>
      </c>
      <c r="D9424" s="42"/>
    </row>
    <row r="9425" spans="2:4" ht="16" thickBot="1" x14ac:dyDescent="0.25">
      <c r="B9425" s="5">
        <v>9420</v>
      </c>
      <c r="C9425" s="11">
        <v>478.09042953795267</v>
      </c>
      <c r="D9425" s="42"/>
    </row>
    <row r="9426" spans="2:4" ht="16" thickBot="1" x14ac:dyDescent="0.25">
      <c r="B9426" s="4">
        <v>9421</v>
      </c>
      <c r="C9426" s="10">
        <v>357.8454210748526</v>
      </c>
      <c r="D9426" s="42"/>
    </row>
    <row r="9427" spans="2:4" ht="16" thickBot="1" x14ac:dyDescent="0.25">
      <c r="B9427" s="5">
        <v>9422</v>
      </c>
      <c r="C9427" s="11">
        <v>199.33824881593458</v>
      </c>
      <c r="D9427" s="42"/>
    </row>
    <row r="9428" spans="2:4" ht="16" thickBot="1" x14ac:dyDescent="0.25">
      <c r="B9428" s="4">
        <v>9423</v>
      </c>
      <c r="C9428" s="10">
        <v>183.07457941317836</v>
      </c>
      <c r="D9428" s="42"/>
    </row>
    <row r="9429" spans="2:4" ht="16" thickBot="1" x14ac:dyDescent="0.25">
      <c r="B9429" s="5">
        <v>9424</v>
      </c>
      <c r="C9429" s="11">
        <v>371.58635759732829</v>
      </c>
      <c r="D9429" s="42"/>
    </row>
    <row r="9430" spans="2:4" ht="16" thickBot="1" x14ac:dyDescent="0.25">
      <c r="B9430" s="4">
        <v>9425</v>
      </c>
      <c r="C9430" s="10">
        <v>285.63856012839454</v>
      </c>
      <c r="D9430" s="42"/>
    </row>
    <row r="9431" spans="2:4" ht="16" thickBot="1" x14ac:dyDescent="0.25">
      <c r="B9431" s="5">
        <v>9426</v>
      </c>
      <c r="C9431" s="11">
        <v>211.06277816728684</v>
      </c>
      <c r="D9431" s="42"/>
    </row>
    <row r="9432" spans="2:4" ht="16" thickBot="1" x14ac:dyDescent="0.25">
      <c r="B9432" s="4">
        <v>9427</v>
      </c>
      <c r="C9432" s="10">
        <v>210.3644314503216</v>
      </c>
      <c r="D9432" s="42"/>
    </row>
    <row r="9433" spans="2:4" ht="16" thickBot="1" x14ac:dyDescent="0.25">
      <c r="B9433" s="5">
        <v>9428</v>
      </c>
      <c r="C9433" s="11">
        <v>59.258779175014674</v>
      </c>
      <c r="D9433" s="42"/>
    </row>
    <row r="9434" spans="2:4" ht="16" thickBot="1" x14ac:dyDescent="0.25">
      <c r="B9434" s="4">
        <v>9429</v>
      </c>
      <c r="C9434" s="10">
        <v>464.07000927164529</v>
      </c>
      <c r="D9434" s="42"/>
    </row>
    <row r="9435" spans="2:4" ht="16" thickBot="1" x14ac:dyDescent="0.25">
      <c r="B9435" s="5">
        <v>9430</v>
      </c>
      <c r="C9435" s="11">
        <v>252.62121908822147</v>
      </c>
      <c r="D9435" s="42"/>
    </row>
    <row r="9436" spans="2:4" ht="16" thickBot="1" x14ac:dyDescent="0.25">
      <c r="B9436" s="4">
        <v>9431</v>
      </c>
      <c r="C9436" s="10">
        <v>223.88585417696294</v>
      </c>
      <c r="D9436" s="42"/>
    </row>
    <row r="9437" spans="2:4" ht="16" thickBot="1" x14ac:dyDescent="0.25">
      <c r="B9437" s="5">
        <v>9432</v>
      </c>
      <c r="C9437" s="11">
        <v>249.70785541074707</v>
      </c>
      <c r="D9437" s="42"/>
    </row>
    <row r="9438" spans="2:4" ht="16" thickBot="1" x14ac:dyDescent="0.25">
      <c r="B9438" s="4">
        <v>9433</v>
      </c>
      <c r="C9438" s="10">
        <v>416.82577615108909</v>
      </c>
      <c r="D9438" s="42"/>
    </row>
    <row r="9439" spans="2:4" ht="16" thickBot="1" x14ac:dyDescent="0.25">
      <c r="B9439" s="5">
        <v>9434</v>
      </c>
      <c r="C9439" s="11">
        <v>96.248176028529272</v>
      </c>
      <c r="D9439" s="42"/>
    </row>
    <row r="9440" spans="2:4" ht="16" thickBot="1" x14ac:dyDescent="0.25">
      <c r="B9440" s="4">
        <v>9435</v>
      </c>
      <c r="C9440" s="10">
        <v>86.181382968588167</v>
      </c>
      <c r="D9440" s="42"/>
    </row>
    <row r="9441" spans="2:4" ht="16" thickBot="1" x14ac:dyDescent="0.25">
      <c r="B9441" s="5">
        <v>9436</v>
      </c>
      <c r="C9441" s="11">
        <v>361.8886912616228</v>
      </c>
      <c r="D9441" s="42"/>
    </row>
    <row r="9442" spans="2:4" ht="16" thickBot="1" x14ac:dyDescent="0.25">
      <c r="B9442" s="4">
        <v>9437</v>
      </c>
      <c r="C9442" s="10">
        <v>107.48262232840015</v>
      </c>
      <c r="D9442" s="42"/>
    </row>
    <row r="9443" spans="2:4" ht="16" thickBot="1" x14ac:dyDescent="0.25">
      <c r="B9443" s="5">
        <v>9438</v>
      </c>
      <c r="C9443" s="11">
        <v>243.94868641542445</v>
      </c>
      <c r="D9443" s="42"/>
    </row>
    <row r="9444" spans="2:4" ht="16" thickBot="1" x14ac:dyDescent="0.25">
      <c r="B9444" s="4">
        <v>9439</v>
      </c>
      <c r="C9444" s="10">
        <v>300.48930091376354</v>
      </c>
      <c r="D9444" s="42"/>
    </row>
    <row r="9445" spans="2:4" ht="16" thickBot="1" x14ac:dyDescent="0.25">
      <c r="B9445" s="5">
        <v>9440</v>
      </c>
      <c r="C9445" s="11">
        <v>44.975934046179709</v>
      </c>
      <c r="D9445" s="42"/>
    </row>
    <row r="9446" spans="2:4" ht="16" thickBot="1" x14ac:dyDescent="0.25">
      <c r="B9446" s="4">
        <v>9441</v>
      </c>
      <c r="C9446" s="10">
        <v>416.18501888450265</v>
      </c>
      <c r="D9446" s="42"/>
    </row>
    <row r="9447" spans="2:4" ht="16" thickBot="1" x14ac:dyDescent="0.25">
      <c r="B9447" s="5">
        <v>9442</v>
      </c>
      <c r="C9447" s="11">
        <v>227.02167043263319</v>
      </c>
      <c r="D9447" s="42"/>
    </row>
    <row r="9448" spans="2:4" ht="16" thickBot="1" x14ac:dyDescent="0.25">
      <c r="B9448" s="4">
        <v>9443</v>
      </c>
      <c r="C9448" s="10">
        <v>153.50589774497871</v>
      </c>
      <c r="D9448" s="42"/>
    </row>
    <row r="9449" spans="2:4" ht="16" thickBot="1" x14ac:dyDescent="0.25">
      <c r="B9449" s="5">
        <v>9444</v>
      </c>
      <c r="C9449" s="11">
        <v>281.51426064816911</v>
      </c>
      <c r="D9449" s="42"/>
    </row>
    <row r="9450" spans="2:4" ht="16" thickBot="1" x14ac:dyDescent="0.25">
      <c r="B9450" s="4">
        <v>9445</v>
      </c>
      <c r="C9450" s="10">
        <v>660.77810385407406</v>
      </c>
      <c r="D9450" s="42"/>
    </row>
    <row r="9451" spans="2:4" ht="16" thickBot="1" x14ac:dyDescent="0.25">
      <c r="B9451" s="5">
        <v>9446</v>
      </c>
      <c r="C9451" s="11">
        <v>476.55088910312384</v>
      </c>
      <c r="D9451" s="42"/>
    </row>
    <row r="9452" spans="2:4" ht="16" thickBot="1" x14ac:dyDescent="0.25">
      <c r="B9452" s="4">
        <v>9447</v>
      </c>
      <c r="C9452" s="10">
        <v>397.39020324030332</v>
      </c>
      <c r="D9452" s="42"/>
    </row>
    <row r="9453" spans="2:4" ht="16" thickBot="1" x14ac:dyDescent="0.25">
      <c r="B9453" s="5">
        <v>9448</v>
      </c>
      <c r="C9453" s="11">
        <v>558.47916086493888</v>
      </c>
      <c r="D9453" s="42"/>
    </row>
    <row r="9454" spans="2:4" ht="16" thickBot="1" x14ac:dyDescent="0.25">
      <c r="B9454" s="4">
        <v>9449</v>
      </c>
      <c r="C9454" s="10">
        <v>57.069072045914844</v>
      </c>
      <c r="D9454" s="42"/>
    </row>
    <row r="9455" spans="2:4" ht="16" thickBot="1" x14ac:dyDescent="0.25">
      <c r="B9455" s="5">
        <v>9450</v>
      </c>
      <c r="C9455" s="11">
        <v>88.957582225896061</v>
      </c>
      <c r="D9455" s="42"/>
    </row>
    <row r="9456" spans="2:4" ht="16" thickBot="1" x14ac:dyDescent="0.25">
      <c r="B9456" s="4">
        <v>9451</v>
      </c>
      <c r="C9456" s="10">
        <v>320.96624582218215</v>
      </c>
      <c r="D9456" s="42"/>
    </row>
    <row r="9457" spans="2:4" ht="16" thickBot="1" x14ac:dyDescent="0.25">
      <c r="B9457" s="5">
        <v>9452</v>
      </c>
      <c r="C9457" s="11">
        <v>274.60383412961454</v>
      </c>
      <c r="D9457" s="42"/>
    </row>
    <row r="9458" spans="2:4" ht="16" thickBot="1" x14ac:dyDescent="0.25">
      <c r="B9458" s="4">
        <v>9453</v>
      </c>
      <c r="C9458" s="10">
        <v>266.96109613748058</v>
      </c>
      <c r="D9458" s="42"/>
    </row>
    <row r="9459" spans="2:4" ht="16" thickBot="1" x14ac:dyDescent="0.25">
      <c r="B9459" s="5">
        <v>9454</v>
      </c>
      <c r="C9459" s="11">
        <v>358.78610506149369</v>
      </c>
      <c r="D9459" s="42"/>
    </row>
    <row r="9460" spans="2:4" ht="16" thickBot="1" x14ac:dyDescent="0.25">
      <c r="B9460" s="4">
        <v>9455</v>
      </c>
      <c r="C9460" s="10">
        <v>58.221420851318335</v>
      </c>
      <c r="D9460" s="42"/>
    </row>
    <row r="9461" spans="2:4" ht="16" thickBot="1" x14ac:dyDescent="0.25">
      <c r="B9461" s="5">
        <v>9456</v>
      </c>
      <c r="C9461" s="11">
        <v>233.00694391563508</v>
      </c>
      <c r="D9461" s="42"/>
    </row>
    <row r="9462" spans="2:4" ht="16" thickBot="1" x14ac:dyDescent="0.25">
      <c r="B9462" s="4">
        <v>9457</v>
      </c>
      <c r="C9462" s="10">
        <v>353.65788407206179</v>
      </c>
      <c r="D9462" s="42"/>
    </row>
    <row r="9463" spans="2:4" ht="16" thickBot="1" x14ac:dyDescent="0.25">
      <c r="B9463" s="5">
        <v>9458</v>
      </c>
      <c r="C9463" s="11">
        <v>132.45938034088596</v>
      </c>
      <c r="D9463" s="42"/>
    </row>
    <row r="9464" spans="2:4" ht="16" thickBot="1" x14ac:dyDescent="0.25">
      <c r="B9464" s="4">
        <v>9459</v>
      </c>
      <c r="C9464" s="10">
        <v>291.52616758692699</v>
      </c>
      <c r="D9464" s="42"/>
    </row>
    <row r="9465" spans="2:4" ht="16" thickBot="1" x14ac:dyDescent="0.25">
      <c r="B9465" s="5">
        <v>9460</v>
      </c>
      <c r="C9465" s="11">
        <v>306.24693601242484</v>
      </c>
      <c r="D9465" s="42"/>
    </row>
    <row r="9466" spans="2:4" ht="16" thickBot="1" x14ac:dyDescent="0.25">
      <c r="B9466" s="4">
        <v>9461</v>
      </c>
      <c r="C9466" s="10">
        <v>123.97748250536893</v>
      </c>
      <c r="D9466" s="42"/>
    </row>
    <row r="9467" spans="2:4" ht="16" thickBot="1" x14ac:dyDescent="0.25">
      <c r="B9467" s="5">
        <v>9462</v>
      </c>
      <c r="C9467" s="11">
        <v>220.99941512772759</v>
      </c>
      <c r="D9467" s="42"/>
    </row>
    <row r="9468" spans="2:4" ht="16" thickBot="1" x14ac:dyDescent="0.25">
      <c r="B9468" s="4">
        <v>9463</v>
      </c>
      <c r="C9468" s="10">
        <v>502.32011107051454</v>
      </c>
      <c r="D9468" s="42"/>
    </row>
    <row r="9469" spans="2:4" ht="16" thickBot="1" x14ac:dyDescent="0.25">
      <c r="B9469" s="5">
        <v>9464</v>
      </c>
      <c r="C9469" s="11">
        <v>214.26624091636268</v>
      </c>
      <c r="D9469" s="42"/>
    </row>
    <row r="9470" spans="2:4" ht="16" thickBot="1" x14ac:dyDescent="0.25">
      <c r="B9470" s="4">
        <v>9465</v>
      </c>
      <c r="C9470" s="10">
        <v>267.270439909385</v>
      </c>
      <c r="D9470" s="42"/>
    </row>
    <row r="9471" spans="2:4" ht="16" thickBot="1" x14ac:dyDescent="0.25">
      <c r="B9471" s="5">
        <v>9466</v>
      </c>
      <c r="C9471" s="11">
        <v>298.75325206950754</v>
      </c>
      <c r="D9471" s="42"/>
    </row>
    <row r="9472" spans="2:4" ht="16" thickBot="1" x14ac:dyDescent="0.25">
      <c r="B9472" s="4">
        <v>9467</v>
      </c>
      <c r="C9472" s="10">
        <v>422.98166211128495</v>
      </c>
      <c r="D9472" s="42"/>
    </row>
    <row r="9473" spans="2:4" ht="16" thickBot="1" x14ac:dyDescent="0.25">
      <c r="B9473" s="5">
        <v>9468</v>
      </c>
      <c r="C9473" s="11">
        <v>204.30720830598042</v>
      </c>
      <c r="D9473" s="42"/>
    </row>
    <row r="9474" spans="2:4" ht="16" thickBot="1" x14ac:dyDescent="0.25">
      <c r="B9474" s="4">
        <v>9469</v>
      </c>
      <c r="C9474" s="10">
        <v>165.9987918088751</v>
      </c>
      <c r="D9474" s="42"/>
    </row>
    <row r="9475" spans="2:4" ht="16" thickBot="1" x14ac:dyDescent="0.25">
      <c r="B9475" s="5">
        <v>9470</v>
      </c>
      <c r="C9475" s="11">
        <v>287.38438180624763</v>
      </c>
      <c r="D9475" s="42"/>
    </row>
    <row r="9476" spans="2:4" ht="16" thickBot="1" x14ac:dyDescent="0.25">
      <c r="B9476" s="4">
        <v>9471</v>
      </c>
      <c r="C9476" s="10">
        <v>183.88144279021543</v>
      </c>
      <c r="D9476" s="42"/>
    </row>
    <row r="9477" spans="2:4" ht="16" thickBot="1" x14ac:dyDescent="0.25">
      <c r="B9477" s="5">
        <v>9472</v>
      </c>
      <c r="C9477" s="11">
        <v>203.06775947517372</v>
      </c>
      <c r="D9477" s="42"/>
    </row>
    <row r="9478" spans="2:4" ht="16" thickBot="1" x14ac:dyDescent="0.25">
      <c r="B9478" s="4">
        <v>9473</v>
      </c>
      <c r="C9478" s="10">
        <v>301.17270374648729</v>
      </c>
      <c r="D9478" s="42"/>
    </row>
    <row r="9479" spans="2:4" ht="16" thickBot="1" x14ac:dyDescent="0.25">
      <c r="B9479" s="5">
        <v>9474</v>
      </c>
      <c r="C9479" s="11">
        <v>121.92343081697899</v>
      </c>
      <c r="D9479" s="42"/>
    </row>
    <row r="9480" spans="2:4" ht="16" thickBot="1" x14ac:dyDescent="0.25">
      <c r="B9480" s="4">
        <v>9475</v>
      </c>
      <c r="C9480" s="10">
        <v>170.54572042084175</v>
      </c>
      <c r="D9480" s="42"/>
    </row>
    <row r="9481" spans="2:4" ht="16" thickBot="1" x14ac:dyDescent="0.25">
      <c r="B9481" s="5">
        <v>9476</v>
      </c>
      <c r="C9481" s="11">
        <v>352.53049349275278</v>
      </c>
      <c r="D9481" s="42"/>
    </row>
    <row r="9482" spans="2:4" ht="16" thickBot="1" x14ac:dyDescent="0.25">
      <c r="B9482" s="4">
        <v>9477</v>
      </c>
      <c r="C9482" s="10">
        <v>467.17703123134339</v>
      </c>
      <c r="D9482" s="42"/>
    </row>
    <row r="9483" spans="2:4" ht="16" thickBot="1" x14ac:dyDescent="0.25">
      <c r="B9483" s="5">
        <v>9478</v>
      </c>
      <c r="C9483" s="11">
        <v>221.1013450866696</v>
      </c>
      <c r="D9483" s="42"/>
    </row>
    <row r="9484" spans="2:4" ht="16" thickBot="1" x14ac:dyDescent="0.25">
      <c r="B9484" s="4">
        <v>9479</v>
      </c>
      <c r="C9484" s="10">
        <v>117.40087444184836</v>
      </c>
      <c r="D9484" s="42"/>
    </row>
    <row r="9485" spans="2:4" ht="16" thickBot="1" x14ac:dyDescent="0.25">
      <c r="B9485" s="5">
        <v>9480</v>
      </c>
      <c r="C9485" s="11">
        <v>117.45823545658864</v>
      </c>
      <c r="D9485" s="42"/>
    </row>
    <row r="9486" spans="2:4" ht="16" thickBot="1" x14ac:dyDescent="0.25">
      <c r="B9486" s="4">
        <v>9481</v>
      </c>
      <c r="C9486" s="10">
        <v>317.28736855230323</v>
      </c>
      <c r="D9486" s="42"/>
    </row>
    <row r="9487" spans="2:4" ht="16" thickBot="1" x14ac:dyDescent="0.25">
      <c r="B9487" s="5">
        <v>9482</v>
      </c>
      <c r="C9487" s="11">
        <v>173.85648668329867</v>
      </c>
      <c r="D9487" s="42"/>
    </row>
    <row r="9488" spans="2:4" ht="16" thickBot="1" x14ac:dyDescent="0.25">
      <c r="B9488" s="4">
        <v>9483</v>
      </c>
      <c r="C9488" s="10">
        <v>459.18070837542979</v>
      </c>
      <c r="D9488" s="42"/>
    </row>
    <row r="9489" spans="2:4" ht="16" thickBot="1" x14ac:dyDescent="0.25">
      <c r="B9489" s="5">
        <v>9484</v>
      </c>
      <c r="C9489" s="11">
        <v>204.07201600333457</v>
      </c>
      <c r="D9489" s="42"/>
    </row>
    <row r="9490" spans="2:4" ht="16" thickBot="1" x14ac:dyDescent="0.25">
      <c r="B9490" s="4">
        <v>9485</v>
      </c>
      <c r="C9490" s="10">
        <v>298.54739422349809</v>
      </c>
      <c r="D9490" s="42"/>
    </row>
    <row r="9491" spans="2:4" ht="16" thickBot="1" x14ac:dyDescent="0.25">
      <c r="B9491" s="5">
        <v>9486</v>
      </c>
      <c r="C9491" s="11">
        <v>263.00523302506588</v>
      </c>
      <c r="D9491" s="42"/>
    </row>
    <row r="9492" spans="2:4" ht="16" thickBot="1" x14ac:dyDescent="0.25">
      <c r="B9492" s="4">
        <v>9487</v>
      </c>
      <c r="C9492" s="10">
        <v>171.97738434063709</v>
      </c>
      <c r="D9492" s="42"/>
    </row>
    <row r="9493" spans="2:4" ht="16" thickBot="1" x14ac:dyDescent="0.25">
      <c r="B9493" s="5">
        <v>9488</v>
      </c>
      <c r="C9493" s="11">
        <v>271.50318911502023</v>
      </c>
      <c r="D9493" s="42"/>
    </row>
    <row r="9494" spans="2:4" ht="16" thickBot="1" x14ac:dyDescent="0.25">
      <c r="B9494" s="4">
        <v>9489</v>
      </c>
      <c r="C9494" s="10">
        <v>203.0033260672632</v>
      </c>
      <c r="D9494" s="42"/>
    </row>
    <row r="9495" spans="2:4" ht="16" thickBot="1" x14ac:dyDescent="0.25">
      <c r="B9495" s="5">
        <v>9490</v>
      </c>
      <c r="C9495" s="11">
        <v>135.87751620817028</v>
      </c>
      <c r="D9495" s="42"/>
    </row>
    <row r="9496" spans="2:4" ht="16" thickBot="1" x14ac:dyDescent="0.25">
      <c r="B9496" s="4">
        <v>9491</v>
      </c>
      <c r="C9496" s="10">
        <v>246.60873845092704</v>
      </c>
      <c r="D9496" s="42"/>
    </row>
    <row r="9497" spans="2:4" ht="16" thickBot="1" x14ac:dyDescent="0.25">
      <c r="B9497" s="5">
        <v>9492</v>
      </c>
      <c r="C9497" s="11">
        <v>157.32027896799417</v>
      </c>
      <c r="D9497" s="42"/>
    </row>
    <row r="9498" spans="2:4" ht="16" thickBot="1" x14ac:dyDescent="0.25">
      <c r="B9498" s="4">
        <v>9493</v>
      </c>
      <c r="C9498" s="10">
        <v>174.64392201427782</v>
      </c>
      <c r="D9498" s="42"/>
    </row>
    <row r="9499" spans="2:4" ht="16" thickBot="1" x14ac:dyDescent="0.25">
      <c r="B9499" s="5">
        <v>9494</v>
      </c>
      <c r="C9499" s="11">
        <v>299.43040620863894</v>
      </c>
      <c r="D9499" s="42"/>
    </row>
    <row r="9500" spans="2:4" ht="16" thickBot="1" x14ac:dyDescent="0.25">
      <c r="B9500" s="4">
        <v>9495</v>
      </c>
      <c r="C9500" s="10">
        <v>103.44823834576347</v>
      </c>
      <c r="D9500" s="42"/>
    </row>
    <row r="9501" spans="2:4" ht="16" thickBot="1" x14ac:dyDescent="0.25">
      <c r="B9501" s="5">
        <v>9496</v>
      </c>
      <c r="C9501" s="11">
        <v>380.38260043891631</v>
      </c>
      <c r="D9501" s="42"/>
    </row>
    <row r="9502" spans="2:4" ht="16" thickBot="1" x14ac:dyDescent="0.25">
      <c r="B9502" s="4">
        <v>9497</v>
      </c>
      <c r="C9502" s="10">
        <v>122.22782447865245</v>
      </c>
      <c r="D9502" s="42"/>
    </row>
    <row r="9503" spans="2:4" ht="16" thickBot="1" x14ac:dyDescent="0.25">
      <c r="B9503" s="5">
        <v>9498</v>
      </c>
      <c r="C9503" s="11">
        <v>552.72175904321728</v>
      </c>
      <c r="D9503" s="42"/>
    </row>
    <row r="9504" spans="2:4" ht="16" thickBot="1" x14ac:dyDescent="0.25">
      <c r="B9504" s="4">
        <v>9499</v>
      </c>
      <c r="C9504" s="10">
        <v>198.04756306285211</v>
      </c>
      <c r="D9504" s="42"/>
    </row>
    <row r="9505" spans="2:4" ht="16" thickBot="1" x14ac:dyDescent="0.25">
      <c r="B9505" s="5">
        <v>9500</v>
      </c>
      <c r="C9505" s="11">
        <v>69.009877585233852</v>
      </c>
      <c r="D9505" s="42"/>
    </row>
    <row r="9506" spans="2:4" ht="16" thickBot="1" x14ac:dyDescent="0.25">
      <c r="B9506" s="4">
        <v>9501</v>
      </c>
      <c r="C9506" s="10">
        <v>74.316399633178548</v>
      </c>
      <c r="D9506" s="42"/>
    </row>
    <row r="9507" spans="2:4" ht="16" thickBot="1" x14ac:dyDescent="0.25">
      <c r="B9507" s="5">
        <v>9502</v>
      </c>
      <c r="C9507" s="11">
        <v>109.59485968587072</v>
      </c>
      <c r="D9507" s="42"/>
    </row>
    <row r="9508" spans="2:4" ht="16" thickBot="1" x14ac:dyDescent="0.25">
      <c r="B9508" s="4">
        <v>9503</v>
      </c>
      <c r="C9508" s="10">
        <v>159.00400566634039</v>
      </c>
      <c r="D9508" s="42"/>
    </row>
    <row r="9509" spans="2:4" ht="16" thickBot="1" x14ac:dyDescent="0.25">
      <c r="B9509" s="5">
        <v>9504</v>
      </c>
      <c r="C9509" s="11">
        <v>508.40761176822502</v>
      </c>
      <c r="D9509" s="42"/>
    </row>
    <row r="9510" spans="2:4" ht="16" thickBot="1" x14ac:dyDescent="0.25">
      <c r="B9510" s="4">
        <v>9505</v>
      </c>
      <c r="C9510" s="10">
        <v>136.08398507366962</v>
      </c>
      <c r="D9510" s="42"/>
    </row>
    <row r="9511" spans="2:4" ht="16" thickBot="1" x14ac:dyDescent="0.25">
      <c r="B9511" s="5">
        <v>9506</v>
      </c>
      <c r="C9511" s="11">
        <v>421.6830178170336</v>
      </c>
      <c r="D9511" s="42"/>
    </row>
    <row r="9512" spans="2:4" ht="16" thickBot="1" x14ac:dyDescent="0.25">
      <c r="B9512" s="4">
        <v>9507</v>
      </c>
      <c r="C9512" s="10">
        <v>107.51950250287861</v>
      </c>
      <c r="D9512" s="42"/>
    </row>
    <row r="9513" spans="2:4" ht="16" thickBot="1" x14ac:dyDescent="0.25">
      <c r="B9513" s="5">
        <v>9508</v>
      </c>
      <c r="C9513" s="11">
        <v>401.6711978542574</v>
      </c>
      <c r="D9513" s="42"/>
    </row>
    <row r="9514" spans="2:4" ht="16" thickBot="1" x14ac:dyDescent="0.25">
      <c r="B9514" s="4">
        <v>9509</v>
      </c>
      <c r="C9514" s="10">
        <v>353.52323838048494</v>
      </c>
      <c r="D9514" s="42"/>
    </row>
    <row r="9515" spans="2:4" ht="16" thickBot="1" x14ac:dyDescent="0.25">
      <c r="B9515" s="5">
        <v>9510</v>
      </c>
      <c r="C9515" s="11">
        <v>401.94848682737</v>
      </c>
      <c r="D9515" s="42"/>
    </row>
    <row r="9516" spans="2:4" ht="16" thickBot="1" x14ac:dyDescent="0.25">
      <c r="B9516" s="4">
        <v>9511</v>
      </c>
      <c r="C9516" s="10">
        <v>297.52099057327518</v>
      </c>
      <c r="D9516" s="42"/>
    </row>
    <row r="9517" spans="2:4" ht="16" thickBot="1" x14ac:dyDescent="0.25">
      <c r="B9517" s="5">
        <v>9512</v>
      </c>
      <c r="C9517" s="11">
        <v>278.12341354895943</v>
      </c>
      <c r="D9517" s="42"/>
    </row>
    <row r="9518" spans="2:4" ht="16" thickBot="1" x14ac:dyDescent="0.25">
      <c r="B9518" s="4">
        <v>9513</v>
      </c>
      <c r="C9518" s="10">
        <v>280.04635415863169</v>
      </c>
      <c r="D9518" s="42"/>
    </row>
    <row r="9519" spans="2:4" ht="16" thickBot="1" x14ac:dyDescent="0.25">
      <c r="B9519" s="5">
        <v>9514</v>
      </c>
      <c r="C9519" s="11">
        <v>153.73978451374819</v>
      </c>
      <c r="D9519" s="42"/>
    </row>
    <row r="9520" spans="2:4" ht="16" thickBot="1" x14ac:dyDescent="0.25">
      <c r="B9520" s="4">
        <v>9515</v>
      </c>
      <c r="C9520" s="10">
        <v>21.024674064930604</v>
      </c>
      <c r="D9520" s="42"/>
    </row>
    <row r="9521" spans="2:4" ht="16" thickBot="1" x14ac:dyDescent="0.25">
      <c r="B9521" s="5">
        <v>9516</v>
      </c>
      <c r="C9521" s="11">
        <v>232.55380079243116</v>
      </c>
      <c r="D9521" s="42"/>
    </row>
    <row r="9522" spans="2:4" ht="16" thickBot="1" x14ac:dyDescent="0.25">
      <c r="B9522" s="4">
        <v>9517</v>
      </c>
      <c r="C9522" s="10">
        <v>204.7286855516497</v>
      </c>
      <c r="D9522" s="42"/>
    </row>
    <row r="9523" spans="2:4" ht="16" thickBot="1" x14ac:dyDescent="0.25">
      <c r="B9523" s="5">
        <v>9518</v>
      </c>
      <c r="C9523" s="11">
        <v>181.66188170637292</v>
      </c>
      <c r="D9523" s="42"/>
    </row>
    <row r="9524" spans="2:4" ht="16" thickBot="1" x14ac:dyDescent="0.25">
      <c r="B9524" s="4">
        <v>9519</v>
      </c>
      <c r="C9524" s="10">
        <v>132.31520822914624</v>
      </c>
      <c r="D9524" s="42"/>
    </row>
    <row r="9525" spans="2:4" ht="16" thickBot="1" x14ac:dyDescent="0.25">
      <c r="B9525" s="5">
        <v>9520</v>
      </c>
      <c r="C9525" s="11">
        <v>457.5501819100063</v>
      </c>
      <c r="D9525" s="42"/>
    </row>
    <row r="9526" spans="2:4" ht="16" thickBot="1" x14ac:dyDescent="0.25">
      <c r="B9526" s="4">
        <v>9521</v>
      </c>
      <c r="C9526" s="10">
        <v>378.10690520531915</v>
      </c>
      <c r="D9526" s="42"/>
    </row>
    <row r="9527" spans="2:4" ht="16" thickBot="1" x14ac:dyDescent="0.25">
      <c r="B9527" s="5">
        <v>9522</v>
      </c>
      <c r="C9527" s="11">
        <v>252.75983737237695</v>
      </c>
      <c r="D9527" s="42"/>
    </row>
    <row r="9528" spans="2:4" ht="16" thickBot="1" x14ac:dyDescent="0.25">
      <c r="B9528" s="4">
        <v>9523</v>
      </c>
      <c r="C9528" s="10">
        <v>319.06304843743322</v>
      </c>
      <c r="D9528" s="42"/>
    </row>
    <row r="9529" spans="2:4" ht="16" thickBot="1" x14ac:dyDescent="0.25">
      <c r="B9529" s="5">
        <v>9524</v>
      </c>
      <c r="C9529" s="11">
        <v>251.28026262012506</v>
      </c>
      <c r="D9529" s="42"/>
    </row>
    <row r="9530" spans="2:4" ht="16" thickBot="1" x14ac:dyDescent="0.25">
      <c r="B9530" s="4">
        <v>9525</v>
      </c>
      <c r="C9530" s="10">
        <v>784.0968801700277</v>
      </c>
      <c r="D9530" s="42"/>
    </row>
    <row r="9531" spans="2:4" ht="16" thickBot="1" x14ac:dyDescent="0.25">
      <c r="B9531" s="5">
        <v>9526</v>
      </c>
      <c r="C9531" s="11">
        <v>174.37486956556234</v>
      </c>
      <c r="D9531" s="42"/>
    </row>
    <row r="9532" spans="2:4" ht="16" thickBot="1" x14ac:dyDescent="0.25">
      <c r="B9532" s="4">
        <v>9527</v>
      </c>
      <c r="C9532" s="10">
        <v>488.09006184276006</v>
      </c>
      <c r="D9532" s="42"/>
    </row>
    <row r="9533" spans="2:4" ht="16" thickBot="1" x14ac:dyDescent="0.25">
      <c r="B9533" s="5">
        <v>9528</v>
      </c>
      <c r="C9533" s="11">
        <v>44.336713925690241</v>
      </c>
      <c r="D9533" s="42"/>
    </row>
    <row r="9534" spans="2:4" ht="16" thickBot="1" x14ac:dyDescent="0.25">
      <c r="B9534" s="4">
        <v>9529</v>
      </c>
      <c r="C9534" s="10">
        <v>206.42891495447901</v>
      </c>
      <c r="D9534" s="42"/>
    </row>
    <row r="9535" spans="2:4" ht="16" thickBot="1" x14ac:dyDescent="0.25">
      <c r="B9535" s="5">
        <v>9530</v>
      </c>
      <c r="C9535" s="11">
        <v>664.69649318995721</v>
      </c>
      <c r="D9535" s="42"/>
    </row>
    <row r="9536" spans="2:4" ht="16" thickBot="1" x14ac:dyDescent="0.25">
      <c r="B9536" s="4">
        <v>9531</v>
      </c>
      <c r="C9536" s="10">
        <v>137.81751833932063</v>
      </c>
      <c r="D9536" s="42"/>
    </row>
    <row r="9537" spans="2:4" ht="16" thickBot="1" x14ac:dyDescent="0.25">
      <c r="B9537" s="5">
        <v>9532</v>
      </c>
      <c r="C9537" s="11">
        <v>125.20490786641845</v>
      </c>
      <c r="D9537" s="42"/>
    </row>
    <row r="9538" spans="2:4" ht="16" thickBot="1" x14ac:dyDescent="0.25">
      <c r="B9538" s="4">
        <v>9533</v>
      </c>
      <c r="C9538" s="10">
        <v>221.70868961414925</v>
      </c>
      <c r="D9538" s="42"/>
    </row>
    <row r="9539" spans="2:4" ht="16" thickBot="1" x14ac:dyDescent="0.25">
      <c r="B9539" s="5">
        <v>9534</v>
      </c>
      <c r="C9539" s="11">
        <v>88.92725815289792</v>
      </c>
      <c r="D9539" s="42"/>
    </row>
    <row r="9540" spans="2:4" ht="16" thickBot="1" x14ac:dyDescent="0.25">
      <c r="B9540" s="4">
        <v>9535</v>
      </c>
      <c r="C9540" s="10">
        <v>116.83013942075989</v>
      </c>
      <c r="D9540" s="42"/>
    </row>
    <row r="9541" spans="2:4" ht="16" thickBot="1" x14ac:dyDescent="0.25">
      <c r="B9541" s="5">
        <v>9536</v>
      </c>
      <c r="C9541" s="11">
        <v>422.14214038139448</v>
      </c>
      <c r="D9541" s="42"/>
    </row>
    <row r="9542" spans="2:4" ht="16" thickBot="1" x14ac:dyDescent="0.25">
      <c r="B9542" s="4">
        <v>9537</v>
      </c>
      <c r="C9542" s="10">
        <v>382.8997975261284</v>
      </c>
      <c r="D9542" s="42"/>
    </row>
    <row r="9543" spans="2:4" ht="16" thickBot="1" x14ac:dyDescent="0.25">
      <c r="B9543" s="5">
        <v>9538</v>
      </c>
      <c r="C9543" s="11">
        <v>226.53236383613682</v>
      </c>
      <c r="D9543" s="42"/>
    </row>
    <row r="9544" spans="2:4" ht="16" thickBot="1" x14ac:dyDescent="0.25">
      <c r="B9544" s="4">
        <v>9539</v>
      </c>
      <c r="C9544" s="10">
        <v>441.97048519128532</v>
      </c>
      <c r="D9544" s="42"/>
    </row>
    <row r="9545" spans="2:4" ht="16" thickBot="1" x14ac:dyDescent="0.25">
      <c r="B9545" s="5">
        <v>9540</v>
      </c>
      <c r="C9545" s="11">
        <v>96.043576900375655</v>
      </c>
      <c r="D9545" s="42"/>
    </row>
    <row r="9546" spans="2:4" ht="16" thickBot="1" x14ac:dyDescent="0.25">
      <c r="B9546" s="4">
        <v>9541</v>
      </c>
      <c r="C9546" s="10">
        <v>59.012290481668629</v>
      </c>
      <c r="D9546" s="42"/>
    </row>
    <row r="9547" spans="2:4" ht="16" thickBot="1" x14ac:dyDescent="0.25">
      <c r="B9547" s="5">
        <v>9542</v>
      </c>
      <c r="C9547" s="11">
        <v>163.73059539753129</v>
      </c>
      <c r="D9547" s="42"/>
    </row>
    <row r="9548" spans="2:4" ht="16" thickBot="1" x14ac:dyDescent="0.25">
      <c r="B9548" s="4">
        <v>9543</v>
      </c>
      <c r="C9548" s="10">
        <v>308.84236362142957</v>
      </c>
      <c r="D9548" s="42"/>
    </row>
    <row r="9549" spans="2:4" ht="16" thickBot="1" x14ac:dyDescent="0.25">
      <c r="B9549" s="5">
        <v>9544</v>
      </c>
      <c r="C9549" s="11">
        <v>433.90150933142013</v>
      </c>
      <c r="D9549" s="42"/>
    </row>
    <row r="9550" spans="2:4" ht="16" thickBot="1" x14ac:dyDescent="0.25">
      <c r="B9550" s="4">
        <v>9545</v>
      </c>
      <c r="C9550" s="10">
        <v>160.2613680998852</v>
      </c>
      <c r="D9550" s="42"/>
    </row>
    <row r="9551" spans="2:4" ht="16" thickBot="1" x14ac:dyDescent="0.25">
      <c r="B9551" s="5">
        <v>9546</v>
      </c>
      <c r="C9551" s="11">
        <v>596.47146808391506</v>
      </c>
      <c r="D9551" s="42"/>
    </row>
    <row r="9552" spans="2:4" ht="16" thickBot="1" x14ac:dyDescent="0.25">
      <c r="B9552" s="4">
        <v>9547</v>
      </c>
      <c r="C9552" s="10">
        <v>322.79246473326657</v>
      </c>
      <c r="D9552" s="42"/>
    </row>
    <row r="9553" spans="2:4" ht="16" thickBot="1" x14ac:dyDescent="0.25">
      <c r="B9553" s="5">
        <v>9548</v>
      </c>
      <c r="C9553" s="11">
        <v>674.44010283942282</v>
      </c>
      <c r="D9553" s="42"/>
    </row>
    <row r="9554" spans="2:4" ht="16" thickBot="1" x14ac:dyDescent="0.25">
      <c r="B9554" s="4">
        <v>9549</v>
      </c>
      <c r="C9554" s="10">
        <v>99.284937137848175</v>
      </c>
      <c r="D9554" s="42"/>
    </row>
    <row r="9555" spans="2:4" ht="16" thickBot="1" x14ac:dyDescent="0.25">
      <c r="B9555" s="5">
        <v>9550</v>
      </c>
      <c r="C9555" s="11">
        <v>232.68545805497541</v>
      </c>
      <c r="D9555" s="42"/>
    </row>
    <row r="9556" spans="2:4" ht="16" thickBot="1" x14ac:dyDescent="0.25">
      <c r="B9556" s="4">
        <v>9551</v>
      </c>
      <c r="C9556" s="10">
        <v>233.91247950001681</v>
      </c>
      <c r="D9556" s="42"/>
    </row>
    <row r="9557" spans="2:4" ht="16" thickBot="1" x14ac:dyDescent="0.25">
      <c r="B9557" s="5">
        <v>9552</v>
      </c>
      <c r="C9557" s="11">
        <v>453.24544717391888</v>
      </c>
      <c r="D9557" s="42"/>
    </row>
    <row r="9558" spans="2:4" ht="16" thickBot="1" x14ac:dyDescent="0.25">
      <c r="B9558" s="4">
        <v>9553</v>
      </c>
      <c r="C9558" s="10">
        <v>272.64665536004219</v>
      </c>
      <c r="D9558" s="42"/>
    </row>
    <row r="9559" spans="2:4" ht="16" thickBot="1" x14ac:dyDescent="0.25">
      <c r="B9559" s="5">
        <v>9554</v>
      </c>
      <c r="C9559" s="11">
        <v>293.78141244798303</v>
      </c>
      <c r="D9559" s="42"/>
    </row>
    <row r="9560" spans="2:4" ht="16" thickBot="1" x14ac:dyDescent="0.25">
      <c r="B9560" s="4">
        <v>9555</v>
      </c>
      <c r="C9560" s="10">
        <v>164.63650814703408</v>
      </c>
      <c r="D9560" s="42"/>
    </row>
    <row r="9561" spans="2:4" ht="16" thickBot="1" x14ac:dyDescent="0.25">
      <c r="B9561" s="5">
        <v>9556</v>
      </c>
      <c r="C9561" s="11">
        <v>207.98687354886744</v>
      </c>
      <c r="D9561" s="42"/>
    </row>
    <row r="9562" spans="2:4" ht="16" thickBot="1" x14ac:dyDescent="0.25">
      <c r="B9562" s="4">
        <v>9557</v>
      </c>
      <c r="C9562" s="10">
        <v>276.5629641343466</v>
      </c>
      <c r="D9562" s="42"/>
    </row>
    <row r="9563" spans="2:4" ht="16" thickBot="1" x14ac:dyDescent="0.25">
      <c r="B9563" s="5">
        <v>9558</v>
      </c>
      <c r="C9563" s="11">
        <v>309.34297244383782</v>
      </c>
      <c r="D9563" s="42"/>
    </row>
    <row r="9564" spans="2:4" ht="16" thickBot="1" x14ac:dyDescent="0.25">
      <c r="B9564" s="4">
        <v>9559</v>
      </c>
      <c r="C9564" s="10">
        <v>684.374911914309</v>
      </c>
      <c r="D9564" s="42"/>
    </row>
    <row r="9565" spans="2:4" ht="16" thickBot="1" x14ac:dyDescent="0.25">
      <c r="B9565" s="5">
        <v>9560</v>
      </c>
      <c r="C9565" s="11">
        <v>248.8896120663731</v>
      </c>
      <c r="D9565" s="42"/>
    </row>
    <row r="9566" spans="2:4" ht="16" thickBot="1" x14ac:dyDescent="0.25">
      <c r="B9566" s="4">
        <v>9561</v>
      </c>
      <c r="C9566" s="10">
        <v>224.47141140288713</v>
      </c>
      <c r="D9566" s="42"/>
    </row>
    <row r="9567" spans="2:4" ht="16" thickBot="1" x14ac:dyDescent="0.25">
      <c r="B9567" s="5">
        <v>9562</v>
      </c>
      <c r="C9567" s="11">
        <v>296.69487433533118</v>
      </c>
      <c r="D9567" s="42"/>
    </row>
    <row r="9568" spans="2:4" ht="16" thickBot="1" x14ac:dyDescent="0.25">
      <c r="B9568" s="4">
        <v>9563</v>
      </c>
      <c r="C9568" s="10">
        <v>184.66634702144833</v>
      </c>
      <c r="D9568" s="42"/>
    </row>
    <row r="9569" spans="2:4" ht="16" thickBot="1" x14ac:dyDescent="0.25">
      <c r="B9569" s="5">
        <v>9564</v>
      </c>
      <c r="C9569" s="11">
        <v>260.70393010062236</v>
      </c>
      <c r="D9569" s="42"/>
    </row>
    <row r="9570" spans="2:4" ht="16" thickBot="1" x14ac:dyDescent="0.25">
      <c r="B9570" s="4">
        <v>9565</v>
      </c>
      <c r="C9570" s="10">
        <v>198.97255443461913</v>
      </c>
      <c r="D9570" s="42"/>
    </row>
    <row r="9571" spans="2:4" ht="16" thickBot="1" x14ac:dyDescent="0.25">
      <c r="B9571" s="5">
        <v>9566</v>
      </c>
      <c r="C9571" s="11">
        <v>216.50586548801476</v>
      </c>
      <c r="D9571" s="42"/>
    </row>
    <row r="9572" spans="2:4" ht="16" thickBot="1" x14ac:dyDescent="0.25">
      <c r="B9572" s="4">
        <v>9567</v>
      </c>
      <c r="C9572" s="10">
        <v>443.5290108657872</v>
      </c>
      <c r="D9572" s="42"/>
    </row>
    <row r="9573" spans="2:4" ht="16" thickBot="1" x14ac:dyDescent="0.25">
      <c r="B9573" s="5">
        <v>9568</v>
      </c>
      <c r="C9573" s="11">
        <v>175.30585586842219</v>
      </c>
      <c r="D9573" s="42"/>
    </row>
    <row r="9574" spans="2:4" ht="16" thickBot="1" x14ac:dyDescent="0.25">
      <c r="B9574" s="4">
        <v>9569</v>
      </c>
      <c r="C9574" s="10">
        <v>349.91514618135136</v>
      </c>
      <c r="D9574" s="42"/>
    </row>
    <row r="9575" spans="2:4" ht="16" thickBot="1" x14ac:dyDescent="0.25">
      <c r="B9575" s="5">
        <v>9570</v>
      </c>
      <c r="C9575" s="11">
        <v>86.010703006172136</v>
      </c>
      <c r="D9575" s="42"/>
    </row>
    <row r="9576" spans="2:4" ht="16" thickBot="1" x14ac:dyDescent="0.25">
      <c r="B9576" s="4">
        <v>9571</v>
      </c>
      <c r="C9576" s="10">
        <v>65.853620965637987</v>
      </c>
      <c r="D9576" s="42"/>
    </row>
    <row r="9577" spans="2:4" ht="16" thickBot="1" x14ac:dyDescent="0.25">
      <c r="B9577" s="5">
        <v>9572</v>
      </c>
      <c r="C9577" s="11">
        <v>320.76113789216907</v>
      </c>
      <c r="D9577" s="42"/>
    </row>
    <row r="9578" spans="2:4" ht="16" thickBot="1" x14ac:dyDescent="0.25">
      <c r="B9578" s="4">
        <v>9573</v>
      </c>
      <c r="C9578" s="10">
        <v>359.17373008733949</v>
      </c>
      <c r="D9578" s="42"/>
    </row>
    <row r="9579" spans="2:4" ht="16" thickBot="1" x14ac:dyDescent="0.25">
      <c r="B9579" s="5">
        <v>9574</v>
      </c>
      <c r="C9579" s="11">
        <v>49.387527728010504</v>
      </c>
      <c r="D9579" s="42"/>
    </row>
    <row r="9580" spans="2:4" ht="16" thickBot="1" x14ac:dyDescent="0.25">
      <c r="B9580" s="4">
        <v>9575</v>
      </c>
      <c r="C9580" s="10">
        <v>207.44140324322089</v>
      </c>
      <c r="D9580" s="42"/>
    </row>
    <row r="9581" spans="2:4" ht="16" thickBot="1" x14ac:dyDescent="0.25">
      <c r="B9581" s="5">
        <v>9576</v>
      </c>
      <c r="C9581" s="11">
        <v>159.39572412001772</v>
      </c>
      <c r="D9581" s="42"/>
    </row>
    <row r="9582" spans="2:4" ht="16" thickBot="1" x14ac:dyDescent="0.25">
      <c r="B9582" s="4">
        <v>9577</v>
      </c>
      <c r="C9582" s="10">
        <v>416.37859696615783</v>
      </c>
      <c r="D9582" s="42"/>
    </row>
    <row r="9583" spans="2:4" ht="16" thickBot="1" x14ac:dyDescent="0.25">
      <c r="B9583" s="5">
        <v>9578</v>
      </c>
      <c r="C9583" s="11">
        <v>90.400739146923854</v>
      </c>
      <c r="D9583" s="42"/>
    </row>
    <row r="9584" spans="2:4" ht="16" thickBot="1" x14ac:dyDescent="0.25">
      <c r="B9584" s="4">
        <v>9579</v>
      </c>
      <c r="C9584" s="10">
        <v>720.00199449690751</v>
      </c>
      <c r="D9584" s="42"/>
    </row>
    <row r="9585" spans="2:4" ht="16" thickBot="1" x14ac:dyDescent="0.25">
      <c r="B9585" s="5">
        <v>9580</v>
      </c>
      <c r="C9585" s="11">
        <v>310.61604166611875</v>
      </c>
      <c r="D9585" s="42"/>
    </row>
    <row r="9586" spans="2:4" ht="16" thickBot="1" x14ac:dyDescent="0.25">
      <c r="B9586" s="4">
        <v>9581</v>
      </c>
      <c r="C9586" s="10">
        <v>193.28421186367518</v>
      </c>
      <c r="D9586" s="42"/>
    </row>
    <row r="9587" spans="2:4" ht="16" thickBot="1" x14ac:dyDescent="0.25">
      <c r="B9587" s="5">
        <v>9582</v>
      </c>
      <c r="C9587" s="11">
        <v>208.01781481318582</v>
      </c>
      <c r="D9587" s="42"/>
    </row>
    <row r="9588" spans="2:4" ht="16" thickBot="1" x14ac:dyDescent="0.25">
      <c r="B9588" s="4">
        <v>9583</v>
      </c>
      <c r="C9588" s="10">
        <v>266.41879638630775</v>
      </c>
      <c r="D9588" s="42"/>
    </row>
    <row r="9589" spans="2:4" ht="16" thickBot="1" x14ac:dyDescent="0.25">
      <c r="B9589" s="5">
        <v>9584</v>
      </c>
      <c r="C9589" s="11">
        <v>244.25682535405562</v>
      </c>
      <c r="D9589" s="42"/>
    </row>
    <row r="9590" spans="2:4" ht="16" thickBot="1" x14ac:dyDescent="0.25">
      <c r="B9590" s="4">
        <v>9585</v>
      </c>
      <c r="C9590" s="10">
        <v>107.22164670947146</v>
      </c>
      <c r="D9590" s="42"/>
    </row>
    <row r="9591" spans="2:4" ht="16" thickBot="1" x14ac:dyDescent="0.25">
      <c r="B9591" s="5">
        <v>9586</v>
      </c>
      <c r="C9591" s="11">
        <v>419.85297902268024</v>
      </c>
      <c r="D9591" s="42"/>
    </row>
    <row r="9592" spans="2:4" ht="16" thickBot="1" x14ac:dyDescent="0.25">
      <c r="B9592" s="4">
        <v>9587</v>
      </c>
      <c r="C9592" s="10">
        <v>79.89149337178327</v>
      </c>
      <c r="D9592" s="42"/>
    </row>
    <row r="9593" spans="2:4" ht="16" thickBot="1" x14ac:dyDescent="0.25">
      <c r="B9593" s="5">
        <v>9588</v>
      </c>
      <c r="C9593" s="11">
        <v>227.1198784956816</v>
      </c>
      <c r="D9593" s="42"/>
    </row>
    <row r="9594" spans="2:4" ht="16" thickBot="1" x14ac:dyDescent="0.25">
      <c r="B9594" s="4">
        <v>9589</v>
      </c>
      <c r="C9594" s="10">
        <v>354.44624829759624</v>
      </c>
      <c r="D9594" s="42"/>
    </row>
    <row r="9595" spans="2:4" ht="16" thickBot="1" x14ac:dyDescent="0.25">
      <c r="B9595" s="5">
        <v>9590</v>
      </c>
      <c r="C9595" s="11">
        <v>235.34697404732071</v>
      </c>
      <c r="D9595" s="42"/>
    </row>
    <row r="9596" spans="2:4" ht="16" thickBot="1" x14ac:dyDescent="0.25">
      <c r="B9596" s="4">
        <v>9591</v>
      </c>
      <c r="C9596" s="10">
        <v>310.36916286561797</v>
      </c>
      <c r="D9596" s="42"/>
    </row>
    <row r="9597" spans="2:4" ht="16" thickBot="1" x14ac:dyDescent="0.25">
      <c r="B9597" s="5">
        <v>9592</v>
      </c>
      <c r="C9597" s="11">
        <v>218.91039552935715</v>
      </c>
      <c r="D9597" s="42"/>
    </row>
    <row r="9598" spans="2:4" ht="16" thickBot="1" x14ac:dyDescent="0.25">
      <c r="B9598" s="4">
        <v>9593</v>
      </c>
      <c r="C9598" s="10">
        <v>234.08712701392281</v>
      </c>
      <c r="D9598" s="42"/>
    </row>
    <row r="9599" spans="2:4" ht="16" thickBot="1" x14ac:dyDescent="0.25">
      <c r="B9599" s="5">
        <v>9594</v>
      </c>
      <c r="C9599" s="11">
        <v>550.96193559242897</v>
      </c>
      <c r="D9599" s="42"/>
    </row>
    <row r="9600" spans="2:4" ht="16" thickBot="1" x14ac:dyDescent="0.25">
      <c r="B9600" s="4">
        <v>9595</v>
      </c>
      <c r="C9600" s="10">
        <v>69.936277649616684</v>
      </c>
      <c r="D9600" s="42"/>
    </row>
    <row r="9601" spans="2:4" ht="16" thickBot="1" x14ac:dyDescent="0.25">
      <c r="B9601" s="5">
        <v>9596</v>
      </c>
      <c r="C9601" s="11">
        <v>181.96979286416772</v>
      </c>
      <c r="D9601" s="42"/>
    </row>
    <row r="9602" spans="2:4" ht="16" thickBot="1" x14ac:dyDescent="0.25">
      <c r="B9602" s="4">
        <v>9597</v>
      </c>
      <c r="C9602" s="10">
        <v>305.71548645505328</v>
      </c>
      <c r="D9602" s="42"/>
    </row>
    <row r="9603" spans="2:4" ht="16" thickBot="1" x14ac:dyDescent="0.25">
      <c r="B9603" s="5">
        <v>9598</v>
      </c>
      <c r="C9603" s="11">
        <v>410.94950615698821</v>
      </c>
      <c r="D9603" s="42"/>
    </row>
    <row r="9604" spans="2:4" ht="16" thickBot="1" x14ac:dyDescent="0.25">
      <c r="B9604" s="4">
        <v>9599</v>
      </c>
      <c r="C9604" s="10">
        <v>248.29674676721177</v>
      </c>
      <c r="D9604" s="42"/>
    </row>
    <row r="9605" spans="2:4" ht="16" thickBot="1" x14ac:dyDescent="0.25">
      <c r="B9605" s="5">
        <v>9600</v>
      </c>
      <c r="C9605" s="11">
        <v>486.87897014551788</v>
      </c>
      <c r="D9605" s="42"/>
    </row>
    <row r="9606" spans="2:4" ht="16" thickBot="1" x14ac:dyDescent="0.25">
      <c r="B9606" s="4">
        <v>9601</v>
      </c>
      <c r="C9606" s="10">
        <v>318.95400285329242</v>
      </c>
      <c r="D9606" s="42"/>
    </row>
    <row r="9607" spans="2:4" ht="16" thickBot="1" x14ac:dyDescent="0.25">
      <c r="B9607" s="5">
        <v>9602</v>
      </c>
      <c r="C9607" s="11">
        <v>204.77720207769613</v>
      </c>
      <c r="D9607" s="42"/>
    </row>
    <row r="9608" spans="2:4" ht="16" thickBot="1" x14ac:dyDescent="0.25">
      <c r="B9608" s="4">
        <v>9603</v>
      </c>
      <c r="C9608" s="10">
        <v>287.49375915374833</v>
      </c>
      <c r="D9608" s="42"/>
    </row>
    <row r="9609" spans="2:4" ht="16" thickBot="1" x14ac:dyDescent="0.25">
      <c r="B9609" s="5">
        <v>9604</v>
      </c>
      <c r="C9609" s="11">
        <v>108.4300989645307</v>
      </c>
      <c r="D9609" s="42"/>
    </row>
    <row r="9610" spans="2:4" ht="16" thickBot="1" x14ac:dyDescent="0.25">
      <c r="B9610" s="4">
        <v>9605</v>
      </c>
      <c r="C9610" s="10">
        <v>413.86328937141326</v>
      </c>
      <c r="D9610" s="42"/>
    </row>
    <row r="9611" spans="2:4" ht="16" thickBot="1" x14ac:dyDescent="0.25">
      <c r="B9611" s="5">
        <v>9606</v>
      </c>
      <c r="C9611" s="11">
        <v>221.84560870600575</v>
      </c>
      <c r="D9611" s="42"/>
    </row>
    <row r="9612" spans="2:4" ht="16" thickBot="1" x14ac:dyDescent="0.25">
      <c r="B9612" s="4">
        <v>9607</v>
      </c>
      <c r="C9612" s="10">
        <v>264.55029378049011</v>
      </c>
      <c r="D9612" s="42"/>
    </row>
    <row r="9613" spans="2:4" ht="16" thickBot="1" x14ac:dyDescent="0.25">
      <c r="B9613" s="5">
        <v>9608</v>
      </c>
      <c r="C9613" s="11">
        <v>141.34684228304488</v>
      </c>
      <c r="D9613" s="42"/>
    </row>
    <row r="9614" spans="2:4" ht="16" thickBot="1" x14ac:dyDescent="0.25">
      <c r="B9614" s="4">
        <v>9609</v>
      </c>
      <c r="C9614" s="10">
        <v>208.94413833770781</v>
      </c>
      <c r="D9614" s="42"/>
    </row>
    <row r="9615" spans="2:4" ht="16" thickBot="1" x14ac:dyDescent="0.25">
      <c r="B9615" s="5">
        <v>9610</v>
      </c>
      <c r="C9615" s="11">
        <v>227.26279782999666</v>
      </c>
      <c r="D9615" s="42"/>
    </row>
    <row r="9616" spans="2:4" ht="16" thickBot="1" x14ac:dyDescent="0.25">
      <c r="B9616" s="4">
        <v>9611</v>
      </c>
      <c r="C9616" s="10">
        <v>435.33846862818223</v>
      </c>
      <c r="D9616" s="42"/>
    </row>
    <row r="9617" spans="2:4" ht="16" thickBot="1" x14ac:dyDescent="0.25">
      <c r="B9617" s="5">
        <v>9612</v>
      </c>
      <c r="C9617" s="11">
        <v>451.24313396081146</v>
      </c>
      <c r="D9617" s="42"/>
    </row>
    <row r="9618" spans="2:4" ht="16" thickBot="1" x14ac:dyDescent="0.25">
      <c r="B9618" s="4">
        <v>9613</v>
      </c>
      <c r="C9618" s="10">
        <v>609.84946276490814</v>
      </c>
      <c r="D9618" s="42"/>
    </row>
    <row r="9619" spans="2:4" ht="16" thickBot="1" x14ac:dyDescent="0.25">
      <c r="B9619" s="5">
        <v>9614</v>
      </c>
      <c r="C9619" s="11">
        <v>275.63625453736205</v>
      </c>
      <c r="D9619" s="42"/>
    </row>
    <row r="9620" spans="2:4" ht="16" thickBot="1" x14ac:dyDescent="0.25">
      <c r="B9620" s="4">
        <v>9615</v>
      </c>
      <c r="C9620" s="10">
        <v>294.40517535169568</v>
      </c>
      <c r="D9620" s="42"/>
    </row>
    <row r="9621" spans="2:4" ht="16" thickBot="1" x14ac:dyDescent="0.25">
      <c r="B9621" s="5">
        <v>9616</v>
      </c>
      <c r="C9621" s="11">
        <v>108.04687435815272</v>
      </c>
      <c r="D9621" s="42"/>
    </row>
    <row r="9622" spans="2:4" ht="16" thickBot="1" x14ac:dyDescent="0.25">
      <c r="B9622" s="4">
        <v>9617</v>
      </c>
      <c r="C9622" s="10">
        <v>226.82003192387515</v>
      </c>
      <c r="D9622" s="42"/>
    </row>
    <row r="9623" spans="2:4" ht="16" thickBot="1" x14ac:dyDescent="0.25">
      <c r="B9623" s="5">
        <v>9618</v>
      </c>
      <c r="C9623" s="11">
        <v>351.00938767317683</v>
      </c>
      <c r="D9623" s="42"/>
    </row>
    <row r="9624" spans="2:4" ht="16" thickBot="1" x14ac:dyDescent="0.25">
      <c r="B9624" s="4">
        <v>9619</v>
      </c>
      <c r="C9624" s="10">
        <v>380.57150220266294</v>
      </c>
      <c r="D9624" s="42"/>
    </row>
    <row r="9625" spans="2:4" ht="16" thickBot="1" x14ac:dyDescent="0.25">
      <c r="B9625" s="5">
        <v>9620</v>
      </c>
      <c r="C9625" s="11">
        <v>194.57562507569486</v>
      </c>
      <c r="D9625" s="42"/>
    </row>
    <row r="9626" spans="2:4" ht="16" thickBot="1" x14ac:dyDescent="0.25">
      <c r="B9626" s="4">
        <v>9621</v>
      </c>
      <c r="C9626" s="10">
        <v>228.57709006107007</v>
      </c>
      <c r="D9626" s="42"/>
    </row>
    <row r="9627" spans="2:4" ht="16" thickBot="1" x14ac:dyDescent="0.25">
      <c r="B9627" s="5">
        <v>9622</v>
      </c>
      <c r="C9627" s="11">
        <v>405.30931072406707</v>
      </c>
      <c r="D9627" s="42"/>
    </row>
    <row r="9628" spans="2:4" ht="16" thickBot="1" x14ac:dyDescent="0.25">
      <c r="B9628" s="4">
        <v>9623</v>
      </c>
      <c r="C9628" s="10">
        <v>303.7651409485008</v>
      </c>
      <c r="D9628" s="42"/>
    </row>
    <row r="9629" spans="2:4" ht="16" thickBot="1" x14ac:dyDescent="0.25">
      <c r="B9629" s="5">
        <v>9624</v>
      </c>
      <c r="C9629" s="11">
        <v>192.91065116932376</v>
      </c>
      <c r="D9629" s="42"/>
    </row>
    <row r="9630" spans="2:4" ht="16" thickBot="1" x14ac:dyDescent="0.25">
      <c r="B9630" s="4">
        <v>9625</v>
      </c>
      <c r="C9630" s="10">
        <v>116.77982764714801</v>
      </c>
      <c r="D9630" s="42"/>
    </row>
    <row r="9631" spans="2:4" ht="16" thickBot="1" x14ac:dyDescent="0.25">
      <c r="B9631" s="5">
        <v>9626</v>
      </c>
      <c r="C9631" s="11">
        <v>163.78509897182263</v>
      </c>
      <c r="D9631" s="42"/>
    </row>
    <row r="9632" spans="2:4" ht="16" thickBot="1" x14ac:dyDescent="0.25">
      <c r="B9632" s="4">
        <v>9627</v>
      </c>
      <c r="C9632" s="10">
        <v>184.28048930460494</v>
      </c>
      <c r="D9632" s="42"/>
    </row>
    <row r="9633" spans="2:4" ht="16" thickBot="1" x14ac:dyDescent="0.25">
      <c r="B9633" s="5">
        <v>9628</v>
      </c>
      <c r="C9633" s="11">
        <v>389.82212775998681</v>
      </c>
      <c r="D9633" s="42"/>
    </row>
    <row r="9634" spans="2:4" ht="16" thickBot="1" x14ac:dyDescent="0.25">
      <c r="B9634" s="4">
        <v>9629</v>
      </c>
      <c r="C9634" s="10">
        <v>477.98808604204692</v>
      </c>
      <c r="D9634" s="42"/>
    </row>
    <row r="9635" spans="2:4" ht="16" thickBot="1" x14ac:dyDescent="0.25">
      <c r="B9635" s="5">
        <v>9630</v>
      </c>
      <c r="C9635" s="11">
        <v>308.21260087482278</v>
      </c>
      <c r="D9635" s="42"/>
    </row>
    <row r="9636" spans="2:4" ht="16" thickBot="1" x14ac:dyDescent="0.25">
      <c r="B9636" s="4">
        <v>9631</v>
      </c>
      <c r="C9636" s="10">
        <v>337.83716262622272</v>
      </c>
      <c r="D9636" s="42"/>
    </row>
    <row r="9637" spans="2:4" ht="16" thickBot="1" x14ac:dyDescent="0.25">
      <c r="B9637" s="5">
        <v>9632</v>
      </c>
      <c r="C9637" s="11">
        <v>681.14891547367802</v>
      </c>
      <c r="D9637" s="42"/>
    </row>
    <row r="9638" spans="2:4" ht="16" thickBot="1" x14ac:dyDescent="0.25">
      <c r="B9638" s="4">
        <v>9633</v>
      </c>
      <c r="C9638" s="10">
        <v>432.21000622390818</v>
      </c>
      <c r="D9638" s="42"/>
    </row>
    <row r="9639" spans="2:4" ht="16" thickBot="1" x14ac:dyDescent="0.25">
      <c r="B9639" s="5">
        <v>9634</v>
      </c>
      <c r="C9639" s="11">
        <v>373.40134220125816</v>
      </c>
      <c r="D9639" s="42"/>
    </row>
    <row r="9640" spans="2:4" ht="16" thickBot="1" x14ac:dyDescent="0.25">
      <c r="B9640" s="4">
        <v>9635</v>
      </c>
      <c r="C9640" s="10">
        <v>256.04974528678321</v>
      </c>
      <c r="D9640" s="42"/>
    </row>
    <row r="9641" spans="2:4" ht="16" thickBot="1" x14ac:dyDescent="0.25">
      <c r="B9641" s="5">
        <v>9636</v>
      </c>
      <c r="C9641" s="11">
        <v>150.32448693939676</v>
      </c>
      <c r="D9641" s="42"/>
    </row>
    <row r="9642" spans="2:4" ht="16" thickBot="1" x14ac:dyDescent="0.25">
      <c r="B9642" s="4">
        <v>9637</v>
      </c>
      <c r="C9642" s="10">
        <v>251.73795589745149</v>
      </c>
      <c r="D9642" s="42"/>
    </row>
    <row r="9643" spans="2:4" ht="16" thickBot="1" x14ac:dyDescent="0.25">
      <c r="B9643" s="5">
        <v>9638</v>
      </c>
      <c r="C9643" s="11">
        <v>503.6779800664948</v>
      </c>
      <c r="D9643" s="42"/>
    </row>
    <row r="9644" spans="2:4" ht="16" thickBot="1" x14ac:dyDescent="0.25">
      <c r="B9644" s="4">
        <v>9639</v>
      </c>
      <c r="C9644" s="10">
        <v>263.14327126771707</v>
      </c>
      <c r="D9644" s="42"/>
    </row>
    <row r="9645" spans="2:4" ht="16" thickBot="1" x14ac:dyDescent="0.25">
      <c r="B9645" s="5">
        <v>9640</v>
      </c>
      <c r="C9645" s="11">
        <v>281.64005153858182</v>
      </c>
      <c r="D9645" s="42"/>
    </row>
    <row r="9646" spans="2:4" ht="16" thickBot="1" x14ac:dyDescent="0.25">
      <c r="B9646" s="4">
        <v>9641</v>
      </c>
      <c r="C9646" s="10">
        <v>480.04933586389939</v>
      </c>
      <c r="D9646" s="42"/>
    </row>
    <row r="9647" spans="2:4" ht="16" thickBot="1" x14ac:dyDescent="0.25">
      <c r="B9647" s="5">
        <v>9642</v>
      </c>
      <c r="C9647" s="11">
        <v>560.62548747941355</v>
      </c>
      <c r="D9647" s="42"/>
    </row>
    <row r="9648" spans="2:4" ht="16" thickBot="1" x14ac:dyDescent="0.25">
      <c r="B9648" s="4">
        <v>9643</v>
      </c>
      <c r="C9648" s="10">
        <v>451.56172079019257</v>
      </c>
      <c r="D9648" s="42"/>
    </row>
    <row r="9649" spans="2:4" ht="16" thickBot="1" x14ac:dyDescent="0.25">
      <c r="B9649" s="5">
        <v>9644</v>
      </c>
      <c r="C9649" s="11">
        <v>79.874726463136653</v>
      </c>
      <c r="D9649" s="42"/>
    </row>
    <row r="9650" spans="2:4" ht="16" thickBot="1" x14ac:dyDescent="0.25">
      <c r="B9650" s="4">
        <v>9645</v>
      </c>
      <c r="C9650" s="10">
        <v>136.77816746298456</v>
      </c>
      <c r="D9650" s="42"/>
    </row>
    <row r="9651" spans="2:4" ht="16" thickBot="1" x14ac:dyDescent="0.25">
      <c r="B9651" s="5">
        <v>9646</v>
      </c>
      <c r="C9651" s="11">
        <v>277.69267413422426</v>
      </c>
      <c r="D9651" s="42"/>
    </row>
    <row r="9652" spans="2:4" ht="16" thickBot="1" x14ac:dyDescent="0.25">
      <c r="B9652" s="4">
        <v>9647</v>
      </c>
      <c r="C9652" s="10">
        <v>181.74443709631447</v>
      </c>
      <c r="D9652" s="42"/>
    </row>
    <row r="9653" spans="2:4" ht="16" thickBot="1" x14ac:dyDescent="0.25">
      <c r="B9653" s="5">
        <v>9648</v>
      </c>
      <c r="C9653" s="11">
        <v>117.55454000780222</v>
      </c>
      <c r="D9653" s="42"/>
    </row>
    <row r="9654" spans="2:4" ht="16" thickBot="1" x14ac:dyDescent="0.25">
      <c r="B9654" s="4">
        <v>9649</v>
      </c>
      <c r="C9654" s="10">
        <v>212.31356395737438</v>
      </c>
      <c r="D9654" s="42"/>
    </row>
    <row r="9655" spans="2:4" ht="16" thickBot="1" x14ac:dyDescent="0.25">
      <c r="B9655" s="5">
        <v>9650</v>
      </c>
      <c r="C9655" s="11">
        <v>247.57250343669293</v>
      </c>
      <c r="D9655" s="42"/>
    </row>
    <row r="9656" spans="2:4" ht="16" thickBot="1" x14ac:dyDescent="0.25">
      <c r="B9656" s="4">
        <v>9651</v>
      </c>
      <c r="C9656" s="10">
        <v>181.91231182515588</v>
      </c>
      <c r="D9656" s="42"/>
    </row>
    <row r="9657" spans="2:4" ht="16" thickBot="1" x14ac:dyDescent="0.25">
      <c r="B9657" s="5">
        <v>9652</v>
      </c>
      <c r="C9657" s="11">
        <v>662.62169762146164</v>
      </c>
      <c r="D9657" s="42"/>
    </row>
    <row r="9658" spans="2:4" ht="16" thickBot="1" x14ac:dyDescent="0.25">
      <c r="B9658" s="4">
        <v>9653</v>
      </c>
      <c r="C9658" s="10">
        <v>73.49677301679921</v>
      </c>
      <c r="D9658" s="42"/>
    </row>
    <row r="9659" spans="2:4" ht="16" thickBot="1" x14ac:dyDescent="0.25">
      <c r="B9659" s="5">
        <v>9654</v>
      </c>
      <c r="C9659" s="11">
        <v>405.35197982240271</v>
      </c>
      <c r="D9659" s="42"/>
    </row>
    <row r="9660" spans="2:4" ht="16" thickBot="1" x14ac:dyDescent="0.25">
      <c r="B9660" s="4">
        <v>9655</v>
      </c>
      <c r="C9660" s="10">
        <v>480.11962454745589</v>
      </c>
      <c r="D9660" s="42"/>
    </row>
    <row r="9661" spans="2:4" ht="16" thickBot="1" x14ac:dyDescent="0.25">
      <c r="B9661" s="5">
        <v>9656</v>
      </c>
      <c r="C9661" s="11">
        <v>355.64248065864945</v>
      </c>
      <c r="D9661" s="42"/>
    </row>
    <row r="9662" spans="2:4" ht="16" thickBot="1" x14ac:dyDescent="0.25">
      <c r="B9662" s="4">
        <v>9657</v>
      </c>
      <c r="C9662" s="10">
        <v>106.11743033218286</v>
      </c>
      <c r="D9662" s="42"/>
    </row>
    <row r="9663" spans="2:4" ht="16" thickBot="1" x14ac:dyDescent="0.25">
      <c r="B9663" s="5">
        <v>9658</v>
      </c>
      <c r="C9663" s="11">
        <v>211.36766089066325</v>
      </c>
      <c r="D9663" s="42"/>
    </row>
    <row r="9664" spans="2:4" ht="16" thickBot="1" x14ac:dyDescent="0.25">
      <c r="B9664" s="4">
        <v>9659</v>
      </c>
      <c r="C9664" s="10">
        <v>478.77404526695909</v>
      </c>
      <c r="D9664" s="42"/>
    </row>
    <row r="9665" spans="2:4" ht="16" thickBot="1" x14ac:dyDescent="0.25">
      <c r="B9665" s="5">
        <v>9660</v>
      </c>
      <c r="C9665" s="11">
        <v>340.09583917153128</v>
      </c>
      <c r="D9665" s="42"/>
    </row>
    <row r="9666" spans="2:4" ht="16" thickBot="1" x14ac:dyDescent="0.25">
      <c r="B9666" s="4">
        <v>9661</v>
      </c>
      <c r="C9666" s="10">
        <v>147.12657382057711</v>
      </c>
      <c r="D9666" s="42"/>
    </row>
    <row r="9667" spans="2:4" ht="16" thickBot="1" x14ac:dyDescent="0.25">
      <c r="B9667" s="5">
        <v>9662</v>
      </c>
      <c r="C9667" s="11">
        <v>112.70445005773874</v>
      </c>
      <c r="D9667" s="42"/>
    </row>
    <row r="9668" spans="2:4" ht="16" thickBot="1" x14ac:dyDescent="0.25">
      <c r="B9668" s="4">
        <v>9663</v>
      </c>
      <c r="C9668" s="10">
        <v>406.90425762318489</v>
      </c>
      <c r="D9668" s="42"/>
    </row>
    <row r="9669" spans="2:4" ht="16" thickBot="1" x14ac:dyDescent="0.25">
      <c r="B9669" s="5">
        <v>9664</v>
      </c>
      <c r="C9669" s="11">
        <v>265.42725618880269</v>
      </c>
      <c r="D9669" s="42"/>
    </row>
    <row r="9670" spans="2:4" ht="16" thickBot="1" x14ac:dyDescent="0.25">
      <c r="B9670" s="4">
        <v>9665</v>
      </c>
      <c r="C9670" s="10">
        <v>337.87114705287382</v>
      </c>
      <c r="D9670" s="42"/>
    </row>
    <row r="9671" spans="2:4" ht="16" thickBot="1" x14ac:dyDescent="0.25">
      <c r="B9671" s="5">
        <v>9666</v>
      </c>
      <c r="C9671" s="11">
        <v>79.471301055007089</v>
      </c>
      <c r="D9671" s="42"/>
    </row>
    <row r="9672" spans="2:4" ht="16" thickBot="1" x14ac:dyDescent="0.25">
      <c r="B9672" s="4">
        <v>9667</v>
      </c>
      <c r="C9672" s="10">
        <v>407.99946273378805</v>
      </c>
      <c r="D9672" s="42"/>
    </row>
    <row r="9673" spans="2:4" ht="16" thickBot="1" x14ac:dyDescent="0.25">
      <c r="B9673" s="5">
        <v>9668</v>
      </c>
      <c r="C9673" s="11">
        <v>174.29416553969912</v>
      </c>
      <c r="D9673" s="42"/>
    </row>
    <row r="9674" spans="2:4" ht="16" thickBot="1" x14ac:dyDescent="0.25">
      <c r="B9674" s="4">
        <v>9669</v>
      </c>
      <c r="C9674" s="10">
        <v>140.40842995417066</v>
      </c>
      <c r="D9674" s="42"/>
    </row>
    <row r="9675" spans="2:4" ht="16" thickBot="1" x14ac:dyDescent="0.25">
      <c r="B9675" s="5">
        <v>9670</v>
      </c>
      <c r="C9675" s="11">
        <v>168.92275019209538</v>
      </c>
      <c r="D9675" s="42"/>
    </row>
    <row r="9676" spans="2:4" ht="16" thickBot="1" x14ac:dyDescent="0.25">
      <c r="B9676" s="4">
        <v>9671</v>
      </c>
      <c r="C9676" s="10">
        <v>386.1043873700504</v>
      </c>
      <c r="D9676" s="42"/>
    </row>
    <row r="9677" spans="2:4" ht="16" thickBot="1" x14ac:dyDescent="0.25">
      <c r="B9677" s="5">
        <v>9672</v>
      </c>
      <c r="C9677" s="11">
        <v>216.76747504559873</v>
      </c>
      <c r="D9677" s="42"/>
    </row>
    <row r="9678" spans="2:4" ht="16" thickBot="1" x14ac:dyDescent="0.25">
      <c r="B9678" s="4">
        <v>9673</v>
      </c>
      <c r="C9678" s="10">
        <v>254.4297394048684</v>
      </c>
      <c r="D9678" s="42"/>
    </row>
    <row r="9679" spans="2:4" ht="16" thickBot="1" x14ac:dyDescent="0.25">
      <c r="B9679" s="5">
        <v>9674</v>
      </c>
      <c r="C9679" s="11">
        <v>233.95769368518063</v>
      </c>
      <c r="D9679" s="42"/>
    </row>
    <row r="9680" spans="2:4" ht="16" thickBot="1" x14ac:dyDescent="0.25">
      <c r="B9680" s="4">
        <v>9675</v>
      </c>
      <c r="C9680" s="10">
        <v>394.69693437897951</v>
      </c>
      <c r="D9680" s="42"/>
    </row>
    <row r="9681" spans="2:4" ht="16" thickBot="1" x14ac:dyDescent="0.25">
      <c r="B9681" s="5">
        <v>9676</v>
      </c>
      <c r="C9681" s="11">
        <v>508.98161788751599</v>
      </c>
      <c r="D9681" s="42"/>
    </row>
    <row r="9682" spans="2:4" ht="16" thickBot="1" x14ac:dyDescent="0.25">
      <c r="B9682" s="4">
        <v>9677</v>
      </c>
      <c r="C9682" s="10">
        <v>92.990280480700804</v>
      </c>
      <c r="D9682" s="42"/>
    </row>
    <row r="9683" spans="2:4" ht="16" thickBot="1" x14ac:dyDescent="0.25">
      <c r="B9683" s="5">
        <v>9678</v>
      </c>
      <c r="C9683" s="11">
        <v>349.18684987302078</v>
      </c>
      <c r="D9683" s="42"/>
    </row>
    <row r="9684" spans="2:4" ht="16" thickBot="1" x14ac:dyDescent="0.25">
      <c r="B9684" s="4">
        <v>9679</v>
      </c>
      <c r="C9684" s="10">
        <v>103.98148110988302</v>
      </c>
      <c r="D9684" s="42"/>
    </row>
    <row r="9685" spans="2:4" ht="16" thickBot="1" x14ac:dyDescent="0.25">
      <c r="B9685" s="5">
        <v>9680</v>
      </c>
      <c r="C9685" s="11">
        <v>478.23721489859622</v>
      </c>
      <c r="D9685" s="42"/>
    </row>
    <row r="9686" spans="2:4" ht="16" thickBot="1" x14ac:dyDescent="0.25">
      <c r="B9686" s="4">
        <v>9681</v>
      </c>
      <c r="C9686" s="10">
        <v>285.23663335423964</v>
      </c>
      <c r="D9686" s="42"/>
    </row>
    <row r="9687" spans="2:4" ht="16" thickBot="1" x14ac:dyDescent="0.25">
      <c r="B9687" s="5">
        <v>9682</v>
      </c>
      <c r="C9687" s="11">
        <v>266.94034760262934</v>
      </c>
      <c r="D9687" s="42"/>
    </row>
    <row r="9688" spans="2:4" ht="16" thickBot="1" x14ac:dyDescent="0.25">
      <c r="B9688" s="4">
        <v>9683</v>
      </c>
      <c r="C9688" s="10">
        <v>239.0318456877867</v>
      </c>
      <c r="D9688" s="42"/>
    </row>
    <row r="9689" spans="2:4" ht="16" thickBot="1" x14ac:dyDescent="0.25">
      <c r="B9689" s="5">
        <v>9684</v>
      </c>
      <c r="C9689" s="11">
        <v>128.5101381935487</v>
      </c>
      <c r="D9689" s="42"/>
    </row>
    <row r="9690" spans="2:4" ht="16" thickBot="1" x14ac:dyDescent="0.25">
      <c r="B9690" s="4">
        <v>9685</v>
      </c>
      <c r="C9690" s="10">
        <v>315.24545538075728</v>
      </c>
      <c r="D9690" s="42"/>
    </row>
    <row r="9691" spans="2:4" ht="16" thickBot="1" x14ac:dyDescent="0.25">
      <c r="B9691" s="5">
        <v>9686</v>
      </c>
      <c r="C9691" s="11">
        <v>325.10121400677048</v>
      </c>
      <c r="D9691" s="42"/>
    </row>
    <row r="9692" spans="2:4" ht="16" thickBot="1" x14ac:dyDescent="0.25">
      <c r="B9692" s="4">
        <v>9687</v>
      </c>
      <c r="C9692" s="10">
        <v>105.83819870908791</v>
      </c>
      <c r="D9692" s="42"/>
    </row>
    <row r="9693" spans="2:4" ht="16" thickBot="1" x14ac:dyDescent="0.25">
      <c r="B9693" s="5">
        <v>9688</v>
      </c>
      <c r="C9693" s="11">
        <v>249.88330864529735</v>
      </c>
      <c r="D9693" s="42"/>
    </row>
    <row r="9694" spans="2:4" ht="16" thickBot="1" x14ac:dyDescent="0.25">
      <c r="B9694" s="4">
        <v>9689</v>
      </c>
      <c r="C9694" s="10">
        <v>169.14314639566481</v>
      </c>
      <c r="D9694" s="42"/>
    </row>
    <row r="9695" spans="2:4" ht="16" thickBot="1" x14ac:dyDescent="0.25">
      <c r="B9695" s="5">
        <v>9690</v>
      </c>
      <c r="C9695" s="11">
        <v>346.15696119082475</v>
      </c>
      <c r="D9695" s="42"/>
    </row>
    <row r="9696" spans="2:4" ht="16" thickBot="1" x14ac:dyDescent="0.25">
      <c r="B9696" s="4">
        <v>9691</v>
      </c>
      <c r="C9696" s="10">
        <v>230.37816001054355</v>
      </c>
      <c r="D9696" s="42"/>
    </row>
    <row r="9697" spans="2:4" ht="16" thickBot="1" x14ac:dyDescent="0.25">
      <c r="B9697" s="5">
        <v>9692</v>
      </c>
      <c r="C9697" s="11">
        <v>163.36648921811155</v>
      </c>
      <c r="D9697" s="42"/>
    </row>
    <row r="9698" spans="2:4" ht="16" thickBot="1" x14ac:dyDescent="0.25">
      <c r="B9698" s="4">
        <v>9693</v>
      </c>
      <c r="C9698" s="10">
        <v>260.89836490156648</v>
      </c>
      <c r="D9698" s="42"/>
    </row>
    <row r="9699" spans="2:4" ht="16" thickBot="1" x14ac:dyDescent="0.25">
      <c r="B9699" s="5">
        <v>9694</v>
      </c>
      <c r="C9699" s="11">
        <v>222.14528800389945</v>
      </c>
      <c r="D9699" s="42"/>
    </row>
    <row r="9700" spans="2:4" ht="16" thickBot="1" x14ac:dyDescent="0.25">
      <c r="B9700" s="4">
        <v>9695</v>
      </c>
      <c r="C9700" s="10">
        <v>46.231267964144358</v>
      </c>
      <c r="D9700" s="42"/>
    </row>
    <row r="9701" spans="2:4" ht="16" thickBot="1" x14ac:dyDescent="0.25">
      <c r="B9701" s="5">
        <v>9696</v>
      </c>
      <c r="C9701" s="11">
        <v>81.500122902112281</v>
      </c>
      <c r="D9701" s="42"/>
    </row>
    <row r="9702" spans="2:4" ht="16" thickBot="1" x14ac:dyDescent="0.25">
      <c r="B9702" s="4">
        <v>9697</v>
      </c>
      <c r="C9702" s="10">
        <v>410.54269104797095</v>
      </c>
      <c r="D9702" s="42"/>
    </row>
    <row r="9703" spans="2:4" ht="16" thickBot="1" x14ac:dyDescent="0.25">
      <c r="B9703" s="5">
        <v>9698</v>
      </c>
      <c r="C9703" s="11">
        <v>134.72292613190319</v>
      </c>
      <c r="D9703" s="42"/>
    </row>
    <row r="9704" spans="2:4" ht="16" thickBot="1" x14ac:dyDescent="0.25">
      <c r="B9704" s="4">
        <v>9699</v>
      </c>
      <c r="C9704" s="10">
        <v>150.63141303959029</v>
      </c>
      <c r="D9704" s="42"/>
    </row>
    <row r="9705" spans="2:4" ht="16" thickBot="1" x14ac:dyDescent="0.25">
      <c r="B9705" s="5">
        <v>9700</v>
      </c>
      <c r="C9705" s="11">
        <v>133.89456746935531</v>
      </c>
      <c r="D9705" s="42"/>
    </row>
    <row r="9706" spans="2:4" ht="16" thickBot="1" x14ac:dyDescent="0.25">
      <c r="B9706" s="4">
        <v>9701</v>
      </c>
      <c r="C9706" s="10">
        <v>348.31592182717287</v>
      </c>
      <c r="D9706" s="42"/>
    </row>
    <row r="9707" spans="2:4" ht="16" thickBot="1" x14ac:dyDescent="0.25">
      <c r="B9707" s="5">
        <v>9702</v>
      </c>
      <c r="C9707" s="11">
        <v>344.33789230184067</v>
      </c>
      <c r="D9707" s="42"/>
    </row>
    <row r="9708" spans="2:4" ht="16" thickBot="1" x14ac:dyDescent="0.25">
      <c r="B9708" s="4">
        <v>9703</v>
      </c>
      <c r="C9708" s="10">
        <v>405.2946737618289</v>
      </c>
      <c r="D9708" s="42"/>
    </row>
    <row r="9709" spans="2:4" ht="16" thickBot="1" x14ac:dyDescent="0.25">
      <c r="B9709" s="5">
        <v>9704</v>
      </c>
      <c r="C9709" s="11">
        <v>113.77726435883804</v>
      </c>
      <c r="D9709" s="42"/>
    </row>
    <row r="9710" spans="2:4" ht="16" thickBot="1" x14ac:dyDescent="0.25">
      <c r="B9710" s="4">
        <v>9705</v>
      </c>
      <c r="C9710" s="10">
        <v>624.26073604842497</v>
      </c>
      <c r="D9710" s="42"/>
    </row>
    <row r="9711" spans="2:4" ht="16" thickBot="1" x14ac:dyDescent="0.25">
      <c r="B9711" s="5">
        <v>9706</v>
      </c>
      <c r="C9711" s="11">
        <v>383.15440216715012</v>
      </c>
      <c r="D9711" s="42"/>
    </row>
    <row r="9712" spans="2:4" ht="16" thickBot="1" x14ac:dyDescent="0.25">
      <c r="B9712" s="4">
        <v>9707</v>
      </c>
      <c r="C9712" s="10">
        <v>319.77745344587919</v>
      </c>
      <c r="D9712" s="42"/>
    </row>
    <row r="9713" spans="2:4" ht="16" thickBot="1" x14ac:dyDescent="0.25">
      <c r="B9713" s="5">
        <v>9708</v>
      </c>
      <c r="C9713" s="11">
        <v>328.37167990521317</v>
      </c>
      <c r="D9713" s="42"/>
    </row>
    <row r="9714" spans="2:4" ht="16" thickBot="1" x14ac:dyDescent="0.25">
      <c r="B9714" s="4">
        <v>9709</v>
      </c>
      <c r="C9714" s="10">
        <v>417.17739926840648</v>
      </c>
      <c r="D9714" s="42"/>
    </row>
    <row r="9715" spans="2:4" ht="16" thickBot="1" x14ac:dyDescent="0.25">
      <c r="B9715" s="5">
        <v>9710</v>
      </c>
      <c r="C9715" s="11">
        <v>188.07121923279254</v>
      </c>
      <c r="D9715" s="42"/>
    </row>
    <row r="9716" spans="2:4" ht="16" thickBot="1" x14ac:dyDescent="0.25">
      <c r="B9716" s="4">
        <v>9711</v>
      </c>
      <c r="C9716" s="10">
        <v>287.09266790192618</v>
      </c>
      <c r="D9716" s="42"/>
    </row>
    <row r="9717" spans="2:4" ht="16" thickBot="1" x14ac:dyDescent="0.25">
      <c r="B9717" s="5">
        <v>9712</v>
      </c>
      <c r="C9717" s="11">
        <v>167.12750161108684</v>
      </c>
      <c r="D9717" s="42"/>
    </row>
    <row r="9718" spans="2:4" ht="16" thickBot="1" x14ac:dyDescent="0.25">
      <c r="B9718" s="4">
        <v>9713</v>
      </c>
      <c r="C9718" s="10">
        <v>36.120168757760005</v>
      </c>
      <c r="D9718" s="42"/>
    </row>
    <row r="9719" spans="2:4" ht="16" thickBot="1" x14ac:dyDescent="0.25">
      <c r="B9719" s="5">
        <v>9714</v>
      </c>
      <c r="C9719" s="11">
        <v>333.07288655671272</v>
      </c>
      <c r="D9719" s="42"/>
    </row>
    <row r="9720" spans="2:4" ht="16" thickBot="1" x14ac:dyDescent="0.25">
      <c r="B9720" s="4">
        <v>9715</v>
      </c>
      <c r="C9720" s="10">
        <v>247.84943021713477</v>
      </c>
      <c r="D9720" s="42"/>
    </row>
    <row r="9721" spans="2:4" ht="16" thickBot="1" x14ac:dyDescent="0.25">
      <c r="B9721" s="5">
        <v>9716</v>
      </c>
      <c r="C9721" s="11">
        <v>309.24744072434299</v>
      </c>
      <c r="D9721" s="42"/>
    </row>
    <row r="9722" spans="2:4" ht="16" thickBot="1" x14ac:dyDescent="0.25">
      <c r="B9722" s="4">
        <v>9717</v>
      </c>
      <c r="C9722" s="10">
        <v>152.40665058494716</v>
      </c>
      <c r="D9722" s="42"/>
    </row>
    <row r="9723" spans="2:4" ht="16" thickBot="1" x14ac:dyDescent="0.25">
      <c r="B9723" s="5">
        <v>9718</v>
      </c>
      <c r="C9723" s="11">
        <v>80.21933032198578</v>
      </c>
      <c r="D9723" s="42"/>
    </row>
    <row r="9724" spans="2:4" ht="16" thickBot="1" x14ac:dyDescent="0.25">
      <c r="B9724" s="4">
        <v>9719</v>
      </c>
      <c r="C9724" s="10">
        <v>533.65666035975539</v>
      </c>
      <c r="D9724" s="42"/>
    </row>
    <row r="9725" spans="2:4" ht="16" thickBot="1" x14ac:dyDescent="0.25">
      <c r="B9725" s="5">
        <v>9720</v>
      </c>
      <c r="C9725" s="11">
        <v>132.06101684959552</v>
      </c>
      <c r="D9725" s="42"/>
    </row>
    <row r="9726" spans="2:4" ht="16" thickBot="1" x14ac:dyDescent="0.25">
      <c r="B9726" s="4">
        <v>9721</v>
      </c>
      <c r="C9726" s="10">
        <v>472.49640971578367</v>
      </c>
      <c r="D9726" s="42"/>
    </row>
    <row r="9727" spans="2:4" ht="16" thickBot="1" x14ac:dyDescent="0.25">
      <c r="B9727" s="5">
        <v>9722</v>
      </c>
      <c r="C9727" s="11">
        <v>393.8982831572456</v>
      </c>
      <c r="D9727" s="42"/>
    </row>
    <row r="9728" spans="2:4" ht="16" thickBot="1" x14ac:dyDescent="0.25">
      <c r="B9728" s="4">
        <v>9723</v>
      </c>
      <c r="C9728" s="10">
        <v>272.94672407505158</v>
      </c>
      <c r="D9728" s="42"/>
    </row>
    <row r="9729" spans="2:4" ht="16" thickBot="1" x14ac:dyDescent="0.25">
      <c r="B9729" s="5">
        <v>9724</v>
      </c>
      <c r="C9729" s="11">
        <v>197.74627564595968</v>
      </c>
      <c r="D9729" s="42"/>
    </row>
    <row r="9730" spans="2:4" ht="16" thickBot="1" x14ac:dyDescent="0.25">
      <c r="B9730" s="4">
        <v>9725</v>
      </c>
      <c r="C9730" s="10">
        <v>295.01769966225521</v>
      </c>
      <c r="D9730" s="42"/>
    </row>
    <row r="9731" spans="2:4" ht="16" thickBot="1" x14ac:dyDescent="0.25">
      <c r="B9731" s="5">
        <v>9726</v>
      </c>
      <c r="C9731" s="11">
        <v>130.04836995057286</v>
      </c>
      <c r="D9731" s="42"/>
    </row>
    <row r="9732" spans="2:4" ht="16" thickBot="1" x14ac:dyDescent="0.25">
      <c r="B9732" s="4">
        <v>9727</v>
      </c>
      <c r="C9732" s="10">
        <v>208.78592380398788</v>
      </c>
      <c r="D9732" s="42"/>
    </row>
    <row r="9733" spans="2:4" ht="16" thickBot="1" x14ac:dyDescent="0.25">
      <c r="B9733" s="5">
        <v>9728</v>
      </c>
      <c r="C9733" s="11">
        <v>392.63491403373848</v>
      </c>
      <c r="D9733" s="42"/>
    </row>
    <row r="9734" spans="2:4" ht="16" thickBot="1" x14ac:dyDescent="0.25">
      <c r="B9734" s="4">
        <v>9729</v>
      </c>
      <c r="C9734" s="10">
        <v>334.15359269414614</v>
      </c>
      <c r="D9734" s="42"/>
    </row>
    <row r="9735" spans="2:4" ht="16" thickBot="1" x14ac:dyDescent="0.25">
      <c r="B9735" s="5">
        <v>9730</v>
      </c>
      <c r="C9735" s="11">
        <v>336.2226736326773</v>
      </c>
      <c r="D9735" s="42"/>
    </row>
    <row r="9736" spans="2:4" ht="16" thickBot="1" x14ac:dyDescent="0.25">
      <c r="B9736" s="4">
        <v>9731</v>
      </c>
      <c r="C9736" s="10">
        <v>158.26554394663546</v>
      </c>
      <c r="D9736" s="42"/>
    </row>
    <row r="9737" spans="2:4" ht="16" thickBot="1" x14ac:dyDescent="0.25">
      <c r="B9737" s="5">
        <v>9732</v>
      </c>
      <c r="C9737" s="11">
        <v>39.470668616509556</v>
      </c>
      <c r="D9737" s="42"/>
    </row>
    <row r="9738" spans="2:4" ht="16" thickBot="1" x14ac:dyDescent="0.25">
      <c r="B9738" s="4">
        <v>9733</v>
      </c>
      <c r="C9738" s="10">
        <v>230.42046385013762</v>
      </c>
      <c r="D9738" s="42"/>
    </row>
    <row r="9739" spans="2:4" ht="16" thickBot="1" x14ac:dyDescent="0.25">
      <c r="B9739" s="5">
        <v>9734</v>
      </c>
      <c r="C9739" s="11">
        <v>160.69547863824567</v>
      </c>
      <c r="D9739" s="42"/>
    </row>
    <row r="9740" spans="2:4" ht="16" thickBot="1" x14ac:dyDescent="0.25">
      <c r="B9740" s="4">
        <v>9735</v>
      </c>
      <c r="C9740" s="10">
        <v>242.68970158308733</v>
      </c>
      <c r="D9740" s="42"/>
    </row>
    <row r="9741" spans="2:4" ht="16" thickBot="1" x14ac:dyDescent="0.25">
      <c r="B9741" s="5">
        <v>9736</v>
      </c>
      <c r="C9741" s="11">
        <v>187.25296543084659</v>
      </c>
      <c r="D9741" s="42"/>
    </row>
    <row r="9742" spans="2:4" ht="16" thickBot="1" x14ac:dyDescent="0.25">
      <c r="B9742" s="4">
        <v>9737</v>
      </c>
      <c r="C9742" s="10">
        <v>362.3570373779678</v>
      </c>
      <c r="D9742" s="42"/>
    </row>
    <row r="9743" spans="2:4" ht="16" thickBot="1" x14ac:dyDescent="0.25">
      <c r="B9743" s="5">
        <v>9738</v>
      </c>
      <c r="C9743" s="11">
        <v>124.63590230662054</v>
      </c>
      <c r="D9743" s="42"/>
    </row>
    <row r="9744" spans="2:4" ht="16" thickBot="1" x14ac:dyDescent="0.25">
      <c r="B9744" s="4">
        <v>9739</v>
      </c>
      <c r="C9744" s="10">
        <v>145.43428365898535</v>
      </c>
      <c r="D9744" s="42"/>
    </row>
    <row r="9745" spans="2:4" ht="16" thickBot="1" x14ac:dyDescent="0.25">
      <c r="B9745" s="5">
        <v>9740</v>
      </c>
      <c r="C9745" s="11">
        <v>266.55919625453021</v>
      </c>
      <c r="D9745" s="42"/>
    </row>
    <row r="9746" spans="2:4" ht="16" thickBot="1" x14ac:dyDescent="0.25">
      <c r="B9746" s="4">
        <v>9741</v>
      </c>
      <c r="C9746" s="10">
        <v>221.18178656360274</v>
      </c>
      <c r="D9746" s="42"/>
    </row>
    <row r="9747" spans="2:4" ht="16" thickBot="1" x14ac:dyDescent="0.25">
      <c r="B9747" s="5">
        <v>9742</v>
      </c>
      <c r="C9747" s="11">
        <v>161.76568498105993</v>
      </c>
      <c r="D9747" s="42"/>
    </row>
    <row r="9748" spans="2:4" ht="16" thickBot="1" x14ac:dyDescent="0.25">
      <c r="B9748" s="4">
        <v>9743</v>
      </c>
      <c r="C9748" s="10">
        <v>384.22385796990568</v>
      </c>
      <c r="D9748" s="42"/>
    </row>
    <row r="9749" spans="2:4" ht="16" thickBot="1" x14ac:dyDescent="0.25">
      <c r="B9749" s="5">
        <v>9744</v>
      </c>
      <c r="C9749" s="11">
        <v>223.98006121020325</v>
      </c>
      <c r="D9749" s="42"/>
    </row>
    <row r="9750" spans="2:4" ht="16" thickBot="1" x14ac:dyDescent="0.25">
      <c r="B9750" s="4">
        <v>9745</v>
      </c>
      <c r="C9750" s="10">
        <v>217.36611171464972</v>
      </c>
      <c r="D9750" s="42"/>
    </row>
    <row r="9751" spans="2:4" ht="16" thickBot="1" x14ac:dyDescent="0.25">
      <c r="B9751" s="5">
        <v>9746</v>
      </c>
      <c r="C9751" s="11">
        <v>18.825586146628613</v>
      </c>
      <c r="D9751" s="42"/>
    </row>
    <row r="9752" spans="2:4" ht="16" thickBot="1" x14ac:dyDescent="0.25">
      <c r="B9752" s="4">
        <v>9747</v>
      </c>
      <c r="C9752" s="10">
        <v>312.53785919910791</v>
      </c>
      <c r="D9752" s="42"/>
    </row>
    <row r="9753" spans="2:4" ht="16" thickBot="1" x14ac:dyDescent="0.25">
      <c r="B9753" s="5">
        <v>9748</v>
      </c>
      <c r="C9753" s="11">
        <v>227.26292079753765</v>
      </c>
      <c r="D9753" s="42"/>
    </row>
    <row r="9754" spans="2:4" ht="16" thickBot="1" x14ac:dyDescent="0.25">
      <c r="B9754" s="4">
        <v>9749</v>
      </c>
      <c r="C9754" s="10">
        <v>493.37642415800832</v>
      </c>
      <c r="D9754" s="42"/>
    </row>
    <row r="9755" spans="2:4" ht="16" thickBot="1" x14ac:dyDescent="0.25">
      <c r="B9755" s="5">
        <v>9750</v>
      </c>
      <c r="C9755" s="11">
        <v>236.50949922018626</v>
      </c>
      <c r="D9755" s="42"/>
    </row>
    <row r="9756" spans="2:4" ht="16" thickBot="1" x14ac:dyDescent="0.25">
      <c r="B9756" s="4">
        <v>9751</v>
      </c>
      <c r="C9756" s="10">
        <v>492.98698278024239</v>
      </c>
      <c r="D9756" s="42"/>
    </row>
    <row r="9757" spans="2:4" ht="16" thickBot="1" x14ac:dyDescent="0.25">
      <c r="B9757" s="5">
        <v>9752</v>
      </c>
      <c r="C9757" s="11">
        <v>240.59409964751637</v>
      </c>
      <c r="D9757" s="42"/>
    </row>
    <row r="9758" spans="2:4" ht="16" thickBot="1" x14ac:dyDescent="0.25">
      <c r="B9758" s="4">
        <v>9753</v>
      </c>
      <c r="C9758" s="10">
        <v>214.54689704175422</v>
      </c>
      <c r="D9758" s="42"/>
    </row>
    <row r="9759" spans="2:4" ht="16" thickBot="1" x14ac:dyDescent="0.25">
      <c r="B9759" s="5">
        <v>9754</v>
      </c>
      <c r="C9759" s="11">
        <v>313.65355028565386</v>
      </c>
      <c r="D9759" s="42"/>
    </row>
    <row r="9760" spans="2:4" ht="16" thickBot="1" x14ac:dyDescent="0.25">
      <c r="B9760" s="4">
        <v>9755</v>
      </c>
      <c r="C9760" s="10">
        <v>212.63762514459128</v>
      </c>
      <c r="D9760" s="42"/>
    </row>
    <row r="9761" spans="2:4" ht="16" thickBot="1" x14ac:dyDescent="0.25">
      <c r="B9761" s="5">
        <v>9756</v>
      </c>
      <c r="C9761" s="11">
        <v>200.98870589143255</v>
      </c>
      <c r="D9761" s="42"/>
    </row>
    <row r="9762" spans="2:4" ht="16" thickBot="1" x14ac:dyDescent="0.25">
      <c r="B9762" s="4">
        <v>9757</v>
      </c>
      <c r="C9762" s="10">
        <v>372.66343831921648</v>
      </c>
      <c r="D9762" s="42"/>
    </row>
    <row r="9763" spans="2:4" ht="16" thickBot="1" x14ac:dyDescent="0.25">
      <c r="B9763" s="5">
        <v>9758</v>
      </c>
      <c r="C9763" s="11">
        <v>520.70602877829447</v>
      </c>
      <c r="D9763" s="42"/>
    </row>
    <row r="9764" spans="2:4" ht="16" thickBot="1" x14ac:dyDescent="0.25">
      <c r="B9764" s="4">
        <v>9759</v>
      </c>
      <c r="C9764" s="10">
        <v>479.54228490044983</v>
      </c>
      <c r="D9764" s="42"/>
    </row>
    <row r="9765" spans="2:4" ht="16" thickBot="1" x14ac:dyDescent="0.25">
      <c r="B9765" s="5">
        <v>9760</v>
      </c>
      <c r="C9765" s="11">
        <v>330.00118074233944</v>
      </c>
      <c r="D9765" s="42"/>
    </row>
    <row r="9766" spans="2:4" ht="16" thickBot="1" x14ac:dyDescent="0.25">
      <c r="B9766" s="4">
        <v>9761</v>
      </c>
      <c r="C9766" s="10">
        <v>513.4386704996715</v>
      </c>
      <c r="D9766" s="42"/>
    </row>
    <row r="9767" spans="2:4" ht="16" thickBot="1" x14ac:dyDescent="0.25">
      <c r="B9767" s="5">
        <v>9762</v>
      </c>
      <c r="C9767" s="11">
        <v>396.89941113512828</v>
      </c>
      <c r="D9767" s="42"/>
    </row>
    <row r="9768" spans="2:4" ht="16" thickBot="1" x14ac:dyDescent="0.25">
      <c r="B9768" s="4">
        <v>9763</v>
      </c>
      <c r="C9768" s="10">
        <v>695.02291449562028</v>
      </c>
      <c r="D9768" s="42"/>
    </row>
    <row r="9769" spans="2:4" ht="16" thickBot="1" x14ac:dyDescent="0.25">
      <c r="B9769" s="5">
        <v>9764</v>
      </c>
      <c r="C9769" s="11">
        <v>175.61322373051519</v>
      </c>
      <c r="D9769" s="42"/>
    </row>
    <row r="9770" spans="2:4" ht="16" thickBot="1" x14ac:dyDescent="0.25">
      <c r="B9770" s="4">
        <v>9765</v>
      </c>
      <c r="C9770" s="10">
        <v>269.01365209885324</v>
      </c>
      <c r="D9770" s="42"/>
    </row>
    <row r="9771" spans="2:4" ht="16" thickBot="1" x14ac:dyDescent="0.25">
      <c r="B9771" s="5">
        <v>9766</v>
      </c>
      <c r="C9771" s="11">
        <v>272.91135774995217</v>
      </c>
      <c r="D9771" s="42"/>
    </row>
    <row r="9772" spans="2:4" ht="16" thickBot="1" x14ac:dyDescent="0.25">
      <c r="B9772" s="4">
        <v>9767</v>
      </c>
      <c r="C9772" s="10">
        <v>102.00124363640194</v>
      </c>
      <c r="D9772" s="42"/>
    </row>
    <row r="9773" spans="2:4" ht="16" thickBot="1" x14ac:dyDescent="0.25">
      <c r="B9773" s="5">
        <v>9768</v>
      </c>
      <c r="C9773" s="11">
        <v>91.103561315437645</v>
      </c>
      <c r="D9773" s="42"/>
    </row>
    <row r="9774" spans="2:4" ht="16" thickBot="1" x14ac:dyDescent="0.25">
      <c r="B9774" s="4">
        <v>9769</v>
      </c>
      <c r="C9774" s="10">
        <v>488.74867190657051</v>
      </c>
      <c r="D9774" s="42"/>
    </row>
    <row r="9775" spans="2:4" ht="16" thickBot="1" x14ac:dyDescent="0.25">
      <c r="B9775" s="5">
        <v>9770</v>
      </c>
      <c r="C9775" s="11">
        <v>624.96843971374904</v>
      </c>
      <c r="D9775" s="42"/>
    </row>
    <row r="9776" spans="2:4" ht="16" thickBot="1" x14ac:dyDescent="0.25">
      <c r="B9776" s="4">
        <v>9771</v>
      </c>
      <c r="C9776" s="10">
        <v>188.97775029847617</v>
      </c>
      <c r="D9776" s="42"/>
    </row>
    <row r="9777" spans="2:4" ht="16" thickBot="1" x14ac:dyDescent="0.25">
      <c r="B9777" s="5">
        <v>9772</v>
      </c>
      <c r="C9777" s="11">
        <v>98.819283824512738</v>
      </c>
      <c r="D9777" s="42"/>
    </row>
    <row r="9778" spans="2:4" ht="16" thickBot="1" x14ac:dyDescent="0.25">
      <c r="B9778" s="4">
        <v>9773</v>
      </c>
      <c r="C9778" s="10">
        <v>594.68447715996092</v>
      </c>
      <c r="D9778" s="42"/>
    </row>
    <row r="9779" spans="2:4" ht="16" thickBot="1" x14ac:dyDescent="0.25">
      <c r="B9779" s="5">
        <v>9774</v>
      </c>
      <c r="C9779" s="11">
        <v>124.23997037034505</v>
      </c>
      <c r="D9779" s="42"/>
    </row>
    <row r="9780" spans="2:4" ht="16" thickBot="1" x14ac:dyDescent="0.25">
      <c r="B9780" s="4">
        <v>9775</v>
      </c>
      <c r="C9780" s="10">
        <v>100.94364498973914</v>
      </c>
      <c r="D9780" s="42"/>
    </row>
    <row r="9781" spans="2:4" ht="16" thickBot="1" x14ac:dyDescent="0.25">
      <c r="B9781" s="5">
        <v>9776</v>
      </c>
      <c r="C9781" s="11">
        <v>213.71442903395501</v>
      </c>
      <c r="D9781" s="42"/>
    </row>
    <row r="9782" spans="2:4" ht="16" thickBot="1" x14ac:dyDescent="0.25">
      <c r="B9782" s="4">
        <v>9777</v>
      </c>
      <c r="C9782" s="10">
        <v>370.94479753567339</v>
      </c>
      <c r="D9782" s="42"/>
    </row>
    <row r="9783" spans="2:4" ht="16" thickBot="1" x14ac:dyDescent="0.25">
      <c r="B9783" s="5">
        <v>9778</v>
      </c>
      <c r="C9783" s="11">
        <v>328.4666004973592</v>
      </c>
      <c r="D9783" s="42"/>
    </row>
    <row r="9784" spans="2:4" ht="16" thickBot="1" x14ac:dyDescent="0.25">
      <c r="B9784" s="4">
        <v>9779</v>
      </c>
      <c r="C9784" s="10">
        <v>40.379928990079819</v>
      </c>
      <c r="D9784" s="42"/>
    </row>
    <row r="9785" spans="2:4" ht="16" thickBot="1" x14ac:dyDescent="0.25">
      <c r="B9785" s="5">
        <v>9780</v>
      </c>
      <c r="C9785" s="11">
        <v>327.76008709910002</v>
      </c>
      <c r="D9785" s="42"/>
    </row>
    <row r="9786" spans="2:4" ht="16" thickBot="1" x14ac:dyDescent="0.25">
      <c r="B9786" s="4">
        <v>9781</v>
      </c>
      <c r="C9786" s="10">
        <v>168.11080949171364</v>
      </c>
      <c r="D9786" s="42"/>
    </row>
    <row r="9787" spans="2:4" ht="16" thickBot="1" x14ac:dyDescent="0.25">
      <c r="B9787" s="5">
        <v>9782</v>
      </c>
      <c r="C9787" s="11">
        <v>71.982536957935352</v>
      </c>
      <c r="D9787" s="42"/>
    </row>
    <row r="9788" spans="2:4" ht="16" thickBot="1" x14ac:dyDescent="0.25">
      <c r="B9788" s="4">
        <v>9783</v>
      </c>
      <c r="C9788" s="10">
        <v>105.00607726036556</v>
      </c>
      <c r="D9788" s="42"/>
    </row>
    <row r="9789" spans="2:4" ht="16" thickBot="1" x14ac:dyDescent="0.25">
      <c r="B9789" s="5">
        <v>9784</v>
      </c>
      <c r="C9789" s="11">
        <v>190.09365705414567</v>
      </c>
      <c r="D9789" s="42"/>
    </row>
    <row r="9790" spans="2:4" ht="16" thickBot="1" x14ac:dyDescent="0.25">
      <c r="B9790" s="4">
        <v>9785</v>
      </c>
      <c r="C9790" s="10">
        <v>353.81699561037777</v>
      </c>
      <c r="D9790" s="42"/>
    </row>
    <row r="9791" spans="2:4" ht="16" thickBot="1" x14ac:dyDescent="0.25">
      <c r="B9791" s="5">
        <v>9786</v>
      </c>
      <c r="C9791" s="11">
        <v>198.72871452387784</v>
      </c>
      <c r="D9791" s="42"/>
    </row>
    <row r="9792" spans="2:4" ht="16" thickBot="1" x14ac:dyDescent="0.25">
      <c r="B9792" s="4">
        <v>9787</v>
      </c>
      <c r="C9792" s="10">
        <v>357.32870605521538</v>
      </c>
      <c r="D9792" s="42"/>
    </row>
    <row r="9793" spans="2:4" ht="16" thickBot="1" x14ac:dyDescent="0.25">
      <c r="B9793" s="5">
        <v>9788</v>
      </c>
      <c r="C9793" s="11">
        <v>191.73387848768621</v>
      </c>
      <c r="D9793" s="42"/>
    </row>
    <row r="9794" spans="2:4" ht="16" thickBot="1" x14ac:dyDescent="0.25">
      <c r="B9794" s="4">
        <v>9789</v>
      </c>
      <c r="C9794" s="10">
        <v>316.81617536820437</v>
      </c>
      <c r="D9794" s="42"/>
    </row>
    <row r="9795" spans="2:4" ht="16" thickBot="1" x14ac:dyDescent="0.25">
      <c r="B9795" s="5">
        <v>9790</v>
      </c>
      <c r="C9795" s="11">
        <v>217.40362757456327</v>
      </c>
      <c r="D9795" s="42"/>
    </row>
    <row r="9796" spans="2:4" ht="16" thickBot="1" x14ac:dyDescent="0.25">
      <c r="B9796" s="4">
        <v>9791</v>
      </c>
      <c r="C9796" s="10">
        <v>438.73137066759369</v>
      </c>
      <c r="D9796" s="42"/>
    </row>
    <row r="9797" spans="2:4" ht="16" thickBot="1" x14ac:dyDescent="0.25">
      <c r="B9797" s="5">
        <v>9792</v>
      </c>
      <c r="C9797" s="11">
        <v>381.49387789298208</v>
      </c>
      <c r="D9797" s="42"/>
    </row>
    <row r="9798" spans="2:4" ht="16" thickBot="1" x14ac:dyDescent="0.25">
      <c r="B9798" s="4">
        <v>9793</v>
      </c>
      <c r="C9798" s="10">
        <v>169.53146068877382</v>
      </c>
      <c r="D9798" s="42"/>
    </row>
    <row r="9799" spans="2:4" ht="16" thickBot="1" x14ac:dyDescent="0.25">
      <c r="B9799" s="5">
        <v>9794</v>
      </c>
      <c r="C9799" s="11">
        <v>325.73747688200814</v>
      </c>
      <c r="D9799" s="42"/>
    </row>
    <row r="9800" spans="2:4" ht="16" thickBot="1" x14ac:dyDescent="0.25">
      <c r="B9800" s="4">
        <v>9795</v>
      </c>
      <c r="C9800" s="10">
        <v>85.137438041677115</v>
      </c>
      <c r="D9800" s="42"/>
    </row>
    <row r="9801" spans="2:4" ht="16" thickBot="1" x14ac:dyDescent="0.25">
      <c r="B9801" s="5">
        <v>9796</v>
      </c>
      <c r="C9801" s="11">
        <v>374.60835130402279</v>
      </c>
      <c r="D9801" s="42"/>
    </row>
    <row r="9802" spans="2:4" ht="16" thickBot="1" x14ac:dyDescent="0.25">
      <c r="B9802" s="4">
        <v>9797</v>
      </c>
      <c r="C9802" s="10">
        <v>122.02548187959519</v>
      </c>
      <c r="D9802" s="42"/>
    </row>
    <row r="9803" spans="2:4" ht="16" thickBot="1" x14ac:dyDescent="0.25">
      <c r="B9803" s="5">
        <v>9798</v>
      </c>
      <c r="C9803" s="11">
        <v>333.61757592802411</v>
      </c>
      <c r="D9803" s="42"/>
    </row>
    <row r="9804" spans="2:4" ht="16" thickBot="1" x14ac:dyDescent="0.25">
      <c r="B9804" s="4">
        <v>9799</v>
      </c>
      <c r="C9804" s="10">
        <v>406.44855377009839</v>
      </c>
      <c r="D9804" s="42"/>
    </row>
    <row r="9805" spans="2:4" ht="16" thickBot="1" x14ac:dyDescent="0.25">
      <c r="B9805" s="5">
        <v>9800</v>
      </c>
      <c r="C9805" s="11">
        <v>103.50910804338334</v>
      </c>
      <c r="D9805" s="42"/>
    </row>
    <row r="9806" spans="2:4" ht="16" thickBot="1" x14ac:dyDescent="0.25">
      <c r="B9806" s="4">
        <v>9801</v>
      </c>
      <c r="C9806" s="10">
        <v>83.381444974494528</v>
      </c>
      <c r="D9806" s="42"/>
    </row>
    <row r="9807" spans="2:4" ht="16" thickBot="1" x14ac:dyDescent="0.25">
      <c r="B9807" s="5">
        <v>9802</v>
      </c>
      <c r="C9807" s="11">
        <v>143.41179214978641</v>
      </c>
      <c r="D9807" s="42"/>
    </row>
    <row r="9808" spans="2:4" ht="16" thickBot="1" x14ac:dyDescent="0.25">
      <c r="B9808" s="4">
        <v>9803</v>
      </c>
      <c r="C9808" s="10">
        <v>211.06798052694836</v>
      </c>
      <c r="D9808" s="42"/>
    </row>
    <row r="9809" spans="2:4" ht="16" thickBot="1" x14ac:dyDescent="0.25">
      <c r="B9809" s="5">
        <v>9804</v>
      </c>
      <c r="C9809" s="11">
        <v>204.00132402723412</v>
      </c>
      <c r="D9809" s="42"/>
    </row>
    <row r="9810" spans="2:4" ht="16" thickBot="1" x14ac:dyDescent="0.25">
      <c r="B9810" s="4">
        <v>9805</v>
      </c>
      <c r="C9810" s="10">
        <v>176.32681927880068</v>
      </c>
      <c r="D9810" s="42"/>
    </row>
    <row r="9811" spans="2:4" ht="16" thickBot="1" x14ac:dyDescent="0.25">
      <c r="B9811" s="5">
        <v>9806</v>
      </c>
      <c r="C9811" s="11">
        <v>91.711694139254533</v>
      </c>
      <c r="D9811" s="42"/>
    </row>
    <row r="9812" spans="2:4" ht="16" thickBot="1" x14ac:dyDescent="0.25">
      <c r="B9812" s="4">
        <v>9807</v>
      </c>
      <c r="C9812" s="10">
        <v>557.32162787457162</v>
      </c>
      <c r="D9812" s="42"/>
    </row>
    <row r="9813" spans="2:4" ht="16" thickBot="1" x14ac:dyDescent="0.25">
      <c r="B9813" s="5">
        <v>9808</v>
      </c>
      <c r="C9813" s="11">
        <v>237.44805909884451</v>
      </c>
      <c r="D9813" s="42"/>
    </row>
    <row r="9814" spans="2:4" ht="16" thickBot="1" x14ac:dyDescent="0.25">
      <c r="B9814" s="4">
        <v>9809</v>
      </c>
      <c r="C9814" s="10">
        <v>181.43253522443163</v>
      </c>
      <c r="D9814" s="42"/>
    </row>
    <row r="9815" spans="2:4" ht="16" thickBot="1" x14ac:dyDescent="0.25">
      <c r="B9815" s="5">
        <v>9810</v>
      </c>
      <c r="C9815" s="11">
        <v>129.87857808874244</v>
      </c>
      <c r="D9815" s="42"/>
    </row>
    <row r="9816" spans="2:4" ht="16" thickBot="1" x14ac:dyDescent="0.25">
      <c r="B9816" s="4">
        <v>9811</v>
      </c>
      <c r="C9816" s="10">
        <v>101.29140610570047</v>
      </c>
      <c r="D9816" s="42"/>
    </row>
    <row r="9817" spans="2:4" ht="16" thickBot="1" x14ac:dyDescent="0.25">
      <c r="B9817" s="5">
        <v>9812</v>
      </c>
      <c r="C9817" s="11">
        <v>368.37603786440303</v>
      </c>
      <c r="D9817" s="42"/>
    </row>
    <row r="9818" spans="2:4" ht="16" thickBot="1" x14ac:dyDescent="0.25">
      <c r="B9818" s="4">
        <v>9813</v>
      </c>
      <c r="C9818" s="10">
        <v>363.85264372569145</v>
      </c>
      <c r="D9818" s="42"/>
    </row>
    <row r="9819" spans="2:4" ht="16" thickBot="1" x14ac:dyDescent="0.25">
      <c r="B9819" s="5">
        <v>9814</v>
      </c>
      <c r="C9819" s="11">
        <v>131.61076484834157</v>
      </c>
      <c r="D9819" s="42"/>
    </row>
    <row r="9820" spans="2:4" ht="16" thickBot="1" x14ac:dyDescent="0.25">
      <c r="B9820" s="4">
        <v>9815</v>
      </c>
      <c r="C9820" s="10">
        <v>417.3490705426554</v>
      </c>
      <c r="D9820" s="42"/>
    </row>
    <row r="9821" spans="2:4" ht="16" thickBot="1" x14ac:dyDescent="0.25">
      <c r="B9821" s="5">
        <v>9816</v>
      </c>
      <c r="C9821" s="11">
        <v>398.84876646670762</v>
      </c>
      <c r="D9821" s="42"/>
    </row>
    <row r="9822" spans="2:4" ht="16" thickBot="1" x14ac:dyDescent="0.25">
      <c r="B9822" s="4">
        <v>9817</v>
      </c>
      <c r="C9822" s="10">
        <v>201.99801951398905</v>
      </c>
      <c r="D9822" s="42"/>
    </row>
    <row r="9823" spans="2:4" ht="16" thickBot="1" x14ac:dyDescent="0.25">
      <c r="B9823" s="5">
        <v>9818</v>
      </c>
      <c r="C9823" s="11">
        <v>473.67837805833108</v>
      </c>
      <c r="D9823" s="42"/>
    </row>
    <row r="9824" spans="2:4" ht="16" thickBot="1" x14ac:dyDescent="0.25">
      <c r="B9824" s="4">
        <v>9819</v>
      </c>
      <c r="C9824" s="10">
        <v>509.14591010807487</v>
      </c>
      <c r="D9824" s="42"/>
    </row>
    <row r="9825" spans="2:4" ht="16" thickBot="1" x14ac:dyDescent="0.25">
      <c r="B9825" s="5">
        <v>9820</v>
      </c>
      <c r="C9825" s="11">
        <v>392.39132809850275</v>
      </c>
      <c r="D9825" s="42"/>
    </row>
    <row r="9826" spans="2:4" ht="16" thickBot="1" x14ac:dyDescent="0.25">
      <c r="B9826" s="4">
        <v>9821</v>
      </c>
      <c r="C9826" s="10">
        <v>374.65503585549794</v>
      </c>
      <c r="D9826" s="42"/>
    </row>
    <row r="9827" spans="2:4" ht="16" thickBot="1" x14ac:dyDescent="0.25">
      <c r="B9827" s="5">
        <v>9822</v>
      </c>
      <c r="C9827" s="11">
        <v>322.99537424732625</v>
      </c>
      <c r="D9827" s="42"/>
    </row>
    <row r="9828" spans="2:4" ht="16" thickBot="1" x14ac:dyDescent="0.25">
      <c r="B9828" s="4">
        <v>9823</v>
      </c>
      <c r="C9828" s="10">
        <v>634.37739562365209</v>
      </c>
      <c r="D9828" s="42"/>
    </row>
    <row r="9829" spans="2:4" ht="16" thickBot="1" x14ac:dyDescent="0.25">
      <c r="B9829" s="5">
        <v>9824</v>
      </c>
      <c r="C9829" s="11">
        <v>103.21920895842543</v>
      </c>
      <c r="D9829" s="42"/>
    </row>
    <row r="9830" spans="2:4" ht="16" thickBot="1" x14ac:dyDescent="0.25">
      <c r="B9830" s="4">
        <v>9825</v>
      </c>
      <c r="C9830" s="10">
        <v>94.08341959180143</v>
      </c>
      <c r="D9830" s="42"/>
    </row>
    <row r="9831" spans="2:4" ht="16" thickBot="1" x14ac:dyDescent="0.25">
      <c r="B9831" s="5">
        <v>9826</v>
      </c>
      <c r="C9831" s="11">
        <v>39.746130911128589</v>
      </c>
      <c r="D9831" s="42"/>
    </row>
    <row r="9832" spans="2:4" ht="16" thickBot="1" x14ac:dyDescent="0.25">
      <c r="B9832" s="4">
        <v>9827</v>
      </c>
      <c r="C9832" s="10">
        <v>491.58044593038801</v>
      </c>
      <c r="D9832" s="42"/>
    </row>
    <row r="9833" spans="2:4" ht="16" thickBot="1" x14ac:dyDescent="0.25">
      <c r="B9833" s="5">
        <v>9828</v>
      </c>
      <c r="C9833" s="11">
        <v>50.868631524719738</v>
      </c>
      <c r="D9833" s="42"/>
    </row>
    <row r="9834" spans="2:4" ht="16" thickBot="1" x14ac:dyDescent="0.25">
      <c r="B9834" s="4">
        <v>9829</v>
      </c>
      <c r="C9834" s="10">
        <v>236.61119323230145</v>
      </c>
      <c r="D9834" s="42"/>
    </row>
    <row r="9835" spans="2:4" ht="16" thickBot="1" x14ac:dyDescent="0.25">
      <c r="B9835" s="5">
        <v>9830</v>
      </c>
      <c r="C9835" s="11">
        <v>212.81705186521532</v>
      </c>
      <c r="D9835" s="42"/>
    </row>
    <row r="9836" spans="2:4" ht="16" thickBot="1" x14ac:dyDescent="0.25">
      <c r="B9836" s="4">
        <v>9831</v>
      </c>
      <c r="C9836" s="10">
        <v>263.78711962904339</v>
      </c>
      <c r="D9836" s="42"/>
    </row>
    <row r="9837" spans="2:4" ht="16" thickBot="1" x14ac:dyDescent="0.25">
      <c r="B9837" s="5">
        <v>9832</v>
      </c>
      <c r="C9837" s="11">
        <v>240.76824745264983</v>
      </c>
      <c r="D9837" s="42"/>
    </row>
    <row r="9838" spans="2:4" ht="16" thickBot="1" x14ac:dyDescent="0.25">
      <c r="B9838" s="4">
        <v>9833</v>
      </c>
      <c r="C9838" s="10">
        <v>215.22509341867615</v>
      </c>
      <c r="D9838" s="42"/>
    </row>
    <row r="9839" spans="2:4" ht="16" thickBot="1" x14ac:dyDescent="0.25">
      <c r="B9839" s="5">
        <v>9834</v>
      </c>
      <c r="C9839" s="11">
        <v>70.443431646298237</v>
      </c>
      <c r="D9839" s="42"/>
    </row>
    <row r="9840" spans="2:4" ht="16" thickBot="1" x14ac:dyDescent="0.25">
      <c r="B9840" s="4">
        <v>9835</v>
      </c>
      <c r="C9840" s="10">
        <v>488.90049952143397</v>
      </c>
      <c r="D9840" s="42"/>
    </row>
    <row r="9841" spans="2:4" ht="16" thickBot="1" x14ac:dyDescent="0.25">
      <c r="B9841" s="5">
        <v>9836</v>
      </c>
      <c r="C9841" s="11">
        <v>423.88847342611217</v>
      </c>
      <c r="D9841" s="42"/>
    </row>
    <row r="9842" spans="2:4" ht="16" thickBot="1" x14ac:dyDescent="0.25">
      <c r="B9842" s="4">
        <v>9837</v>
      </c>
      <c r="C9842" s="10">
        <v>345.70018426699687</v>
      </c>
      <c r="D9842" s="42"/>
    </row>
    <row r="9843" spans="2:4" ht="16" thickBot="1" x14ac:dyDescent="0.25">
      <c r="B9843" s="5">
        <v>9838</v>
      </c>
      <c r="C9843" s="11">
        <v>139.74043647823314</v>
      </c>
      <c r="D9843" s="42"/>
    </row>
    <row r="9844" spans="2:4" ht="16" thickBot="1" x14ac:dyDescent="0.25">
      <c r="B9844" s="4">
        <v>9839</v>
      </c>
      <c r="C9844" s="10">
        <v>393.28604779950763</v>
      </c>
      <c r="D9844" s="42"/>
    </row>
    <row r="9845" spans="2:4" ht="16" thickBot="1" x14ac:dyDescent="0.25">
      <c r="B9845" s="5">
        <v>9840</v>
      </c>
      <c r="C9845" s="11">
        <v>372.73302185666239</v>
      </c>
      <c r="D9845" s="42"/>
    </row>
    <row r="9846" spans="2:4" ht="16" thickBot="1" x14ac:dyDescent="0.25">
      <c r="B9846" s="4">
        <v>9841</v>
      </c>
      <c r="C9846" s="10">
        <v>523.13263351681871</v>
      </c>
      <c r="D9846" s="42"/>
    </row>
    <row r="9847" spans="2:4" ht="16" thickBot="1" x14ac:dyDescent="0.25">
      <c r="B9847" s="5">
        <v>9842</v>
      </c>
      <c r="C9847" s="11">
        <v>470.78410712393344</v>
      </c>
      <c r="D9847" s="42"/>
    </row>
    <row r="9848" spans="2:4" ht="16" thickBot="1" x14ac:dyDescent="0.25">
      <c r="B9848" s="4">
        <v>9843</v>
      </c>
      <c r="C9848" s="10">
        <v>155.15335925716769</v>
      </c>
      <c r="D9848" s="42"/>
    </row>
    <row r="9849" spans="2:4" ht="16" thickBot="1" x14ac:dyDescent="0.25">
      <c r="B9849" s="5">
        <v>9844</v>
      </c>
      <c r="C9849" s="11">
        <v>474.17222434891977</v>
      </c>
      <c r="D9849" s="42"/>
    </row>
    <row r="9850" spans="2:4" ht="16" thickBot="1" x14ac:dyDescent="0.25">
      <c r="B9850" s="4">
        <v>9845</v>
      </c>
      <c r="C9850" s="10">
        <v>355.3749114386523</v>
      </c>
      <c r="D9850" s="42"/>
    </row>
    <row r="9851" spans="2:4" ht="16" thickBot="1" x14ac:dyDescent="0.25">
      <c r="B9851" s="5">
        <v>9846</v>
      </c>
      <c r="C9851" s="11">
        <v>296.14443637308938</v>
      </c>
      <c r="D9851" s="42"/>
    </row>
    <row r="9852" spans="2:4" ht="16" thickBot="1" x14ac:dyDescent="0.25">
      <c r="B9852" s="4">
        <v>9847</v>
      </c>
      <c r="C9852" s="10">
        <v>401.00065191069302</v>
      </c>
      <c r="D9852" s="42"/>
    </row>
    <row r="9853" spans="2:4" ht="16" thickBot="1" x14ac:dyDescent="0.25">
      <c r="B9853" s="5">
        <v>9848</v>
      </c>
      <c r="C9853" s="11">
        <v>226.46526177354045</v>
      </c>
      <c r="D9853" s="42"/>
    </row>
    <row r="9854" spans="2:4" ht="16" thickBot="1" x14ac:dyDescent="0.25">
      <c r="B9854" s="4">
        <v>9849</v>
      </c>
      <c r="C9854" s="10">
        <v>318.2775274712435</v>
      </c>
      <c r="D9854" s="42"/>
    </row>
    <row r="9855" spans="2:4" ht="16" thickBot="1" x14ac:dyDescent="0.25">
      <c r="B9855" s="5">
        <v>9850</v>
      </c>
      <c r="C9855" s="11">
        <v>120.09515426664642</v>
      </c>
      <c r="D9855" s="42"/>
    </row>
    <row r="9856" spans="2:4" ht="16" thickBot="1" x14ac:dyDescent="0.25">
      <c r="B9856" s="4">
        <v>9851</v>
      </c>
      <c r="C9856" s="10">
        <v>142.36781755752367</v>
      </c>
      <c r="D9856" s="42"/>
    </row>
    <row r="9857" spans="2:4" ht="16" thickBot="1" x14ac:dyDescent="0.25">
      <c r="B9857" s="5">
        <v>9852</v>
      </c>
      <c r="C9857" s="11">
        <v>155.84924473756556</v>
      </c>
      <c r="D9857" s="42"/>
    </row>
    <row r="9858" spans="2:4" ht="16" thickBot="1" x14ac:dyDescent="0.25">
      <c r="B9858" s="4">
        <v>9853</v>
      </c>
      <c r="C9858" s="10">
        <v>190.0768829131612</v>
      </c>
      <c r="D9858" s="42"/>
    </row>
    <row r="9859" spans="2:4" ht="16" thickBot="1" x14ac:dyDescent="0.25">
      <c r="B9859" s="5">
        <v>9854</v>
      </c>
      <c r="C9859" s="11">
        <v>205.18718586274898</v>
      </c>
      <c r="D9859" s="42"/>
    </row>
    <row r="9860" spans="2:4" ht="16" thickBot="1" x14ac:dyDescent="0.25">
      <c r="B9860" s="4">
        <v>9855</v>
      </c>
      <c r="C9860" s="10">
        <v>420.92633404122972</v>
      </c>
      <c r="D9860" s="42"/>
    </row>
    <row r="9861" spans="2:4" ht="16" thickBot="1" x14ac:dyDescent="0.25">
      <c r="B9861" s="5">
        <v>9856</v>
      </c>
      <c r="C9861" s="11">
        <v>118.24660527131874</v>
      </c>
      <c r="D9861" s="42"/>
    </row>
    <row r="9862" spans="2:4" ht="16" thickBot="1" x14ac:dyDescent="0.25">
      <c r="B9862" s="4">
        <v>9857</v>
      </c>
      <c r="C9862" s="10">
        <v>180.63716797296848</v>
      </c>
      <c r="D9862" s="42"/>
    </row>
    <row r="9863" spans="2:4" ht="16" thickBot="1" x14ac:dyDescent="0.25">
      <c r="B9863" s="5">
        <v>9858</v>
      </c>
      <c r="C9863" s="11">
        <v>77.95838431792221</v>
      </c>
      <c r="D9863" s="42"/>
    </row>
    <row r="9864" spans="2:4" ht="16" thickBot="1" x14ac:dyDescent="0.25">
      <c r="B9864" s="4">
        <v>9859</v>
      </c>
      <c r="C9864" s="10">
        <v>205.24314495309864</v>
      </c>
      <c r="D9864" s="42"/>
    </row>
    <row r="9865" spans="2:4" ht="16" thickBot="1" x14ac:dyDescent="0.25">
      <c r="B9865" s="5">
        <v>9860</v>
      </c>
      <c r="C9865" s="11">
        <v>127.05758738616692</v>
      </c>
      <c r="D9865" s="42"/>
    </row>
    <row r="9866" spans="2:4" ht="16" thickBot="1" x14ac:dyDescent="0.25">
      <c r="B9866" s="4">
        <v>9861</v>
      </c>
      <c r="C9866" s="10">
        <v>86.952921098357436</v>
      </c>
      <c r="D9866" s="42"/>
    </row>
    <row r="9867" spans="2:4" ht="16" thickBot="1" x14ac:dyDescent="0.25">
      <c r="B9867" s="5">
        <v>9862</v>
      </c>
      <c r="C9867" s="11">
        <v>141.01571747340205</v>
      </c>
      <c r="D9867" s="42"/>
    </row>
    <row r="9868" spans="2:4" ht="16" thickBot="1" x14ac:dyDescent="0.25">
      <c r="B9868" s="4">
        <v>9863</v>
      </c>
      <c r="C9868" s="10">
        <v>275.71550444615559</v>
      </c>
      <c r="D9868" s="42"/>
    </row>
    <row r="9869" spans="2:4" ht="16" thickBot="1" x14ac:dyDescent="0.25">
      <c r="B9869" s="5">
        <v>9864</v>
      </c>
      <c r="C9869" s="11">
        <v>248.02761472883802</v>
      </c>
      <c r="D9869" s="42"/>
    </row>
    <row r="9870" spans="2:4" ht="16" thickBot="1" x14ac:dyDescent="0.25">
      <c r="B9870" s="4">
        <v>9865</v>
      </c>
      <c r="C9870" s="10">
        <v>629.19797330116353</v>
      </c>
      <c r="D9870" s="42"/>
    </row>
    <row r="9871" spans="2:4" ht="16" thickBot="1" x14ac:dyDescent="0.25">
      <c r="B9871" s="5">
        <v>9866</v>
      </c>
      <c r="C9871" s="11">
        <v>298.74787298458858</v>
      </c>
      <c r="D9871" s="42"/>
    </row>
    <row r="9872" spans="2:4" ht="16" thickBot="1" x14ac:dyDescent="0.25">
      <c r="B9872" s="4">
        <v>9867</v>
      </c>
      <c r="C9872" s="10">
        <v>338.79396827102147</v>
      </c>
      <c r="D9872" s="42"/>
    </row>
    <row r="9873" spans="2:4" ht="16" thickBot="1" x14ac:dyDescent="0.25">
      <c r="B9873" s="5">
        <v>9868</v>
      </c>
      <c r="C9873" s="11">
        <v>135.07300896531243</v>
      </c>
      <c r="D9873" s="42"/>
    </row>
    <row r="9874" spans="2:4" ht="16" thickBot="1" x14ac:dyDescent="0.25">
      <c r="B9874" s="4">
        <v>9869</v>
      </c>
      <c r="C9874" s="10">
        <v>134.32929270676442</v>
      </c>
      <c r="D9874" s="42"/>
    </row>
    <row r="9875" spans="2:4" ht="16" thickBot="1" x14ac:dyDescent="0.25">
      <c r="B9875" s="5">
        <v>9870</v>
      </c>
      <c r="C9875" s="11">
        <v>289.38338166877838</v>
      </c>
      <c r="D9875" s="42"/>
    </row>
    <row r="9876" spans="2:4" ht="16" thickBot="1" x14ac:dyDescent="0.25">
      <c r="B9876" s="4">
        <v>9871</v>
      </c>
      <c r="C9876" s="10">
        <v>324.72417825747408</v>
      </c>
      <c r="D9876" s="42"/>
    </row>
    <row r="9877" spans="2:4" ht="16" thickBot="1" x14ac:dyDescent="0.25">
      <c r="B9877" s="5">
        <v>9872</v>
      </c>
      <c r="C9877" s="11">
        <v>234.17959223229499</v>
      </c>
      <c r="D9877" s="42"/>
    </row>
    <row r="9878" spans="2:4" ht="16" thickBot="1" x14ac:dyDescent="0.25">
      <c r="B9878" s="4">
        <v>9873</v>
      </c>
      <c r="C9878" s="10">
        <v>233.36385293063699</v>
      </c>
      <c r="D9878" s="42"/>
    </row>
    <row r="9879" spans="2:4" ht="16" thickBot="1" x14ac:dyDescent="0.25">
      <c r="B9879" s="5">
        <v>9874</v>
      </c>
      <c r="C9879" s="11">
        <v>108.56438106128394</v>
      </c>
      <c r="D9879" s="42"/>
    </row>
    <row r="9880" spans="2:4" ht="16" thickBot="1" x14ac:dyDescent="0.25">
      <c r="B9880" s="4">
        <v>9875</v>
      </c>
      <c r="C9880" s="10">
        <v>169.56258925927162</v>
      </c>
      <c r="D9880" s="42"/>
    </row>
    <row r="9881" spans="2:4" ht="16" thickBot="1" x14ac:dyDescent="0.25">
      <c r="B9881" s="5">
        <v>9876</v>
      </c>
      <c r="C9881" s="11">
        <v>253.72446279518363</v>
      </c>
      <c r="D9881" s="42"/>
    </row>
    <row r="9882" spans="2:4" ht="16" thickBot="1" x14ac:dyDescent="0.25">
      <c r="B9882" s="4">
        <v>9877</v>
      </c>
      <c r="C9882" s="10">
        <v>227.06784376672664</v>
      </c>
      <c r="D9882" s="42"/>
    </row>
    <row r="9883" spans="2:4" ht="16" thickBot="1" x14ac:dyDescent="0.25">
      <c r="B9883" s="5">
        <v>9878</v>
      </c>
      <c r="C9883" s="11">
        <v>571.57039415761119</v>
      </c>
      <c r="D9883" s="42"/>
    </row>
    <row r="9884" spans="2:4" ht="16" thickBot="1" x14ac:dyDescent="0.25">
      <c r="B9884" s="4">
        <v>9879</v>
      </c>
      <c r="C9884" s="10">
        <v>301.74052206528353</v>
      </c>
      <c r="D9884" s="42"/>
    </row>
    <row r="9885" spans="2:4" ht="16" thickBot="1" x14ac:dyDescent="0.25">
      <c r="B9885" s="5">
        <v>9880</v>
      </c>
      <c r="C9885" s="11">
        <v>505.50176429017978</v>
      </c>
      <c r="D9885" s="42"/>
    </row>
    <row r="9886" spans="2:4" ht="16" thickBot="1" x14ac:dyDescent="0.25">
      <c r="B9886" s="4">
        <v>9881</v>
      </c>
      <c r="C9886" s="10">
        <v>503.79866689566632</v>
      </c>
      <c r="D9886" s="42"/>
    </row>
    <row r="9887" spans="2:4" ht="16" thickBot="1" x14ac:dyDescent="0.25">
      <c r="B9887" s="5">
        <v>9882</v>
      </c>
      <c r="C9887" s="11">
        <v>156.85391821379798</v>
      </c>
      <c r="D9887" s="42"/>
    </row>
    <row r="9888" spans="2:4" ht="16" thickBot="1" x14ac:dyDescent="0.25">
      <c r="B9888" s="4">
        <v>9883</v>
      </c>
      <c r="C9888" s="10">
        <v>297.69500184122325</v>
      </c>
      <c r="D9888" s="42"/>
    </row>
    <row r="9889" spans="2:4" ht="16" thickBot="1" x14ac:dyDescent="0.25">
      <c r="B9889" s="5">
        <v>9884</v>
      </c>
      <c r="C9889" s="11">
        <v>244.88190654803572</v>
      </c>
      <c r="D9889" s="42"/>
    </row>
    <row r="9890" spans="2:4" ht="16" thickBot="1" x14ac:dyDescent="0.25">
      <c r="B9890" s="4">
        <v>9885</v>
      </c>
      <c r="C9890" s="10">
        <v>265.28437792703966</v>
      </c>
      <c r="D9890" s="42"/>
    </row>
    <row r="9891" spans="2:4" ht="16" thickBot="1" x14ac:dyDescent="0.25">
      <c r="B9891" s="5">
        <v>9886</v>
      </c>
      <c r="C9891" s="11">
        <v>215.34257694018362</v>
      </c>
      <c r="D9891" s="42"/>
    </row>
    <row r="9892" spans="2:4" ht="16" thickBot="1" x14ac:dyDescent="0.25">
      <c r="B9892" s="4">
        <v>9887</v>
      </c>
      <c r="C9892" s="10">
        <v>190.16538189358829</v>
      </c>
      <c r="D9892" s="42"/>
    </row>
    <row r="9893" spans="2:4" ht="16" thickBot="1" x14ac:dyDescent="0.25">
      <c r="B9893" s="5">
        <v>9888</v>
      </c>
      <c r="C9893" s="11">
        <v>297.52463270553255</v>
      </c>
      <c r="D9893" s="42"/>
    </row>
    <row r="9894" spans="2:4" ht="16" thickBot="1" x14ac:dyDescent="0.25">
      <c r="B9894" s="4">
        <v>9889</v>
      </c>
      <c r="C9894" s="10">
        <v>131.77407725600929</v>
      </c>
      <c r="D9894" s="42"/>
    </row>
    <row r="9895" spans="2:4" ht="16" thickBot="1" x14ac:dyDescent="0.25">
      <c r="B9895" s="5">
        <v>9890</v>
      </c>
      <c r="C9895" s="11">
        <v>157.45445901807943</v>
      </c>
      <c r="D9895" s="42"/>
    </row>
    <row r="9896" spans="2:4" ht="16" thickBot="1" x14ac:dyDescent="0.25">
      <c r="B9896" s="4">
        <v>9891</v>
      </c>
      <c r="C9896" s="10">
        <v>294.04205916048113</v>
      </c>
      <c r="D9896" s="42"/>
    </row>
    <row r="9897" spans="2:4" ht="16" thickBot="1" x14ac:dyDescent="0.25">
      <c r="B9897" s="5">
        <v>9892</v>
      </c>
      <c r="C9897" s="11">
        <v>306.56951221714678</v>
      </c>
      <c r="D9897" s="42"/>
    </row>
    <row r="9898" spans="2:4" ht="16" thickBot="1" x14ac:dyDescent="0.25">
      <c r="B9898" s="4">
        <v>9893</v>
      </c>
      <c r="C9898" s="10">
        <v>251.98518500080453</v>
      </c>
      <c r="D9898" s="42"/>
    </row>
    <row r="9899" spans="2:4" ht="16" thickBot="1" x14ac:dyDescent="0.25">
      <c r="B9899" s="5">
        <v>9894</v>
      </c>
      <c r="C9899" s="11">
        <v>281.75451521913158</v>
      </c>
      <c r="D9899" s="42"/>
    </row>
    <row r="9900" spans="2:4" ht="16" thickBot="1" x14ac:dyDescent="0.25">
      <c r="B9900" s="4">
        <v>9895</v>
      </c>
      <c r="C9900" s="10">
        <v>92.604578551898484</v>
      </c>
      <c r="D9900" s="42"/>
    </row>
    <row r="9901" spans="2:4" ht="16" thickBot="1" x14ac:dyDescent="0.25">
      <c r="B9901" s="5">
        <v>9896</v>
      </c>
      <c r="C9901" s="11">
        <v>456.43235747782126</v>
      </c>
      <c r="D9901" s="42"/>
    </row>
    <row r="9902" spans="2:4" ht="16" thickBot="1" x14ac:dyDescent="0.25">
      <c r="B9902" s="4">
        <v>9897</v>
      </c>
      <c r="C9902" s="10">
        <v>208.89841053775854</v>
      </c>
      <c r="D9902" s="42"/>
    </row>
    <row r="9903" spans="2:4" ht="16" thickBot="1" x14ac:dyDescent="0.25">
      <c r="B9903" s="5">
        <v>9898</v>
      </c>
      <c r="C9903" s="11">
        <v>583.7963311229704</v>
      </c>
      <c r="D9903" s="42"/>
    </row>
    <row r="9904" spans="2:4" ht="16" thickBot="1" x14ac:dyDescent="0.25">
      <c r="B9904" s="4">
        <v>9899</v>
      </c>
      <c r="C9904" s="10">
        <v>172.39517522771797</v>
      </c>
      <c r="D9904" s="42"/>
    </row>
    <row r="9905" spans="2:4" ht="16" thickBot="1" x14ac:dyDescent="0.25">
      <c r="B9905" s="5">
        <v>9900</v>
      </c>
      <c r="C9905" s="11">
        <v>355.75999214294097</v>
      </c>
      <c r="D9905" s="42"/>
    </row>
    <row r="9906" spans="2:4" ht="16" thickBot="1" x14ac:dyDescent="0.25">
      <c r="B9906" s="4">
        <v>9901</v>
      </c>
      <c r="C9906" s="10">
        <v>466.45173510398138</v>
      </c>
      <c r="D9906" s="42"/>
    </row>
    <row r="9907" spans="2:4" ht="16" thickBot="1" x14ac:dyDescent="0.25">
      <c r="B9907" s="5">
        <v>9902</v>
      </c>
      <c r="C9907" s="11">
        <v>188.20205435003749</v>
      </c>
      <c r="D9907" s="42"/>
    </row>
    <row r="9908" spans="2:4" ht="16" thickBot="1" x14ac:dyDescent="0.25">
      <c r="B9908" s="4">
        <v>9903</v>
      </c>
      <c r="C9908" s="10">
        <v>179.28022448530393</v>
      </c>
      <c r="D9908" s="42"/>
    </row>
    <row r="9909" spans="2:4" ht="16" thickBot="1" x14ac:dyDescent="0.25">
      <c r="B9909" s="5">
        <v>9904</v>
      </c>
      <c r="C9909" s="11">
        <v>443.62519278660352</v>
      </c>
      <c r="D9909" s="42"/>
    </row>
    <row r="9910" spans="2:4" ht="16" thickBot="1" x14ac:dyDescent="0.25">
      <c r="B9910" s="4">
        <v>9905</v>
      </c>
      <c r="C9910" s="10">
        <v>148.2962164848436</v>
      </c>
      <c r="D9910" s="42"/>
    </row>
    <row r="9911" spans="2:4" ht="16" thickBot="1" x14ac:dyDescent="0.25">
      <c r="B9911" s="5">
        <v>9906</v>
      </c>
      <c r="C9911" s="11">
        <v>514.28143400204328</v>
      </c>
      <c r="D9911" s="42"/>
    </row>
    <row r="9912" spans="2:4" ht="16" thickBot="1" x14ac:dyDescent="0.25">
      <c r="B9912" s="4">
        <v>9907</v>
      </c>
      <c r="C9912" s="10">
        <v>360.85291911214688</v>
      </c>
      <c r="D9912" s="42"/>
    </row>
    <row r="9913" spans="2:4" ht="16" thickBot="1" x14ac:dyDescent="0.25">
      <c r="B9913" s="5">
        <v>9908</v>
      </c>
      <c r="C9913" s="11">
        <v>344.07552875702117</v>
      </c>
      <c r="D9913" s="42"/>
    </row>
    <row r="9914" spans="2:4" ht="16" thickBot="1" x14ac:dyDescent="0.25">
      <c r="B9914" s="4">
        <v>9909</v>
      </c>
      <c r="C9914" s="10">
        <v>321.11534263874961</v>
      </c>
      <c r="D9914" s="42"/>
    </row>
    <row r="9915" spans="2:4" ht="16" thickBot="1" x14ac:dyDescent="0.25">
      <c r="B9915" s="5">
        <v>9910</v>
      </c>
      <c r="C9915" s="11">
        <v>160.654856867696</v>
      </c>
      <c r="D9915" s="42"/>
    </row>
    <row r="9916" spans="2:4" ht="16" thickBot="1" x14ac:dyDescent="0.25">
      <c r="B9916" s="4">
        <v>9911</v>
      </c>
      <c r="C9916" s="10">
        <v>126.80758077336033</v>
      </c>
      <c r="D9916" s="42"/>
    </row>
    <row r="9917" spans="2:4" ht="16" thickBot="1" x14ac:dyDescent="0.25">
      <c r="B9917" s="5">
        <v>9912</v>
      </c>
      <c r="C9917" s="11">
        <v>167.15668682125155</v>
      </c>
      <c r="D9917" s="42"/>
    </row>
    <row r="9918" spans="2:4" ht="16" thickBot="1" x14ac:dyDescent="0.25">
      <c r="B9918" s="4">
        <v>9913</v>
      </c>
      <c r="C9918" s="10">
        <v>251.80171813560654</v>
      </c>
      <c r="D9918" s="42"/>
    </row>
    <row r="9919" spans="2:4" ht="16" thickBot="1" x14ac:dyDescent="0.25">
      <c r="B9919" s="5">
        <v>9914</v>
      </c>
      <c r="C9919" s="11">
        <v>72.05667070732494</v>
      </c>
      <c r="D9919" s="42"/>
    </row>
    <row r="9920" spans="2:4" ht="16" thickBot="1" x14ac:dyDescent="0.25">
      <c r="B9920" s="4">
        <v>9915</v>
      </c>
      <c r="C9920" s="10">
        <v>126.57786948919922</v>
      </c>
      <c r="D9920" s="42"/>
    </row>
    <row r="9921" spans="2:4" ht="16" thickBot="1" x14ac:dyDescent="0.25">
      <c r="B9921" s="5">
        <v>9916</v>
      </c>
      <c r="C9921" s="11">
        <v>95.530370130427983</v>
      </c>
      <c r="D9921" s="42"/>
    </row>
    <row r="9922" spans="2:4" ht="16" thickBot="1" x14ac:dyDescent="0.25">
      <c r="B9922" s="4">
        <v>9917</v>
      </c>
      <c r="C9922" s="10">
        <v>418.45513219011372</v>
      </c>
      <c r="D9922" s="42"/>
    </row>
    <row r="9923" spans="2:4" ht="16" thickBot="1" x14ac:dyDescent="0.25">
      <c r="B9923" s="5">
        <v>9918</v>
      </c>
      <c r="C9923" s="11">
        <v>84.004962467461809</v>
      </c>
      <c r="D9923" s="42"/>
    </row>
    <row r="9924" spans="2:4" ht="16" thickBot="1" x14ac:dyDescent="0.25">
      <c r="B9924" s="4">
        <v>9919</v>
      </c>
      <c r="C9924" s="10">
        <v>288.75148125670017</v>
      </c>
      <c r="D9924" s="42"/>
    </row>
    <row r="9925" spans="2:4" ht="16" thickBot="1" x14ac:dyDescent="0.25">
      <c r="B9925" s="5">
        <v>9920</v>
      </c>
      <c r="C9925" s="11">
        <v>93.549169923768019</v>
      </c>
      <c r="D9925" s="42"/>
    </row>
    <row r="9926" spans="2:4" ht="16" thickBot="1" x14ac:dyDescent="0.25">
      <c r="B9926" s="4">
        <v>9921</v>
      </c>
      <c r="C9926" s="10">
        <v>54.509539004683589</v>
      </c>
      <c r="D9926" s="42"/>
    </row>
    <row r="9927" spans="2:4" ht="16" thickBot="1" x14ac:dyDescent="0.25">
      <c r="B9927" s="5">
        <v>9922</v>
      </c>
      <c r="C9927" s="11">
        <v>204.0112125048029</v>
      </c>
      <c r="D9927" s="42"/>
    </row>
    <row r="9928" spans="2:4" ht="16" thickBot="1" x14ac:dyDescent="0.25">
      <c r="B9928" s="4">
        <v>9923</v>
      </c>
      <c r="C9928" s="10">
        <v>53.77831746370272</v>
      </c>
      <c r="D9928" s="42"/>
    </row>
    <row r="9929" spans="2:4" ht="16" thickBot="1" x14ac:dyDescent="0.25">
      <c r="B9929" s="5">
        <v>9924</v>
      </c>
      <c r="C9929" s="11">
        <v>158.49698655877793</v>
      </c>
      <c r="D9929" s="42"/>
    </row>
    <row r="9930" spans="2:4" ht="16" thickBot="1" x14ac:dyDescent="0.25">
      <c r="B9930" s="4">
        <v>9925</v>
      </c>
      <c r="C9930" s="10">
        <v>403.01183777375053</v>
      </c>
      <c r="D9930" s="42"/>
    </row>
    <row r="9931" spans="2:4" ht="16" thickBot="1" x14ac:dyDescent="0.25">
      <c r="B9931" s="5">
        <v>9926</v>
      </c>
      <c r="C9931" s="11">
        <v>191.26593069078331</v>
      </c>
      <c r="D9931" s="42"/>
    </row>
    <row r="9932" spans="2:4" ht="16" thickBot="1" x14ac:dyDescent="0.25">
      <c r="B9932" s="4">
        <v>9927</v>
      </c>
      <c r="C9932" s="10">
        <v>729.23768164844648</v>
      </c>
      <c r="D9932" s="42"/>
    </row>
    <row r="9933" spans="2:4" ht="16" thickBot="1" x14ac:dyDescent="0.25">
      <c r="B9933" s="5">
        <v>9928</v>
      </c>
      <c r="C9933" s="11">
        <v>393.32657326380667</v>
      </c>
      <c r="D9933" s="42"/>
    </row>
    <row r="9934" spans="2:4" ht="16" thickBot="1" x14ac:dyDescent="0.25">
      <c r="B9934" s="4">
        <v>9929</v>
      </c>
      <c r="C9934" s="10">
        <v>103.10259684902354</v>
      </c>
      <c r="D9934" s="42"/>
    </row>
    <row r="9935" spans="2:4" ht="16" thickBot="1" x14ac:dyDescent="0.25">
      <c r="B9935" s="5">
        <v>9930</v>
      </c>
      <c r="C9935" s="11">
        <v>96.120558334254596</v>
      </c>
      <c r="D9935" s="42"/>
    </row>
    <row r="9936" spans="2:4" ht="16" thickBot="1" x14ac:dyDescent="0.25">
      <c r="B9936" s="4">
        <v>9931</v>
      </c>
      <c r="C9936" s="10">
        <v>347.63410011277057</v>
      </c>
      <c r="D9936" s="42"/>
    </row>
    <row r="9937" spans="2:4" ht="16" thickBot="1" x14ac:dyDescent="0.25">
      <c r="B9937" s="5">
        <v>9932</v>
      </c>
      <c r="C9937" s="11">
        <v>244.05919122815692</v>
      </c>
      <c r="D9937" s="42"/>
    </row>
    <row r="9938" spans="2:4" ht="16" thickBot="1" x14ac:dyDescent="0.25">
      <c r="B9938" s="4">
        <v>9933</v>
      </c>
      <c r="C9938" s="10">
        <v>46.705620424333688</v>
      </c>
      <c r="D9938" s="42"/>
    </row>
    <row r="9939" spans="2:4" ht="16" thickBot="1" x14ac:dyDescent="0.25">
      <c r="B9939" s="5">
        <v>9934</v>
      </c>
      <c r="C9939" s="11">
        <v>289.15109234864997</v>
      </c>
      <c r="D9939" s="42"/>
    </row>
    <row r="9940" spans="2:4" ht="16" thickBot="1" x14ac:dyDescent="0.25">
      <c r="B9940" s="4">
        <v>9935</v>
      </c>
      <c r="C9940" s="10">
        <v>271.95519979086509</v>
      </c>
      <c r="D9940" s="42"/>
    </row>
    <row r="9941" spans="2:4" ht="16" thickBot="1" x14ac:dyDescent="0.25">
      <c r="B9941" s="5">
        <v>9936</v>
      </c>
      <c r="C9941" s="11">
        <v>149.39611208460349</v>
      </c>
      <c r="D9941" s="42"/>
    </row>
    <row r="9942" spans="2:4" ht="16" thickBot="1" x14ac:dyDescent="0.25">
      <c r="B9942" s="4">
        <v>9937</v>
      </c>
      <c r="C9942" s="10">
        <v>84.331833173549057</v>
      </c>
      <c r="D9942" s="42"/>
    </row>
    <row r="9943" spans="2:4" ht="16" thickBot="1" x14ac:dyDescent="0.25">
      <c r="B9943" s="5">
        <v>9938</v>
      </c>
      <c r="C9943" s="11">
        <v>342.59505455251332</v>
      </c>
      <c r="D9943" s="42"/>
    </row>
    <row r="9944" spans="2:4" ht="16" thickBot="1" x14ac:dyDescent="0.25">
      <c r="B9944" s="4">
        <v>9939</v>
      </c>
      <c r="C9944" s="10">
        <v>71.863810779204584</v>
      </c>
      <c r="D9944" s="42"/>
    </row>
    <row r="9945" spans="2:4" ht="16" thickBot="1" x14ac:dyDescent="0.25">
      <c r="B9945" s="5">
        <v>9940</v>
      </c>
      <c r="C9945" s="11">
        <v>135.69971990290131</v>
      </c>
      <c r="D9945" s="42"/>
    </row>
    <row r="9946" spans="2:4" ht="16" thickBot="1" x14ac:dyDescent="0.25">
      <c r="B9946" s="4">
        <v>9941</v>
      </c>
      <c r="C9946" s="10">
        <v>605.86705597978539</v>
      </c>
      <c r="D9946" s="42"/>
    </row>
    <row r="9947" spans="2:4" ht="16" thickBot="1" x14ac:dyDescent="0.25">
      <c r="B9947" s="5">
        <v>9942</v>
      </c>
      <c r="C9947" s="11">
        <v>93.986936285487488</v>
      </c>
      <c r="D9947" s="42"/>
    </row>
    <row r="9948" spans="2:4" ht="16" thickBot="1" x14ac:dyDescent="0.25">
      <c r="B9948" s="4">
        <v>9943</v>
      </c>
      <c r="C9948" s="10">
        <v>315.46319008509045</v>
      </c>
      <c r="D9948" s="42"/>
    </row>
    <row r="9949" spans="2:4" ht="16" thickBot="1" x14ac:dyDescent="0.25">
      <c r="B9949" s="5">
        <v>9944</v>
      </c>
      <c r="C9949" s="11">
        <v>109.55868487518885</v>
      </c>
      <c r="D9949" s="42"/>
    </row>
    <row r="9950" spans="2:4" ht="16" thickBot="1" x14ac:dyDescent="0.25">
      <c r="B9950" s="4">
        <v>9945</v>
      </c>
      <c r="C9950" s="10">
        <v>562.13659632768338</v>
      </c>
      <c r="D9950" s="42"/>
    </row>
    <row r="9951" spans="2:4" ht="16" thickBot="1" x14ac:dyDescent="0.25">
      <c r="B9951" s="5">
        <v>9946</v>
      </c>
      <c r="C9951" s="11">
        <v>260.02419294010787</v>
      </c>
      <c r="D9951" s="42"/>
    </row>
    <row r="9952" spans="2:4" ht="16" thickBot="1" x14ac:dyDescent="0.25">
      <c r="B9952" s="4">
        <v>9947</v>
      </c>
      <c r="C9952" s="10">
        <v>485.27600095255139</v>
      </c>
      <c r="D9952" s="42"/>
    </row>
    <row r="9953" spans="2:4" ht="16" thickBot="1" x14ac:dyDescent="0.25">
      <c r="B9953" s="5">
        <v>9948</v>
      </c>
      <c r="C9953" s="11">
        <v>405.29239547290905</v>
      </c>
      <c r="D9953" s="42"/>
    </row>
    <row r="9954" spans="2:4" ht="16" thickBot="1" x14ac:dyDescent="0.25">
      <c r="B9954" s="4">
        <v>9949</v>
      </c>
      <c r="C9954" s="10">
        <v>216.78173529901886</v>
      </c>
      <c r="D9954" s="42"/>
    </row>
    <row r="9955" spans="2:4" ht="16" thickBot="1" x14ac:dyDescent="0.25">
      <c r="B9955" s="5">
        <v>9950</v>
      </c>
      <c r="C9955" s="11">
        <v>238.51505646308846</v>
      </c>
      <c r="D9955" s="42"/>
    </row>
    <row r="9956" spans="2:4" ht="16" thickBot="1" x14ac:dyDescent="0.25">
      <c r="B9956" s="4">
        <v>9951</v>
      </c>
      <c r="C9956" s="10">
        <v>243.57574322033841</v>
      </c>
      <c r="D9956" s="42"/>
    </row>
    <row r="9957" spans="2:4" ht="16" thickBot="1" x14ac:dyDescent="0.25">
      <c r="B9957" s="5">
        <v>9952</v>
      </c>
      <c r="C9957" s="11">
        <v>284.1033549091145</v>
      </c>
      <c r="D9957" s="42"/>
    </row>
    <row r="9958" spans="2:4" ht="16" thickBot="1" x14ac:dyDescent="0.25">
      <c r="B9958" s="4">
        <v>9953</v>
      </c>
      <c r="C9958" s="10">
        <v>346.78335008224508</v>
      </c>
      <c r="D9958" s="42"/>
    </row>
    <row r="9959" spans="2:4" ht="16" thickBot="1" x14ac:dyDescent="0.25">
      <c r="B9959" s="5">
        <v>9954</v>
      </c>
      <c r="C9959" s="11">
        <v>317.03047826746155</v>
      </c>
      <c r="D9959" s="42"/>
    </row>
    <row r="9960" spans="2:4" ht="16" thickBot="1" x14ac:dyDescent="0.25">
      <c r="B9960" s="4">
        <v>9955</v>
      </c>
      <c r="C9960" s="10">
        <v>167.17574897448995</v>
      </c>
      <c r="D9960" s="42"/>
    </row>
    <row r="9961" spans="2:4" ht="16" thickBot="1" x14ac:dyDescent="0.25">
      <c r="B9961" s="5">
        <v>9956</v>
      </c>
      <c r="C9961" s="11">
        <v>196.16364160492725</v>
      </c>
      <c r="D9961" s="42"/>
    </row>
    <row r="9962" spans="2:4" ht="16" thickBot="1" x14ac:dyDescent="0.25">
      <c r="B9962" s="4">
        <v>9957</v>
      </c>
      <c r="C9962" s="10">
        <v>218.65433960319029</v>
      </c>
      <c r="D9962" s="42"/>
    </row>
    <row r="9963" spans="2:4" ht="16" thickBot="1" x14ac:dyDescent="0.25">
      <c r="B9963" s="5">
        <v>9958</v>
      </c>
      <c r="C9963" s="11">
        <v>183.31541797340725</v>
      </c>
      <c r="D9963" s="42"/>
    </row>
    <row r="9964" spans="2:4" ht="16" thickBot="1" x14ac:dyDescent="0.25">
      <c r="B9964" s="4">
        <v>9959</v>
      </c>
      <c r="C9964" s="10">
        <v>116.54618775265993</v>
      </c>
      <c r="D9964" s="42"/>
    </row>
    <row r="9965" spans="2:4" ht="16" thickBot="1" x14ac:dyDescent="0.25">
      <c r="B9965" s="5">
        <v>9960</v>
      </c>
      <c r="C9965" s="11">
        <v>516.74917938406907</v>
      </c>
      <c r="D9965" s="42"/>
    </row>
    <row r="9966" spans="2:4" ht="16" thickBot="1" x14ac:dyDescent="0.25">
      <c r="B9966" s="4">
        <v>9961</v>
      </c>
      <c r="C9966" s="10">
        <v>28.962914842052115</v>
      </c>
      <c r="D9966" s="42"/>
    </row>
    <row r="9967" spans="2:4" ht="16" thickBot="1" x14ac:dyDescent="0.25">
      <c r="B9967" s="5">
        <v>9962</v>
      </c>
      <c r="C9967" s="11">
        <v>563.97369088533458</v>
      </c>
      <c r="D9967" s="42"/>
    </row>
    <row r="9968" spans="2:4" ht="16" thickBot="1" x14ac:dyDescent="0.25">
      <c r="B9968" s="4">
        <v>9963</v>
      </c>
      <c r="C9968" s="10">
        <v>549.07350086320059</v>
      </c>
      <c r="D9968" s="42"/>
    </row>
    <row r="9969" spans="2:4" ht="16" thickBot="1" x14ac:dyDescent="0.25">
      <c r="B9969" s="5">
        <v>9964</v>
      </c>
      <c r="C9969" s="11">
        <v>160.34718151018689</v>
      </c>
      <c r="D9969" s="42"/>
    </row>
    <row r="9970" spans="2:4" ht="16" thickBot="1" x14ac:dyDescent="0.25">
      <c r="B9970" s="4">
        <v>9965</v>
      </c>
      <c r="C9970" s="10">
        <v>477.71859708291834</v>
      </c>
      <c r="D9970" s="42"/>
    </row>
    <row r="9971" spans="2:4" ht="16" thickBot="1" x14ac:dyDescent="0.25">
      <c r="B9971" s="5">
        <v>9966</v>
      </c>
      <c r="C9971" s="11">
        <v>188.34996982384564</v>
      </c>
      <c r="D9971" s="42"/>
    </row>
    <row r="9972" spans="2:4" ht="16" thickBot="1" x14ac:dyDescent="0.25">
      <c r="B9972" s="4">
        <v>9967</v>
      </c>
      <c r="C9972" s="10">
        <v>512.24498125838636</v>
      </c>
      <c r="D9972" s="42"/>
    </row>
    <row r="9973" spans="2:4" ht="16" thickBot="1" x14ac:dyDescent="0.25">
      <c r="B9973" s="5">
        <v>9968</v>
      </c>
      <c r="C9973" s="11">
        <v>246.58768552148527</v>
      </c>
      <c r="D9973" s="42"/>
    </row>
    <row r="9974" spans="2:4" ht="16" thickBot="1" x14ac:dyDescent="0.25">
      <c r="B9974" s="4">
        <v>9969</v>
      </c>
      <c r="C9974" s="10">
        <v>307.6155838655327</v>
      </c>
      <c r="D9974" s="42"/>
    </row>
    <row r="9975" spans="2:4" ht="16" thickBot="1" x14ac:dyDescent="0.25">
      <c r="B9975" s="5">
        <v>9970</v>
      </c>
      <c r="C9975" s="11">
        <v>132.77906143743525</v>
      </c>
      <c r="D9975" s="42"/>
    </row>
    <row r="9976" spans="2:4" ht="16" thickBot="1" x14ac:dyDescent="0.25">
      <c r="B9976" s="4">
        <v>9971</v>
      </c>
      <c r="C9976" s="10">
        <v>69.338139691071405</v>
      </c>
      <c r="D9976" s="42"/>
    </row>
    <row r="9977" spans="2:4" ht="16" thickBot="1" x14ac:dyDescent="0.25">
      <c r="B9977" s="5">
        <v>9972</v>
      </c>
      <c r="C9977" s="11">
        <v>124.0173910316587</v>
      </c>
      <c r="D9977" s="42"/>
    </row>
    <row r="9978" spans="2:4" ht="16" thickBot="1" x14ac:dyDescent="0.25">
      <c r="B9978" s="4">
        <v>9973</v>
      </c>
      <c r="C9978" s="10">
        <v>676.43016585802752</v>
      </c>
      <c r="D9978" s="42"/>
    </row>
    <row r="9979" spans="2:4" ht="16" thickBot="1" x14ac:dyDescent="0.25">
      <c r="B9979" s="5">
        <v>9974</v>
      </c>
      <c r="C9979" s="11">
        <v>79.415373520666819</v>
      </c>
      <c r="D9979" s="42"/>
    </row>
    <row r="9980" spans="2:4" ht="16" thickBot="1" x14ac:dyDescent="0.25">
      <c r="B9980" s="4">
        <v>9975</v>
      </c>
      <c r="C9980" s="10">
        <v>702.35516618041856</v>
      </c>
      <c r="D9980" s="42"/>
    </row>
    <row r="9981" spans="2:4" ht="16" thickBot="1" x14ac:dyDescent="0.25">
      <c r="B9981" s="5">
        <v>9976</v>
      </c>
      <c r="C9981" s="11">
        <v>497.89755255342584</v>
      </c>
      <c r="D9981" s="42"/>
    </row>
    <row r="9982" spans="2:4" ht="16" thickBot="1" x14ac:dyDescent="0.25">
      <c r="B9982" s="4">
        <v>9977</v>
      </c>
      <c r="C9982" s="10">
        <v>289.62099964424772</v>
      </c>
      <c r="D9982" s="42"/>
    </row>
    <row r="9983" spans="2:4" ht="16" thickBot="1" x14ac:dyDescent="0.25">
      <c r="B9983" s="5">
        <v>9978</v>
      </c>
      <c r="C9983" s="11">
        <v>520.32719441734366</v>
      </c>
      <c r="D9983" s="42"/>
    </row>
    <row r="9984" spans="2:4" ht="16" thickBot="1" x14ac:dyDescent="0.25">
      <c r="B9984" s="4">
        <v>9979</v>
      </c>
      <c r="C9984" s="10">
        <v>279.46971564293125</v>
      </c>
      <c r="D9984" s="42"/>
    </row>
    <row r="9985" spans="2:4" ht="16" thickBot="1" x14ac:dyDescent="0.25">
      <c r="B9985" s="5">
        <v>9980</v>
      </c>
      <c r="C9985" s="11">
        <v>424.72956792471479</v>
      </c>
      <c r="D9985" s="42"/>
    </row>
    <row r="9986" spans="2:4" ht="16" thickBot="1" x14ac:dyDescent="0.25">
      <c r="B9986" s="4">
        <v>9981</v>
      </c>
      <c r="C9986" s="10">
        <v>334.59274441875408</v>
      </c>
      <c r="D9986" s="42"/>
    </row>
    <row r="9987" spans="2:4" ht="16" thickBot="1" x14ac:dyDescent="0.25">
      <c r="B9987" s="5">
        <v>9982</v>
      </c>
      <c r="C9987" s="11">
        <v>154.37880947517274</v>
      </c>
      <c r="D9987" s="42"/>
    </row>
    <row r="9988" spans="2:4" ht="16" thickBot="1" x14ac:dyDescent="0.25">
      <c r="B9988" s="4">
        <v>9983</v>
      </c>
      <c r="C9988" s="10">
        <v>338.32014720448348</v>
      </c>
      <c r="D9988" s="42"/>
    </row>
    <row r="9989" spans="2:4" ht="16" thickBot="1" x14ac:dyDescent="0.25">
      <c r="B9989" s="5">
        <v>9984</v>
      </c>
      <c r="C9989" s="11">
        <v>133.22784173703255</v>
      </c>
      <c r="D9989" s="42"/>
    </row>
    <row r="9990" spans="2:4" ht="16" thickBot="1" x14ac:dyDescent="0.25">
      <c r="B9990" s="4">
        <v>9985</v>
      </c>
      <c r="C9990" s="10">
        <v>447.12147208657836</v>
      </c>
      <c r="D9990" s="42"/>
    </row>
    <row r="9991" spans="2:4" ht="16" thickBot="1" x14ac:dyDescent="0.25">
      <c r="B9991" s="5">
        <v>9986</v>
      </c>
      <c r="C9991" s="11">
        <v>378.1396569612233</v>
      </c>
      <c r="D9991" s="42"/>
    </row>
    <row r="9992" spans="2:4" ht="16" thickBot="1" x14ac:dyDescent="0.25">
      <c r="B9992" s="4">
        <v>9987</v>
      </c>
      <c r="C9992" s="10">
        <v>309.98392860600836</v>
      </c>
      <c r="D9992" s="42"/>
    </row>
    <row r="9993" spans="2:4" ht="16" thickBot="1" x14ac:dyDescent="0.25">
      <c r="B9993" s="5">
        <v>9988</v>
      </c>
      <c r="C9993" s="11">
        <v>479.07846537518975</v>
      </c>
      <c r="D9993" s="42"/>
    </row>
    <row r="9994" spans="2:4" ht="16" thickBot="1" x14ac:dyDescent="0.25">
      <c r="B9994" s="4">
        <v>9989</v>
      </c>
      <c r="C9994" s="10">
        <v>399.35386204488475</v>
      </c>
      <c r="D9994" s="42"/>
    </row>
    <row r="9995" spans="2:4" ht="16" thickBot="1" x14ac:dyDescent="0.25">
      <c r="B9995" s="5">
        <v>9990</v>
      </c>
      <c r="C9995" s="11">
        <v>621.10021990582356</v>
      </c>
      <c r="D9995" s="42"/>
    </row>
    <row r="9996" spans="2:4" ht="16" thickBot="1" x14ac:dyDescent="0.25">
      <c r="B9996" s="4">
        <v>9991</v>
      </c>
      <c r="C9996" s="10">
        <v>263.10647781331539</v>
      </c>
      <c r="D9996" s="42"/>
    </row>
    <row r="9997" spans="2:4" ht="16" thickBot="1" x14ac:dyDescent="0.25">
      <c r="B9997" s="5">
        <v>9992</v>
      </c>
      <c r="C9997" s="11">
        <v>526.1184767065854</v>
      </c>
      <c r="D9997" s="42"/>
    </row>
    <row r="9998" spans="2:4" ht="16" thickBot="1" x14ac:dyDescent="0.25">
      <c r="B9998" s="4">
        <v>9993</v>
      </c>
      <c r="C9998" s="10">
        <v>131.78835696757093</v>
      </c>
      <c r="D9998" s="42"/>
    </row>
    <row r="9999" spans="2:4" ht="16" thickBot="1" x14ac:dyDescent="0.25">
      <c r="B9999" s="5">
        <v>9994</v>
      </c>
      <c r="C9999" s="11">
        <v>114.77160526786854</v>
      </c>
      <c r="D9999" s="42"/>
    </row>
    <row r="10000" spans="2:4" ht="16" thickBot="1" x14ac:dyDescent="0.25">
      <c r="B10000" s="4">
        <v>9995</v>
      </c>
      <c r="C10000" s="10">
        <v>170.95597776518451</v>
      </c>
      <c r="D10000" s="42"/>
    </row>
    <row r="10001" spans="2:4" ht="16" thickBot="1" x14ac:dyDescent="0.25">
      <c r="B10001" s="5">
        <v>9996</v>
      </c>
      <c r="C10001" s="11">
        <v>520.17910252978902</v>
      </c>
      <c r="D10001" s="42"/>
    </row>
    <row r="10002" spans="2:4" ht="16" thickBot="1" x14ac:dyDescent="0.25">
      <c r="B10002" s="4">
        <v>9997</v>
      </c>
      <c r="C10002" s="10">
        <v>163.02334908002641</v>
      </c>
      <c r="D10002" s="42"/>
    </row>
    <row r="10003" spans="2:4" ht="16" thickBot="1" x14ac:dyDescent="0.25">
      <c r="B10003" s="5">
        <v>9998</v>
      </c>
      <c r="C10003" s="11">
        <v>370.5916008696135</v>
      </c>
      <c r="D10003" s="42"/>
    </row>
    <row r="10004" spans="2:4" ht="16" thickBot="1" x14ac:dyDescent="0.25">
      <c r="B10004" s="4">
        <v>9999</v>
      </c>
      <c r="C10004" s="10">
        <v>248.98042101080208</v>
      </c>
      <c r="D10004" s="42"/>
    </row>
    <row r="10005" spans="2:4" ht="16" thickBot="1" x14ac:dyDescent="0.25">
      <c r="B10005" s="5">
        <v>10000</v>
      </c>
      <c r="C10005" s="11">
        <v>314.93678468996319</v>
      </c>
      <c r="D10005" s="42"/>
    </row>
    <row r="10007" spans="2:4" x14ac:dyDescent="0.2">
      <c r="C10007" s="19"/>
    </row>
  </sheetData>
  <mergeCells count="5">
    <mergeCell ref="E3:G3"/>
    <mergeCell ref="Q24:S24"/>
    <mergeCell ref="K44:L51"/>
    <mergeCell ref="AB44:AF44"/>
    <mergeCell ref="AE42:AF42"/>
  </mergeCells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1"/>
  <dimension ref="B2:AJ10008"/>
  <sheetViews>
    <sheetView tabSelected="1" zoomScale="86" zoomScaleNormal="70" workbookViewId="0">
      <selection activeCell="G18" sqref="G18"/>
    </sheetView>
  </sheetViews>
  <sheetFormatPr baseColWidth="10" defaultColWidth="11.5" defaultRowHeight="15" x14ac:dyDescent="0.2"/>
  <cols>
    <col min="1" max="1" width="3.6640625" style="1" customWidth="1"/>
    <col min="2" max="2" width="11.5" style="1"/>
    <col min="3" max="3" width="16.1640625" style="1" customWidth="1"/>
    <col min="4" max="4" width="12.83203125" style="1" customWidth="1"/>
    <col min="5" max="5" width="18.1640625" style="1" customWidth="1"/>
    <col min="6" max="6" width="13" style="1" customWidth="1"/>
    <col min="7" max="7" width="11.5" style="1" bestFit="1" customWidth="1"/>
    <col min="8" max="15" width="15.6640625" style="1" customWidth="1"/>
    <col min="16" max="16" width="3.6640625" style="1" customWidth="1"/>
    <col min="17" max="23" width="11.5" style="1"/>
    <col min="24" max="24" width="9.6640625" style="1" customWidth="1"/>
    <col min="25" max="16384" width="11.5" style="1"/>
  </cols>
  <sheetData>
    <row r="2" spans="2:12" ht="19" x14ac:dyDescent="0.25">
      <c r="B2" s="50" t="s">
        <v>31</v>
      </c>
    </row>
    <row r="4" spans="2:12" ht="16" thickBot="1" x14ac:dyDescent="0.25"/>
    <row r="5" spans="2:12" ht="16" thickBot="1" x14ac:dyDescent="0.25">
      <c r="B5" s="3" t="s">
        <v>0</v>
      </c>
      <c r="C5" s="3" t="s">
        <v>1</v>
      </c>
      <c r="E5" s="3" t="s">
        <v>28</v>
      </c>
      <c r="F5" s="3" t="s">
        <v>25</v>
      </c>
      <c r="G5" s="3" t="s">
        <v>27</v>
      </c>
      <c r="H5" s="3" t="s">
        <v>29</v>
      </c>
      <c r="I5" s="3" t="s">
        <v>32</v>
      </c>
      <c r="J5" s="3" t="s">
        <v>23</v>
      </c>
      <c r="K5" s="3" t="s">
        <v>33</v>
      </c>
      <c r="L5" s="3" t="s">
        <v>34</v>
      </c>
    </row>
    <row r="6" spans="2:12" ht="16" thickBot="1" x14ac:dyDescent="0.25">
      <c r="B6" s="4">
        <v>1</v>
      </c>
      <c r="C6" s="4">
        <v>116.29722362428636</v>
      </c>
      <c r="D6" s="45"/>
      <c r="E6" s="6" t="s">
        <v>26</v>
      </c>
      <c r="F6" s="9">
        <v>4.1045642487080496</v>
      </c>
      <c r="G6" s="9">
        <v>2.1824320627305749</v>
      </c>
      <c r="H6" s="9">
        <v>4.9927657634823799</v>
      </c>
      <c r="I6" s="9">
        <v>2665498564.8668256</v>
      </c>
      <c r="J6" s="9">
        <v>2.7854569350623151</v>
      </c>
      <c r="K6" s="9">
        <v>1</v>
      </c>
      <c r="L6" s="9">
        <v>1</v>
      </c>
    </row>
    <row r="7" spans="2:12" ht="16" thickBot="1" x14ac:dyDescent="0.25">
      <c r="B7" s="5">
        <v>2</v>
      </c>
      <c r="C7" s="5">
        <v>223.15105203820619</v>
      </c>
      <c r="D7" s="45"/>
      <c r="E7" s="7" t="s">
        <v>23</v>
      </c>
      <c r="F7" s="9">
        <v>40.191375568612195</v>
      </c>
      <c r="G7" s="9">
        <v>182.8172362046794</v>
      </c>
      <c r="H7" s="9">
        <v>0.5054805547609813</v>
      </c>
      <c r="I7" s="9">
        <v>371958692975.78101</v>
      </c>
      <c r="J7" s="9">
        <v>16.324708015807456</v>
      </c>
      <c r="K7" s="9">
        <v>1</v>
      </c>
      <c r="L7" s="9">
        <v>1</v>
      </c>
    </row>
    <row r="8" spans="2:12" ht="16" thickBot="1" x14ac:dyDescent="0.25">
      <c r="B8" s="4">
        <v>3</v>
      </c>
      <c r="C8" s="4">
        <v>93.861710414781655</v>
      </c>
      <c r="D8" s="45"/>
      <c r="E8" s="2"/>
    </row>
    <row r="9" spans="2:12" ht="16" thickBot="1" x14ac:dyDescent="0.25">
      <c r="B9" s="5">
        <v>4</v>
      </c>
      <c r="C9" s="5">
        <v>209.43772692142267</v>
      </c>
      <c r="D9" s="45"/>
    </row>
    <row r="10" spans="2:12" ht="16" thickBot="1" x14ac:dyDescent="0.25">
      <c r="B10" s="4">
        <v>5</v>
      </c>
      <c r="C10" s="4">
        <v>312.83266713187498</v>
      </c>
      <c r="D10" s="45"/>
      <c r="E10" s="16" t="s">
        <v>17</v>
      </c>
      <c r="F10" s="17" t="s">
        <v>30</v>
      </c>
      <c r="G10" s="51"/>
      <c r="H10" s="51"/>
      <c r="I10" s="51"/>
    </row>
    <row r="11" spans="2:12" ht="16" thickBot="1" x14ac:dyDescent="0.25">
      <c r="B11" s="5">
        <v>6</v>
      </c>
      <c r="C11" s="5">
        <v>97.415393679808645</v>
      </c>
      <c r="D11" s="45"/>
      <c r="E11" s="6" t="s">
        <v>4</v>
      </c>
      <c r="F11" s="9">
        <f>MIN(C6:C10005)</f>
        <v>17.706371482915145</v>
      </c>
      <c r="G11" s="8"/>
      <c r="H11" s="8"/>
      <c r="I11" s="8"/>
    </row>
    <row r="12" spans="2:12" ht="16" thickBot="1" x14ac:dyDescent="0.25">
      <c r="B12" s="4">
        <v>7</v>
      </c>
      <c r="C12" s="4">
        <v>260.63692437294759</v>
      </c>
      <c r="D12" s="45"/>
      <c r="E12" s="7" t="s">
        <v>3</v>
      </c>
      <c r="F12" s="12">
        <f>MAX(C6:C10005)</f>
        <v>1024.4427936716172</v>
      </c>
      <c r="G12" s="8"/>
      <c r="H12" s="8"/>
      <c r="I12" s="8"/>
    </row>
    <row r="13" spans="2:12" ht="16" thickBot="1" x14ac:dyDescent="0.25">
      <c r="B13" s="5">
        <v>8</v>
      </c>
      <c r="C13" s="5">
        <v>117.37188542613187</v>
      </c>
      <c r="D13" s="45"/>
      <c r="E13" s="6" t="s">
        <v>5</v>
      </c>
      <c r="F13" s="9">
        <f>F12-F11</f>
        <v>1006.736422188702</v>
      </c>
      <c r="G13" s="8"/>
      <c r="H13" s="8"/>
      <c r="I13" s="8"/>
    </row>
    <row r="14" spans="2:12" ht="16" thickBot="1" x14ac:dyDescent="0.25">
      <c r="B14" s="4">
        <v>9</v>
      </c>
      <c r="C14" s="4">
        <v>124.76301327548096</v>
      </c>
      <c r="D14" s="45"/>
      <c r="E14" s="7" t="s">
        <v>6</v>
      </c>
      <c r="F14" s="12">
        <f>1+LOG(10000)/LOG(2)</f>
        <v>14.287712379549449</v>
      </c>
      <c r="G14" s="8" t="s">
        <v>83</v>
      </c>
      <c r="H14" s="8"/>
      <c r="I14" s="8"/>
    </row>
    <row r="15" spans="2:12" ht="16" thickBot="1" x14ac:dyDescent="0.25">
      <c r="B15" s="5">
        <v>10</v>
      </c>
      <c r="C15" s="5">
        <v>261.42394726329326</v>
      </c>
      <c r="D15" s="45"/>
      <c r="E15" s="6" t="s">
        <v>14</v>
      </c>
      <c r="F15" s="9">
        <f>PERCENTILE(C6:C10005,0.25)</f>
        <v>105.57913847409218</v>
      </c>
      <c r="G15" s="8"/>
      <c r="H15" s="8"/>
      <c r="I15" s="8"/>
    </row>
    <row r="16" spans="2:12" ht="16" thickBot="1" x14ac:dyDescent="0.25">
      <c r="B16" s="4">
        <v>11</v>
      </c>
      <c r="C16" s="4">
        <v>110.43312182659386</v>
      </c>
      <c r="D16" s="45"/>
      <c r="E16" s="7" t="s">
        <v>13</v>
      </c>
      <c r="F16" s="12">
        <f>PERCENTILE(C6:C10005,0.5)</f>
        <v>148.17587100243537</v>
      </c>
      <c r="G16" s="8"/>
      <c r="H16" s="8"/>
      <c r="I16" s="8"/>
    </row>
    <row r="17" spans="2:36" ht="16" thickBot="1" x14ac:dyDescent="0.25">
      <c r="B17" s="5">
        <v>12</v>
      </c>
      <c r="C17" s="5">
        <v>211.37832589779148</v>
      </c>
      <c r="D17" s="45"/>
      <c r="E17" s="6" t="s">
        <v>15</v>
      </c>
      <c r="F17" s="9">
        <f>PERCENTILE(C6:C10005,0.75)</f>
        <v>209.70818677275503</v>
      </c>
      <c r="G17" s="8"/>
      <c r="H17" s="8"/>
      <c r="I17" s="8"/>
    </row>
    <row r="18" spans="2:36" ht="16" thickBot="1" x14ac:dyDescent="0.25">
      <c r="B18" s="4">
        <v>13</v>
      </c>
      <c r="C18" s="4">
        <v>163.61476197273686</v>
      </c>
      <c r="D18" s="45"/>
      <c r="E18" s="7" t="s">
        <v>22</v>
      </c>
      <c r="F18" s="12">
        <f>F17-F15</f>
        <v>104.12904829866285</v>
      </c>
      <c r="G18" s="8"/>
      <c r="H18" s="8"/>
      <c r="I18" s="8"/>
    </row>
    <row r="19" spans="2:36" ht="16" thickBot="1" x14ac:dyDescent="0.25">
      <c r="B19" s="5">
        <v>14</v>
      </c>
      <c r="C19" s="5">
        <v>244.73281057778971</v>
      </c>
      <c r="D19" s="45"/>
      <c r="E19" s="6" t="s">
        <v>12</v>
      </c>
      <c r="F19" s="9">
        <f>AVERAGE(C6:C10005)</f>
        <v>168.02523385790394</v>
      </c>
      <c r="G19" s="8"/>
      <c r="H19" s="8"/>
      <c r="I19" s="8"/>
    </row>
    <row r="20" spans="2:36" ht="16" thickBot="1" x14ac:dyDescent="0.25">
      <c r="B20" s="4">
        <v>15</v>
      </c>
      <c r="C20" s="4">
        <v>203.6117618713381</v>
      </c>
      <c r="D20" s="45"/>
      <c r="E20" s="7" t="s">
        <v>18</v>
      </c>
      <c r="F20" s="12">
        <f>VAR(C6:C10005)</f>
        <v>7848.5028138521111</v>
      </c>
      <c r="G20" s="8"/>
      <c r="H20" s="8"/>
      <c r="I20" s="8"/>
    </row>
    <row r="21" spans="2:36" ht="16" thickBot="1" x14ac:dyDescent="0.25">
      <c r="B21" s="5">
        <v>16</v>
      </c>
      <c r="C21" s="5">
        <v>256.97346191403506</v>
      </c>
      <c r="D21" s="45"/>
      <c r="E21" s="6" t="s">
        <v>19</v>
      </c>
      <c r="F21" s="9">
        <f>STDEV(C6:C10005)</f>
        <v>88.591776220211941</v>
      </c>
      <c r="G21" s="8"/>
      <c r="H21" s="8"/>
      <c r="I21" s="8"/>
    </row>
    <row r="22" spans="2:36" ht="16" thickBot="1" x14ac:dyDescent="0.25">
      <c r="B22" s="4">
        <v>17</v>
      </c>
      <c r="C22" s="4">
        <v>138.07580515230268</v>
      </c>
      <c r="D22" s="45"/>
      <c r="E22" s="7" t="s">
        <v>21</v>
      </c>
      <c r="F22" s="33">
        <f>SKEW(C6:C10005)</f>
        <v>1.598791484577381</v>
      </c>
      <c r="G22" s="8"/>
      <c r="H22" s="8"/>
      <c r="I22" s="8"/>
    </row>
    <row r="23" spans="2:36" ht="16" thickBot="1" x14ac:dyDescent="0.25">
      <c r="B23" s="5">
        <v>18</v>
      </c>
      <c r="C23" s="5">
        <v>87.075002513119969</v>
      </c>
      <c r="D23" s="45"/>
      <c r="E23" s="6" t="s">
        <v>20</v>
      </c>
      <c r="F23" s="9">
        <f>KURT(C6:C10005)</f>
        <v>4.45387799661715</v>
      </c>
      <c r="G23" s="8"/>
      <c r="H23" s="8"/>
      <c r="I23" s="8"/>
    </row>
    <row r="24" spans="2:36" ht="16" thickBot="1" x14ac:dyDescent="0.25">
      <c r="B24" s="4">
        <v>19</v>
      </c>
      <c r="C24" s="4">
        <v>126.88793944120091</v>
      </c>
      <c r="D24" s="45"/>
      <c r="Q24" s="70" t="s">
        <v>84</v>
      </c>
      <c r="R24" s="70"/>
      <c r="S24" s="70"/>
      <c r="T24" s="70"/>
      <c r="U24" s="70"/>
      <c r="V24" s="70"/>
      <c r="W24" s="70"/>
      <c r="Y24" s="71" t="s">
        <v>85</v>
      </c>
      <c r="Z24" s="71"/>
      <c r="AA24" s="71"/>
      <c r="AB24" s="71"/>
      <c r="AC24" s="71"/>
      <c r="AD24" s="71"/>
      <c r="AE24" s="71"/>
      <c r="AG24" s="72" t="s">
        <v>89</v>
      </c>
      <c r="AH24" s="72"/>
      <c r="AI24" s="72"/>
      <c r="AJ24" s="72"/>
    </row>
    <row r="25" spans="2:36" ht="16" thickBot="1" x14ac:dyDescent="0.25">
      <c r="B25" s="5">
        <v>20</v>
      </c>
      <c r="C25" s="5">
        <v>148.58997784841756</v>
      </c>
      <c r="D25" s="45"/>
      <c r="E25" s="3" t="s">
        <v>16</v>
      </c>
      <c r="F25" s="3" t="s">
        <v>7</v>
      </c>
      <c r="G25" s="3" t="s">
        <v>8</v>
      </c>
      <c r="H25" s="3" t="s">
        <v>2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14</v>
      </c>
      <c r="N25" s="3" t="s">
        <v>13</v>
      </c>
      <c r="O25" s="3" t="s">
        <v>15</v>
      </c>
      <c r="Q25" s="56" t="s">
        <v>25</v>
      </c>
      <c r="R25" s="3" t="s">
        <v>27</v>
      </c>
      <c r="S25" s="3" t="s">
        <v>29</v>
      </c>
      <c r="T25" s="3" t="s">
        <v>32</v>
      </c>
      <c r="U25" s="3" t="s">
        <v>23</v>
      </c>
      <c r="V25" s="3" t="s">
        <v>33</v>
      </c>
      <c r="W25" s="3" t="s">
        <v>34</v>
      </c>
      <c r="Y25" s="3" t="s">
        <v>25</v>
      </c>
      <c r="Z25" s="3" t="s">
        <v>27</v>
      </c>
      <c r="AA25" s="3" t="s">
        <v>29</v>
      </c>
      <c r="AB25" s="3" t="s">
        <v>32</v>
      </c>
      <c r="AC25" s="3" t="s">
        <v>23</v>
      </c>
      <c r="AD25" s="3" t="s">
        <v>33</v>
      </c>
      <c r="AE25" s="3" t="s">
        <v>34</v>
      </c>
      <c r="AG25" s="3" t="s">
        <v>8</v>
      </c>
      <c r="AH25" s="3" t="s">
        <v>88</v>
      </c>
      <c r="AI25" s="3" t="s">
        <v>86</v>
      </c>
      <c r="AJ25" s="3" t="s">
        <v>87</v>
      </c>
    </row>
    <row r="26" spans="2:36" ht="16" thickBot="1" x14ac:dyDescent="0.25">
      <c r="B26" s="4">
        <v>21</v>
      </c>
      <c r="C26" s="4">
        <v>87.135243283984252</v>
      </c>
      <c r="D26" s="45"/>
      <c r="E26" s="6">
        <v>0</v>
      </c>
      <c r="F26" s="6">
        <v>0</v>
      </c>
      <c r="G26" s="54">
        <f>F11</f>
        <v>17.706371482915145</v>
      </c>
      <c r="H26" s="54">
        <f t="array" ref="H26:H40">FREQUENCY(C6:C10005,G26:G40)</f>
        <v>1</v>
      </c>
      <c r="I26" s="54">
        <f>H26/$H$41</f>
        <v>1E-4</v>
      </c>
      <c r="J26" s="54">
        <f>+I26</f>
        <v>1E-4</v>
      </c>
      <c r="K26" s="6">
        <f>1-J26</f>
        <v>0.99990000000000001</v>
      </c>
      <c r="L26" s="54">
        <f>$F$19</f>
        <v>168.02523385790394</v>
      </c>
      <c r="M26" s="6">
        <f>$F$15</f>
        <v>105.57913847409218</v>
      </c>
      <c r="N26" s="6">
        <f>$F$16</f>
        <v>148.17587100243537</v>
      </c>
      <c r="O26" s="54">
        <f>$F$17</f>
        <v>209.70818677275503</v>
      </c>
      <c r="Q26" s="55">
        <f>GAMMADIST(G26,$F$6,$F$7,TRUE)</f>
        <v>8.6477200062545702E-4</v>
      </c>
      <c r="R26" s="8">
        <f>_xlfn.WEIBULL.DIST(G26,$G$6,$G$7,TRUE)</f>
        <v>6.1084278417525882E-3</v>
      </c>
      <c r="S26" s="8">
        <f>_xlfn.LOGNORM.DIST(G26,$H$6,$H$7,TRUE)</f>
        <v>1.3841379285124924E-5</v>
      </c>
      <c r="T26" s="8">
        <f>1-($I$7/($I$7+G26))^$I$6</f>
        <v>0.11916575522157002</v>
      </c>
      <c r="U26" s="55">
        <f>_xlfn.BETA.DIST(G26,$J$6,$J$7,TRUE,$F$11,$F$12)</f>
        <v>0</v>
      </c>
      <c r="V26" s="55">
        <f t="shared" ref="V26" si="0">_xlfn.T.DIST(G26,$K$6,TRUE)</f>
        <v>0.98204193885696012</v>
      </c>
      <c r="W26" s="55">
        <f>_xlfn.F.DIST(G26,$L$6,$L$7,TRUE)</f>
        <v>0.85146359604967103</v>
      </c>
      <c r="Y26" s="9">
        <f>(Q26-J26)^2</f>
        <v>5.8487621294066397E-7</v>
      </c>
      <c r="Z26" s="9">
        <f>(R26-J26)^2</f>
        <v>3.6101205129547665E-5</v>
      </c>
      <c r="AA26" s="9">
        <f>(S26-J26)^2</f>
        <v>7.423307923489702E-9</v>
      </c>
      <c r="AB26" s="9">
        <f>(T26-J26)^2</f>
        <v>1.4176654066482828E-2</v>
      </c>
      <c r="AC26" s="9">
        <f>(U26-J26)^2</f>
        <v>1E-8</v>
      </c>
      <c r="AD26" s="9">
        <f>(V26-J26)^2</f>
        <v>0.96420997128616603</v>
      </c>
      <c r="AE26" s="9">
        <f>(W26-J26)^2</f>
        <v>0.72481997267862741</v>
      </c>
      <c r="AG26" s="19">
        <f>G26</f>
        <v>17.706371482915145</v>
      </c>
      <c r="AH26" s="59">
        <f>J26</f>
        <v>1E-4</v>
      </c>
      <c r="AI26" s="18">
        <f>S26</f>
        <v>1.3841379285124924E-5</v>
      </c>
      <c r="AJ26" s="1">
        <f>ABS(AH26-AI26)</f>
        <v>8.6158620714875086E-5</v>
      </c>
    </row>
    <row r="27" spans="2:36" ht="16" thickBot="1" x14ac:dyDescent="0.25">
      <c r="B27" s="5">
        <v>22</v>
      </c>
      <c r="C27" s="5">
        <v>159.29989516983548</v>
      </c>
      <c r="D27" s="45"/>
      <c r="E27" s="7">
        <v>0</v>
      </c>
      <c r="F27" s="7">
        <v>1</v>
      </c>
      <c r="G27" s="93">
        <f>G26+$F$13/14</f>
        <v>89.616115924965285</v>
      </c>
      <c r="H27" s="7">
        <v>1568</v>
      </c>
      <c r="I27" s="93">
        <f>H27/$H$41</f>
        <v>0.15679999999999999</v>
      </c>
      <c r="J27" s="7">
        <f>+I27+J26</f>
        <v>0.15689999999999998</v>
      </c>
      <c r="K27" s="7">
        <f t="shared" ref="K27:K40" si="1">1-J27</f>
        <v>0.84309999999999996</v>
      </c>
      <c r="L27" s="7">
        <f t="shared" ref="L27:L40" si="2">$F$19</f>
        <v>168.02523385790394</v>
      </c>
      <c r="M27" s="7">
        <f t="shared" ref="M27:M40" si="3">$F$15</f>
        <v>105.57913847409218</v>
      </c>
      <c r="N27" s="7">
        <f t="shared" ref="N27:N40" si="4">$F$16</f>
        <v>148.17587100243537</v>
      </c>
      <c r="O27" s="7">
        <f t="shared" ref="O27:O40" si="5">$F$17</f>
        <v>209.70818677275503</v>
      </c>
      <c r="Q27" s="55">
        <f t="shared" ref="Q27:Q40" si="6">GAMMADIST(G27,$F$6,$F$7,TRUE)</f>
        <v>0.17109014156243232</v>
      </c>
      <c r="R27" s="8">
        <f t="shared" ref="R27:R40" si="7">_xlfn.WEIBULL.DIST(G27,$G$6,$G$7,TRUE)</f>
        <v>0.19021368801602978</v>
      </c>
      <c r="S27" s="8">
        <f t="shared" ref="S27:S40" si="8">_xlfn.LOGNORM.DIST(G27,$H$6,$H$7,TRUE)</f>
        <v>0.16263669010004853</v>
      </c>
      <c r="T27" s="8">
        <f t="shared" ref="T27:T40" si="9">1-($I$7/($I$7+G27))^$I$6</f>
        <v>0.47386582243090469</v>
      </c>
      <c r="U27" s="55">
        <f t="shared" ref="U27:U40" si="10">_xlfn.BETA.DIST(G27,$J$6,$J$7,TRUE,$F$11,$F$12)</f>
        <v>0.17270891010494224</v>
      </c>
      <c r="V27" s="55">
        <f t="shared" ref="V27:V40" si="11">_xlfn.T.DIST(G27,$K$6,TRUE)</f>
        <v>0.99644822058791216</v>
      </c>
      <c r="W27" s="55">
        <f t="shared" ref="W27:W40" si="12">_xlfn.F.DIST(G27,$L$6,$L$7,TRUE)</f>
        <v>0.93299928548098632</v>
      </c>
      <c r="Y27" s="9">
        <f t="shared" ref="Y27:Y40" si="13">(Q27-J27)^2</f>
        <v>2.0136011756186973E-4</v>
      </c>
      <c r="Z27" s="9">
        <f t="shared" ref="Z27:Z39" si="14">(R27-J27)^2</f>
        <v>1.1098018092293672E-3</v>
      </c>
      <c r="AA27" s="9">
        <f t="shared" ref="AA27:AA40" si="15">(S27-J27)^2</f>
        <v>3.2909613303994944E-5</v>
      </c>
      <c r="AB27" s="9">
        <f t="shared" ref="AB27:AB40" si="16">(T27-J27)^2</f>
        <v>0.10046733258929981</v>
      </c>
      <c r="AC27" s="9">
        <f t="shared" ref="AC27:AC40" si="17">(U27-J27)^2</f>
        <v>2.4992163870614544E-4</v>
      </c>
      <c r="AD27" s="9">
        <f t="shared" ref="AD27:AD40" si="18">(V27-J27)^2</f>
        <v>0.70484121469232952</v>
      </c>
      <c r="AE27" s="9">
        <f t="shared" ref="AE27:AE40" si="19">(W27-J27)^2</f>
        <v>0.60233010092409744</v>
      </c>
      <c r="AG27" s="19">
        <f>G27</f>
        <v>89.616115924965285</v>
      </c>
      <c r="AH27" s="59">
        <f t="shared" ref="AH27:AH40" si="20">J27</f>
        <v>0.15689999999999998</v>
      </c>
      <c r="AI27" s="18">
        <f>S27</f>
        <v>0.16263669010004853</v>
      </c>
      <c r="AJ27" s="1">
        <f>ABS(AH27-AI27)</f>
        <v>5.7366901000485415E-3</v>
      </c>
    </row>
    <row r="28" spans="2:36" ht="16" thickBot="1" x14ac:dyDescent="0.25">
      <c r="B28" s="4">
        <v>23</v>
      </c>
      <c r="C28" s="4">
        <v>319.87971440484273</v>
      </c>
      <c r="D28" s="45"/>
      <c r="E28" s="6">
        <v>0</v>
      </c>
      <c r="F28" s="6">
        <v>2</v>
      </c>
      <c r="G28" s="6">
        <f>G27+$F$13/14</f>
        <v>161.52586036701541</v>
      </c>
      <c r="H28" s="6">
        <v>4074</v>
      </c>
      <c r="I28" s="6">
        <f t="shared" ref="I27:I40" si="21">H28/$H$41</f>
        <v>0.40739999999999998</v>
      </c>
      <c r="J28" s="6">
        <f t="shared" ref="J28:J40" si="22">+I28+J27</f>
        <v>0.56430000000000002</v>
      </c>
      <c r="K28" s="6">
        <f t="shared" si="1"/>
        <v>0.43569999999999998</v>
      </c>
      <c r="L28" s="6">
        <f t="shared" si="2"/>
        <v>168.02523385790394</v>
      </c>
      <c r="M28" s="6">
        <f t="shared" si="3"/>
        <v>105.57913847409218</v>
      </c>
      <c r="N28" s="6">
        <f t="shared" si="4"/>
        <v>148.17587100243537</v>
      </c>
      <c r="O28" s="6">
        <f t="shared" si="5"/>
        <v>209.70818677275503</v>
      </c>
      <c r="Q28" s="55">
        <f t="shared" si="6"/>
        <v>0.54898093331390863</v>
      </c>
      <c r="R28" s="8">
        <f>_xlfn.WEIBULL.DIST(G28,$G$6,$G$7,TRUE)</f>
        <v>0.53382868694679442</v>
      </c>
      <c r="S28" s="8">
        <f t="shared" si="8"/>
        <v>0.57213258570200065</v>
      </c>
      <c r="T28" s="8">
        <f t="shared" si="9"/>
        <v>0.68573314379765438</v>
      </c>
      <c r="U28" s="55">
        <f t="shared" si="10"/>
        <v>0.54747343546348692</v>
      </c>
      <c r="V28" s="55">
        <f t="shared" si="11"/>
        <v>0.99802938168024846</v>
      </c>
      <c r="W28" s="55">
        <f t="shared" si="12"/>
        <v>0.95001205841623393</v>
      </c>
      <c r="Y28" s="9">
        <f t="shared" si="13"/>
        <v>2.3467380413291531E-4</v>
      </c>
      <c r="Z28" s="9">
        <f t="shared" si="14"/>
        <v>9.2850091918645836E-4</v>
      </c>
      <c r="AA28" s="9">
        <f t="shared" si="15"/>
        <v>6.1349398779184653E-5</v>
      </c>
      <c r="AB28" s="9">
        <f t="shared" si="16"/>
        <v>1.47460084125818E-2</v>
      </c>
      <c r="AC28" s="9">
        <f t="shared" si="17"/>
        <v>2.831332741014403E-4</v>
      </c>
      <c r="AD28" s="9">
        <f t="shared" si="18"/>
        <v>0.18812117653273064</v>
      </c>
      <c r="AE28" s="9">
        <f t="shared" si="19"/>
        <v>0.14877379200768823</v>
      </c>
      <c r="AG28" s="19">
        <f t="shared" ref="AG28:AG40" si="23">G28</f>
        <v>161.52586036701541</v>
      </c>
      <c r="AH28" s="59">
        <f>J28</f>
        <v>0.56430000000000002</v>
      </c>
      <c r="AI28" s="18">
        <f t="shared" ref="AI28:AI40" si="24">S28</f>
        <v>0.57213258570200065</v>
      </c>
      <c r="AJ28" s="1">
        <f t="shared" ref="AJ28:AJ40" si="25">ABS(AH28-AI28)</f>
        <v>7.8325857020006273E-3</v>
      </c>
    </row>
    <row r="29" spans="2:36" ht="16" thickBot="1" x14ac:dyDescent="0.25">
      <c r="B29" s="5">
        <v>24</v>
      </c>
      <c r="C29" s="5">
        <v>252.66885663702408</v>
      </c>
      <c r="D29" s="45"/>
      <c r="E29" s="7">
        <v>0</v>
      </c>
      <c r="F29" s="7">
        <v>3</v>
      </c>
      <c r="G29" s="7">
        <f t="shared" ref="G29:G40" si="26">G28+$F$13/14</f>
        <v>233.43560480906555</v>
      </c>
      <c r="H29" s="7">
        <v>2534</v>
      </c>
      <c r="I29" s="7">
        <f t="shared" si="21"/>
        <v>0.25340000000000001</v>
      </c>
      <c r="J29" s="7">
        <f t="shared" si="22"/>
        <v>0.81770000000000009</v>
      </c>
      <c r="K29" s="7">
        <f t="shared" si="1"/>
        <v>0.18229999999999991</v>
      </c>
      <c r="L29" s="7">
        <f t="shared" si="2"/>
        <v>168.02523385790394</v>
      </c>
      <c r="M29" s="7">
        <f t="shared" si="3"/>
        <v>105.57913847409218</v>
      </c>
      <c r="N29" s="7">
        <f t="shared" si="4"/>
        <v>148.17587100243537</v>
      </c>
      <c r="O29" s="7">
        <f t="shared" si="5"/>
        <v>209.70818677275503</v>
      </c>
      <c r="Q29" s="55">
        <f t="shared" si="6"/>
        <v>0.81777652307724624</v>
      </c>
      <c r="R29" s="8">
        <f t="shared" si="7"/>
        <v>0.81818528662553813</v>
      </c>
      <c r="S29" s="8">
        <f t="shared" si="8"/>
        <v>0.8186686460410505</v>
      </c>
      <c r="T29" s="8">
        <f t="shared" si="9"/>
        <v>0.81228422266559819</v>
      </c>
      <c r="U29" s="55">
        <f t="shared" si="10"/>
        <v>0.81706424912153253</v>
      </c>
      <c r="V29" s="55">
        <f t="shared" si="11"/>
        <v>0.99863642078363835</v>
      </c>
      <c r="W29" s="55">
        <f t="shared" si="12"/>
        <v>0.95839192980171262</v>
      </c>
      <c r="Y29" s="9">
        <f t="shared" si="13"/>
        <v>5.8557813512200759E-9</v>
      </c>
      <c r="Z29" s="9">
        <f t="shared" si="14"/>
        <v>2.3550310892609734E-7</v>
      </c>
      <c r="AA29" s="9">
        <f t="shared" si="15"/>
        <v>9.3827515284261858E-7</v>
      </c>
      <c r="AB29" s="9">
        <f t="shared" si="16"/>
        <v>2.9330644135821408E-5</v>
      </c>
      <c r="AC29" s="9">
        <f t="shared" si="17"/>
        <v>4.0417917947228307E-7</v>
      </c>
      <c r="AD29" s="9">
        <f t="shared" si="18"/>
        <v>3.27379883659938E-2</v>
      </c>
      <c r="AE29" s="9">
        <f t="shared" si="19"/>
        <v>1.9794219111330006E-2</v>
      </c>
      <c r="AG29" s="19">
        <f t="shared" si="23"/>
        <v>233.43560480906555</v>
      </c>
      <c r="AH29" s="59">
        <f t="shared" si="20"/>
        <v>0.81770000000000009</v>
      </c>
      <c r="AI29" s="18">
        <f t="shared" si="24"/>
        <v>0.8186686460410505</v>
      </c>
      <c r="AJ29" s="1">
        <f t="shared" si="25"/>
        <v>9.6864604105040275E-4</v>
      </c>
    </row>
    <row r="30" spans="2:36" ht="16" thickBot="1" x14ac:dyDescent="0.25">
      <c r="B30" s="4">
        <v>25</v>
      </c>
      <c r="C30" s="4">
        <v>173.12668968770322</v>
      </c>
      <c r="D30" s="45"/>
      <c r="E30" s="6">
        <v>0</v>
      </c>
      <c r="F30" s="6">
        <v>4</v>
      </c>
      <c r="G30" s="6">
        <f t="shared" si="26"/>
        <v>305.34534925111569</v>
      </c>
      <c r="H30" s="6">
        <v>1077</v>
      </c>
      <c r="I30" s="6">
        <f t="shared" si="21"/>
        <v>0.1077</v>
      </c>
      <c r="J30" s="6">
        <f t="shared" si="22"/>
        <v>0.92540000000000011</v>
      </c>
      <c r="K30" s="6">
        <f t="shared" si="1"/>
        <v>7.4599999999999889E-2</v>
      </c>
      <c r="L30" s="6">
        <f t="shared" si="2"/>
        <v>168.02523385790394</v>
      </c>
      <c r="M30" s="6">
        <f t="shared" si="3"/>
        <v>105.57913847409218</v>
      </c>
      <c r="N30" s="6">
        <f t="shared" si="4"/>
        <v>148.17587100243537</v>
      </c>
      <c r="O30" s="6">
        <f t="shared" si="5"/>
        <v>209.70818677275503</v>
      </c>
      <c r="Q30" s="55">
        <f t="shared" si="6"/>
        <v>0.93892841064869448</v>
      </c>
      <c r="R30" s="8">
        <f t="shared" si="7"/>
        <v>0.95326676648523556</v>
      </c>
      <c r="S30" s="8">
        <f t="shared" si="8"/>
        <v>0.92528592514405372</v>
      </c>
      <c r="T30" s="8">
        <f t="shared" si="9"/>
        <v>0.88787486697591733</v>
      </c>
      <c r="U30" s="55">
        <f t="shared" si="10"/>
        <v>0.94225921935666701</v>
      </c>
      <c r="V30" s="55">
        <f t="shared" si="11"/>
        <v>0.99895754512403301</v>
      </c>
      <c r="W30" s="55">
        <f t="shared" si="12"/>
        <v>0.96360757147704557</v>
      </c>
      <c r="Y30" s="9">
        <f t="shared" si="13"/>
        <v>1.8301789467970714E-4</v>
      </c>
      <c r="Z30" s="9">
        <f t="shared" si="14"/>
        <v>7.765566743426417E-4</v>
      </c>
      <c r="AA30" s="9">
        <f t="shared" si="15"/>
        <v>1.3013072759189376E-8</v>
      </c>
      <c r="AB30" s="9">
        <f t="shared" si="16"/>
        <v>1.408135608475108E-3</v>
      </c>
      <c r="AC30" s="9">
        <f t="shared" si="17"/>
        <v>2.8423327731621182E-4</v>
      </c>
      <c r="AD30" s="9">
        <f t="shared" si="18"/>
        <v>5.4107124446741359E-3</v>
      </c>
      <c r="AE30" s="9">
        <f t="shared" si="19"/>
        <v>1.4598185181735374E-3</v>
      </c>
      <c r="AG30" s="19">
        <f t="shared" si="23"/>
        <v>305.34534925111569</v>
      </c>
      <c r="AH30" s="59">
        <f t="shared" si="20"/>
        <v>0.92540000000000011</v>
      </c>
      <c r="AI30" s="18">
        <f t="shared" si="24"/>
        <v>0.92528592514405372</v>
      </c>
      <c r="AJ30" s="1">
        <f t="shared" si="25"/>
        <v>1.1407485594638889E-4</v>
      </c>
    </row>
    <row r="31" spans="2:36" ht="16" thickBot="1" x14ac:dyDescent="0.25">
      <c r="B31" s="5">
        <v>26</v>
      </c>
      <c r="C31" s="5">
        <v>91.067680442799869</v>
      </c>
      <c r="D31" s="45"/>
      <c r="E31" s="7">
        <v>0</v>
      </c>
      <c r="F31" s="7">
        <v>5</v>
      </c>
      <c r="G31" s="93">
        <f>G30+$F$13/14</f>
        <v>377.2550936931658</v>
      </c>
      <c r="H31" s="7">
        <v>429</v>
      </c>
      <c r="I31" s="7">
        <f t="shared" si="21"/>
        <v>4.2900000000000001E-2</v>
      </c>
      <c r="J31" s="7">
        <f t="shared" si="22"/>
        <v>0.96830000000000016</v>
      </c>
      <c r="K31" s="7">
        <f t="shared" si="1"/>
        <v>3.1699999999999839E-2</v>
      </c>
      <c r="L31" s="7">
        <f t="shared" si="2"/>
        <v>168.02523385790394</v>
      </c>
      <c r="M31" s="7">
        <f t="shared" si="3"/>
        <v>105.57913847409218</v>
      </c>
      <c r="N31" s="7">
        <f t="shared" si="4"/>
        <v>148.17587100243537</v>
      </c>
      <c r="O31" s="7">
        <f t="shared" si="5"/>
        <v>209.70818677275503</v>
      </c>
      <c r="Q31" s="55">
        <f t="shared" si="6"/>
        <v>0.98191962590647552</v>
      </c>
      <c r="R31" s="8">
        <f t="shared" si="7"/>
        <v>0.99224917637841881</v>
      </c>
      <c r="S31" s="8">
        <f t="shared" si="8"/>
        <v>0.96855191928262174</v>
      </c>
      <c r="T31" s="8">
        <f t="shared" si="9"/>
        <v>0.93302614541311113</v>
      </c>
      <c r="U31" s="55">
        <f t="shared" si="10"/>
        <v>0.98561885948360728</v>
      </c>
      <c r="V31" s="55">
        <f t="shared" si="11"/>
        <v>0.9991562495881714</v>
      </c>
      <c r="W31" s="55">
        <f t="shared" si="12"/>
        <v>0.96725241523701344</v>
      </c>
      <c r="Y31" s="9">
        <f t="shared" si="13"/>
        <v>1.8549420983233485E-4</v>
      </c>
      <c r="Z31" s="9">
        <f t="shared" si="14"/>
        <v>5.7356304920460569E-4</v>
      </c>
      <c r="AA31" s="9">
        <f t="shared" si="15"/>
        <v>6.3463324956572573E-8</v>
      </c>
      <c r="AB31" s="9">
        <f t="shared" si="16"/>
        <v>1.2442448174169924E-3</v>
      </c>
      <c r="AC31" s="9">
        <f t="shared" si="17"/>
        <v>2.9994289381292822E-4</v>
      </c>
      <c r="AD31" s="9">
        <f t="shared" si="18"/>
        <v>9.5210813864751763E-4</v>
      </c>
      <c r="AE31" s="9">
        <f t="shared" si="19"/>
        <v>1.0974338356419416E-6</v>
      </c>
      <c r="AG31" s="19">
        <f t="shared" si="23"/>
        <v>377.2550936931658</v>
      </c>
      <c r="AH31" s="59">
        <f t="shared" si="20"/>
        <v>0.96830000000000016</v>
      </c>
      <c r="AI31" s="18">
        <f t="shared" si="24"/>
        <v>0.96855191928262174</v>
      </c>
      <c r="AJ31" s="1">
        <f t="shared" si="25"/>
        <v>2.5191928262158214E-4</v>
      </c>
    </row>
    <row r="32" spans="2:36" ht="16" thickBot="1" x14ac:dyDescent="0.25">
      <c r="B32" s="4">
        <v>27</v>
      </c>
      <c r="C32" s="4">
        <v>411.92312158924994</v>
      </c>
      <c r="D32" s="45"/>
      <c r="E32" s="6">
        <v>0</v>
      </c>
      <c r="F32" s="6">
        <v>6</v>
      </c>
      <c r="G32" s="6">
        <f t="shared" si="26"/>
        <v>449.16483813521597</v>
      </c>
      <c r="H32" s="6">
        <v>191</v>
      </c>
      <c r="I32" s="6">
        <f t="shared" si="21"/>
        <v>1.9099999999999999E-2</v>
      </c>
      <c r="J32" s="6">
        <f t="shared" si="22"/>
        <v>0.98740000000000017</v>
      </c>
      <c r="K32" s="6">
        <f t="shared" si="1"/>
        <v>1.2599999999999834E-2</v>
      </c>
      <c r="L32" s="6">
        <f t="shared" si="2"/>
        <v>168.02523385790394</v>
      </c>
      <c r="M32" s="6">
        <f t="shared" si="3"/>
        <v>105.57913847409218</v>
      </c>
      <c r="N32" s="54">
        <f>$F$16</f>
        <v>148.17587100243537</v>
      </c>
      <c r="O32" s="6">
        <f t="shared" si="5"/>
        <v>209.70818677275503</v>
      </c>
      <c r="Q32" s="55">
        <f t="shared" si="6"/>
        <v>0.9950950690058622</v>
      </c>
      <c r="R32" s="8">
        <f t="shared" si="7"/>
        <v>0.99918480226040518</v>
      </c>
      <c r="S32" s="8">
        <f t="shared" si="8"/>
        <v>0.98627569816107308</v>
      </c>
      <c r="T32" s="8">
        <f t="shared" si="9"/>
        <v>0.95999563682094557</v>
      </c>
      <c r="U32" s="55">
        <f t="shared" si="10"/>
        <v>0.99722053203885175</v>
      </c>
      <c r="V32" s="55">
        <f t="shared" si="11"/>
        <v>0.9992913306357869</v>
      </c>
      <c r="W32" s="55">
        <f t="shared" si="12"/>
        <v>0.96998383112281483</v>
      </c>
      <c r="Y32" s="9">
        <f t="shared" si="13"/>
        <v>5.9214087004978477E-5</v>
      </c>
      <c r="Z32" s="9">
        <f t="shared" si="14"/>
        <v>1.3888156431684712E-4</v>
      </c>
      <c r="AA32" s="9">
        <f t="shared" si="15"/>
        <v>1.2640546250148332E-6</v>
      </c>
      <c r="AB32" s="9">
        <f t="shared" si="16"/>
        <v>7.5099912124952303E-4</v>
      </c>
      <c r="AC32" s="9">
        <f t="shared" si="17"/>
        <v>9.6442849526110397E-5</v>
      </c>
      <c r="AD32" s="9">
        <f t="shared" si="18"/>
        <v>1.4140374428960013E-4</v>
      </c>
      <c r="AE32" s="9">
        <f t="shared" si="19"/>
        <v>3.0332293835863908E-4</v>
      </c>
      <c r="AG32" s="19">
        <f t="shared" si="23"/>
        <v>449.16483813521597</v>
      </c>
      <c r="AH32" s="59">
        <f t="shared" si="20"/>
        <v>0.98740000000000017</v>
      </c>
      <c r="AI32" s="18">
        <f t="shared" si="24"/>
        <v>0.98627569816107308</v>
      </c>
      <c r="AJ32" s="1">
        <f t="shared" si="25"/>
        <v>1.1243018389270887E-3</v>
      </c>
    </row>
    <row r="33" spans="2:36" ht="16" thickBot="1" x14ac:dyDescent="0.25">
      <c r="B33" s="5">
        <v>28</v>
      </c>
      <c r="C33" s="5">
        <v>87.579975570408664</v>
      </c>
      <c r="D33" s="45"/>
      <c r="E33" s="7">
        <v>1</v>
      </c>
      <c r="F33" s="7">
        <v>7</v>
      </c>
      <c r="G33" s="7">
        <f t="shared" si="26"/>
        <v>521.07458257726614</v>
      </c>
      <c r="H33" s="7">
        <v>76</v>
      </c>
      <c r="I33" s="7">
        <f t="shared" si="21"/>
        <v>7.6E-3</v>
      </c>
      <c r="J33" s="7">
        <f t="shared" si="22"/>
        <v>0.99500000000000022</v>
      </c>
      <c r="K33" s="7">
        <f t="shared" si="1"/>
        <v>4.9999999999997824E-3</v>
      </c>
      <c r="L33" s="7">
        <f t="shared" si="2"/>
        <v>168.02523385790394</v>
      </c>
      <c r="M33" s="7">
        <f t="shared" si="3"/>
        <v>105.57913847409218</v>
      </c>
      <c r="N33" s="7">
        <f t="shared" si="4"/>
        <v>148.17587100243537</v>
      </c>
      <c r="O33" s="7">
        <f t="shared" si="5"/>
        <v>209.70818677275503</v>
      </c>
      <c r="Q33" s="55">
        <f t="shared" si="6"/>
        <v>0.99875257402631057</v>
      </c>
      <c r="R33" s="8">
        <f t="shared" si="7"/>
        <v>0.99994642693258817</v>
      </c>
      <c r="S33" s="8">
        <f t="shared" si="8"/>
        <v>0.99377040326073918</v>
      </c>
      <c r="T33" s="8">
        <f t="shared" si="9"/>
        <v>0.97610486126765983</v>
      </c>
      <c r="U33" s="55">
        <f t="shared" si="10"/>
        <v>0.99959983235757666</v>
      </c>
      <c r="V33" s="55">
        <f t="shared" si="11"/>
        <v>0.99938912872350594</v>
      </c>
      <c r="W33" s="55">
        <f t="shared" si="12"/>
        <v>0.97212899756086246</v>
      </c>
      <c r="Y33" s="9">
        <f t="shared" si="13"/>
        <v>1.4081811822939081E-5</v>
      </c>
      <c r="Z33" s="9">
        <f t="shared" si="14"/>
        <v>2.4467139399431486E-5</v>
      </c>
      <c r="AA33" s="9">
        <f t="shared" si="15"/>
        <v>1.5119081412013839E-6</v>
      </c>
      <c r="AB33" s="9">
        <f t="shared" si="16"/>
        <v>3.5702626771438997E-4</v>
      </c>
      <c r="AC33" s="9">
        <f t="shared" si="17"/>
        <v>2.1158457717807219E-5</v>
      </c>
      <c r="AD33" s="9">
        <f t="shared" si="18"/>
        <v>1.926445095150295E-5</v>
      </c>
      <c r="AE33" s="9">
        <f t="shared" si="19"/>
        <v>5.230827525710451E-4</v>
      </c>
      <c r="AG33" s="19">
        <f t="shared" si="23"/>
        <v>521.07458257726614</v>
      </c>
      <c r="AH33" s="59">
        <f t="shared" si="20"/>
        <v>0.99500000000000022</v>
      </c>
      <c r="AI33" s="18">
        <f t="shared" si="24"/>
        <v>0.99377040326073918</v>
      </c>
      <c r="AJ33" s="1">
        <f t="shared" si="25"/>
        <v>1.2295967392610407E-3</v>
      </c>
    </row>
    <row r="34" spans="2:36" ht="16" thickBot="1" x14ac:dyDescent="0.25">
      <c r="B34" s="4">
        <v>29</v>
      </c>
      <c r="C34" s="4">
        <v>349.19302600540544</v>
      </c>
      <c r="D34" s="45"/>
      <c r="E34" s="6">
        <v>1</v>
      </c>
      <c r="F34" s="6">
        <v>8</v>
      </c>
      <c r="G34" s="6">
        <f t="shared" si="26"/>
        <v>592.98432701931631</v>
      </c>
      <c r="H34" s="6">
        <v>22</v>
      </c>
      <c r="I34" s="6">
        <f t="shared" si="21"/>
        <v>2.2000000000000001E-3</v>
      </c>
      <c r="J34" s="6">
        <f t="shared" si="22"/>
        <v>0.9972000000000002</v>
      </c>
      <c r="K34" s="6">
        <f t="shared" si="1"/>
        <v>2.7999999999998026E-3</v>
      </c>
      <c r="L34" s="6">
        <f t="shared" si="2"/>
        <v>168.02523385790394</v>
      </c>
      <c r="M34" s="6">
        <f t="shared" si="3"/>
        <v>105.57913847409218</v>
      </c>
      <c r="N34" s="6">
        <f t="shared" si="4"/>
        <v>148.17587100243537</v>
      </c>
      <c r="O34" s="6">
        <f t="shared" si="5"/>
        <v>209.70818677275503</v>
      </c>
      <c r="Q34" s="55">
        <f t="shared" si="6"/>
        <v>0.99969809305282453</v>
      </c>
      <c r="R34" s="8">
        <f t="shared" si="7"/>
        <v>0.99999782843638474</v>
      </c>
      <c r="S34" s="8">
        <f t="shared" si="8"/>
        <v>0.99706190068962286</v>
      </c>
      <c r="T34" s="8">
        <f t="shared" si="9"/>
        <v>0.98572711128047219</v>
      </c>
      <c r="U34" s="55">
        <f t="shared" si="10"/>
        <v>0.99996001399893619</v>
      </c>
      <c r="V34" s="55">
        <f t="shared" si="11"/>
        <v>0.9994632074239842</v>
      </c>
      <c r="W34" s="55">
        <f t="shared" si="12"/>
        <v>0.97387149480790403</v>
      </c>
      <c r="Y34" s="9">
        <f t="shared" si="13"/>
        <v>6.2404689005692062E-6</v>
      </c>
      <c r="Z34" s="9">
        <f t="shared" si="14"/>
        <v>7.8278439594419705E-6</v>
      </c>
      <c r="AA34" s="9">
        <f t="shared" si="15"/>
        <v>1.9071419526696221E-8</v>
      </c>
      <c r="AB34" s="9">
        <f t="shared" si="16"/>
        <v>1.3162717557067298E-4</v>
      </c>
      <c r="AC34" s="9">
        <f t="shared" si="17"/>
        <v>7.6176772743226631E-6</v>
      </c>
      <c r="AD34" s="9">
        <f t="shared" si="18"/>
        <v>5.1221078439763107E-6</v>
      </c>
      <c r="AE34" s="9">
        <f t="shared" si="19"/>
        <v>5.4421915449765802E-4</v>
      </c>
      <c r="AG34" s="19">
        <f>G34</f>
        <v>592.98432701931631</v>
      </c>
      <c r="AH34" s="59">
        <f t="shared" si="20"/>
        <v>0.9972000000000002</v>
      </c>
      <c r="AI34" s="18">
        <f t="shared" si="24"/>
        <v>0.99706190068962286</v>
      </c>
      <c r="AJ34" s="1">
        <f t="shared" si="25"/>
        <v>1.3809931037733758E-4</v>
      </c>
    </row>
    <row r="35" spans="2:36" ht="16" thickBot="1" x14ac:dyDescent="0.25">
      <c r="B35" s="5">
        <v>30</v>
      </c>
      <c r="C35" s="5">
        <v>95.770703827938192</v>
      </c>
      <c r="D35" s="45"/>
      <c r="E35" s="7">
        <v>1</v>
      </c>
      <c r="F35" s="7">
        <v>9</v>
      </c>
      <c r="G35" s="7">
        <f t="shared" si="26"/>
        <v>664.89407146136648</v>
      </c>
      <c r="H35" s="7">
        <v>21</v>
      </c>
      <c r="I35" s="7">
        <f t="shared" si="21"/>
        <v>2.0999999999999999E-3</v>
      </c>
      <c r="J35" s="7">
        <f t="shared" si="22"/>
        <v>0.99930000000000019</v>
      </c>
      <c r="K35" s="7">
        <f t="shared" si="1"/>
        <v>6.9999999999981188E-4</v>
      </c>
      <c r="L35" s="7">
        <f t="shared" si="2"/>
        <v>168.02523385790394</v>
      </c>
      <c r="M35" s="7">
        <f t="shared" si="3"/>
        <v>105.57913847409218</v>
      </c>
      <c r="N35" s="7">
        <f t="shared" si="4"/>
        <v>148.17587100243537</v>
      </c>
      <c r="O35" s="7">
        <f t="shared" si="5"/>
        <v>209.70818677275503</v>
      </c>
      <c r="Q35" s="55">
        <f t="shared" si="6"/>
        <v>0.99992973942893948</v>
      </c>
      <c r="R35" s="8">
        <f t="shared" si="7"/>
        <v>0.99999994633126432</v>
      </c>
      <c r="S35" s="8">
        <f t="shared" si="8"/>
        <v>0.99856368282474439</v>
      </c>
      <c r="T35" s="8">
        <f t="shared" si="9"/>
        <v>0.99147461354477995</v>
      </c>
      <c r="U35" s="55">
        <f t="shared" si="10"/>
        <v>0.99999753375001288</v>
      </c>
      <c r="V35" s="55">
        <f t="shared" si="11"/>
        <v>0.99952126261935603</v>
      </c>
      <c r="W35" s="55">
        <f t="shared" si="12"/>
        <v>0.97532334392249986</v>
      </c>
      <c r="Y35" s="9">
        <f t="shared" si="13"/>
        <v>3.9657174836078436E-7</v>
      </c>
      <c r="Z35" s="9">
        <f t="shared" si="14"/>
        <v>4.8992486665012093E-7</v>
      </c>
      <c r="AA35" s="9">
        <f t="shared" si="15"/>
        <v>5.421629825766749E-7</v>
      </c>
      <c r="AB35" s="9">
        <f t="shared" si="16"/>
        <v>6.1236673173544395E-5</v>
      </c>
      <c r="AC35" s="9">
        <f t="shared" si="17"/>
        <v>4.8655333240676729E-7</v>
      </c>
      <c r="AD35" s="9">
        <f t="shared" si="18"/>
        <v>4.8957146724209219E-8</v>
      </c>
      <c r="AE35" s="9">
        <f t="shared" si="19"/>
        <v>5.7488003665873328E-4</v>
      </c>
      <c r="AG35" s="19">
        <f t="shared" si="23"/>
        <v>664.89407146136648</v>
      </c>
      <c r="AH35" s="59">
        <f t="shared" si="20"/>
        <v>0.99930000000000019</v>
      </c>
      <c r="AI35" s="18">
        <f t="shared" si="24"/>
        <v>0.99856368282474439</v>
      </c>
      <c r="AJ35" s="1">
        <f t="shared" si="25"/>
        <v>7.3631717525579621E-4</v>
      </c>
    </row>
    <row r="36" spans="2:36" ht="16" thickBot="1" x14ac:dyDescent="0.25">
      <c r="B36" s="4">
        <v>31</v>
      </c>
      <c r="C36" s="4">
        <v>114.18332073581816</v>
      </c>
      <c r="D36" s="45"/>
      <c r="E36" s="6">
        <v>1</v>
      </c>
      <c r="F36" s="6">
        <v>10</v>
      </c>
      <c r="G36" s="6">
        <f t="shared" si="26"/>
        <v>736.80381590341665</v>
      </c>
      <c r="H36" s="6">
        <v>3</v>
      </c>
      <c r="I36" s="6">
        <f t="shared" si="21"/>
        <v>2.9999999999999997E-4</v>
      </c>
      <c r="J36" s="6">
        <f t="shared" si="22"/>
        <v>0.99960000000000016</v>
      </c>
      <c r="K36" s="6">
        <f t="shared" si="1"/>
        <v>3.9999999999984492E-4</v>
      </c>
      <c r="L36" s="6">
        <f t="shared" si="2"/>
        <v>168.02523385790394</v>
      </c>
      <c r="M36" s="6">
        <f t="shared" si="3"/>
        <v>105.57913847409218</v>
      </c>
      <c r="N36" s="6">
        <f t="shared" si="4"/>
        <v>148.17587100243537</v>
      </c>
      <c r="O36" s="6">
        <f t="shared" si="5"/>
        <v>209.70818677275503</v>
      </c>
      <c r="Q36" s="55">
        <f t="shared" si="6"/>
        <v>0.99998415965750409</v>
      </c>
      <c r="R36" s="8">
        <f t="shared" si="7"/>
        <v>0.99999999919970406</v>
      </c>
      <c r="S36" s="8">
        <f t="shared" si="8"/>
        <v>0.9992742499836631</v>
      </c>
      <c r="T36" s="8">
        <f t="shared" si="9"/>
        <v>0.99490767467448005</v>
      </c>
      <c r="U36" s="55">
        <f t="shared" si="10"/>
        <v>0.99999992329762299</v>
      </c>
      <c r="V36" s="55">
        <f t="shared" si="11"/>
        <v>0.99956798582761353</v>
      </c>
      <c r="W36" s="55">
        <f t="shared" si="12"/>
        <v>0.97655728927923535</v>
      </c>
      <c r="Y36" s="9">
        <f t="shared" si="13"/>
        <v>1.475786424535408E-7</v>
      </c>
      <c r="Z36" s="9">
        <f t="shared" si="14"/>
        <v>1.599993597637639E-7</v>
      </c>
      <c r="AA36" s="9">
        <f t="shared" si="15"/>
        <v>1.0611307314359248E-7</v>
      </c>
      <c r="AB36" s="9">
        <f t="shared" si="16"/>
        <v>2.2017916960517387E-5</v>
      </c>
      <c r="AC36" s="9">
        <f t="shared" si="17"/>
        <v>1.5993864398152628E-7</v>
      </c>
      <c r="AD36" s="9">
        <f t="shared" si="18"/>
        <v>1.0249072336008388E-9</v>
      </c>
      <c r="AE36" s="9">
        <f t="shared" si="19"/>
        <v>5.3096651736084916E-4</v>
      </c>
      <c r="AG36" s="19">
        <f t="shared" si="23"/>
        <v>736.80381590341665</v>
      </c>
      <c r="AH36" s="59">
        <f t="shared" si="20"/>
        <v>0.99960000000000016</v>
      </c>
      <c r="AI36" s="18">
        <f t="shared" si="24"/>
        <v>0.9992742499836631</v>
      </c>
      <c r="AJ36" s="1">
        <f t="shared" si="25"/>
        <v>3.2575001633705636E-4</v>
      </c>
    </row>
    <row r="37" spans="2:36" ht="16" thickBot="1" x14ac:dyDescent="0.25">
      <c r="B37" s="5">
        <v>32</v>
      </c>
      <c r="C37" s="5">
        <v>182.32774195257045</v>
      </c>
      <c r="D37" s="45"/>
      <c r="E37" s="7">
        <v>1</v>
      </c>
      <c r="F37" s="7">
        <v>11</v>
      </c>
      <c r="G37" s="7">
        <f t="shared" si="26"/>
        <v>808.71356034546682</v>
      </c>
      <c r="H37" s="7">
        <v>3</v>
      </c>
      <c r="I37" s="7">
        <f t="shared" si="21"/>
        <v>2.9999999999999997E-4</v>
      </c>
      <c r="J37" s="7">
        <f t="shared" si="22"/>
        <v>0.99990000000000012</v>
      </c>
      <c r="K37" s="7">
        <f t="shared" si="1"/>
        <v>9.9999999999877964E-5</v>
      </c>
      <c r="L37" s="7">
        <f t="shared" si="2"/>
        <v>168.02523385790394</v>
      </c>
      <c r="M37" s="7">
        <f t="shared" si="3"/>
        <v>105.57913847409218</v>
      </c>
      <c r="N37" s="7">
        <f t="shared" si="4"/>
        <v>148.17587100243537</v>
      </c>
      <c r="O37" s="7">
        <f t="shared" si="5"/>
        <v>209.70818677275503</v>
      </c>
      <c r="Q37" s="55">
        <f t="shared" si="6"/>
        <v>0.9999965212015397</v>
      </c>
      <c r="R37" s="8">
        <f t="shared" si="7"/>
        <v>0.99999999999286815</v>
      </c>
      <c r="S37" s="8">
        <f t="shared" si="8"/>
        <v>0.9996220206152705</v>
      </c>
      <c r="T37" s="8">
        <f t="shared" si="9"/>
        <v>0.99695828538652975</v>
      </c>
      <c r="U37" s="55">
        <f t="shared" si="10"/>
        <v>0.99999999918065918</v>
      </c>
      <c r="V37" s="55">
        <f t="shared" si="11"/>
        <v>0.99960639991764833</v>
      </c>
      <c r="W37" s="55">
        <f t="shared" si="12"/>
        <v>0.97762289756974474</v>
      </c>
      <c r="Y37" s="9">
        <f t="shared" si="13"/>
        <v>9.3163423466440055E-9</v>
      </c>
      <c r="Z37" s="9">
        <f t="shared" si="14"/>
        <v>9.9999985736055101E-9</v>
      </c>
      <c r="AA37" s="9">
        <f t="shared" si="15"/>
        <v>7.7272538334658533E-8</v>
      </c>
      <c r="AB37" s="9">
        <f t="shared" si="16"/>
        <v>8.6536848671051271E-6</v>
      </c>
      <c r="AC37" s="9">
        <f t="shared" si="17"/>
        <v>9.9998361324834299E-9</v>
      </c>
      <c r="AD37" s="9">
        <f t="shared" si="18"/>
        <v>8.6201008356981991E-8</v>
      </c>
      <c r="AE37" s="9">
        <f t="shared" si="19"/>
        <v>4.9626929268809016E-4</v>
      </c>
      <c r="AG37" s="19">
        <f t="shared" si="23"/>
        <v>808.71356034546682</v>
      </c>
      <c r="AH37" s="59">
        <f t="shared" si="20"/>
        <v>0.99990000000000012</v>
      </c>
      <c r="AI37" s="18">
        <f t="shared" si="24"/>
        <v>0.9996220206152705</v>
      </c>
      <c r="AJ37" s="1">
        <f t="shared" si="25"/>
        <v>2.779793847296208E-4</v>
      </c>
    </row>
    <row r="38" spans="2:36" ht="16" thickBot="1" x14ac:dyDescent="0.25">
      <c r="B38" s="4">
        <v>33</v>
      </c>
      <c r="C38" s="4">
        <v>397.96351029794602</v>
      </c>
      <c r="D38" s="45"/>
      <c r="E38" s="6">
        <v>1</v>
      </c>
      <c r="F38" s="6">
        <v>12</v>
      </c>
      <c r="G38" s="6">
        <f t="shared" si="26"/>
        <v>880.62330478751699</v>
      </c>
      <c r="H38" s="6">
        <v>0</v>
      </c>
      <c r="I38" s="6">
        <f t="shared" si="21"/>
        <v>0</v>
      </c>
      <c r="J38" s="6">
        <f t="shared" si="22"/>
        <v>0.99990000000000012</v>
      </c>
      <c r="K38" s="6">
        <f t="shared" si="1"/>
        <v>9.9999999999877964E-5</v>
      </c>
      <c r="L38" s="6">
        <f t="shared" si="2"/>
        <v>168.02523385790394</v>
      </c>
      <c r="M38" s="6">
        <f t="shared" si="3"/>
        <v>105.57913847409218</v>
      </c>
      <c r="N38" s="6">
        <f t="shared" si="4"/>
        <v>148.17587100243537</v>
      </c>
      <c r="O38" s="6">
        <f t="shared" si="5"/>
        <v>209.70818677275503</v>
      </c>
      <c r="Q38" s="55">
        <f t="shared" si="6"/>
        <v>0.99999925263838618</v>
      </c>
      <c r="R38" s="8">
        <f t="shared" si="7"/>
        <v>0.99999999999996236</v>
      </c>
      <c r="S38" s="8">
        <f t="shared" si="8"/>
        <v>0.99979761905039377</v>
      </c>
      <c r="T38" s="8">
        <f t="shared" si="9"/>
        <v>0.9981831433658489</v>
      </c>
      <c r="U38" s="55">
        <f t="shared" si="10"/>
        <v>0.99999999999873657</v>
      </c>
      <c r="V38" s="55">
        <f t="shared" si="11"/>
        <v>0.99963854039788214</v>
      </c>
      <c r="W38" s="55">
        <f t="shared" si="12"/>
        <v>0.97855526284414518</v>
      </c>
      <c r="Y38" s="9">
        <f t="shared" si="13"/>
        <v>9.8510862265940612E-9</v>
      </c>
      <c r="Z38" s="9">
        <f t="shared" si="14"/>
        <v>9.9999999924482813E-9</v>
      </c>
      <c r="AA38" s="9">
        <f t="shared" si="15"/>
        <v>1.0481858842298187E-8</v>
      </c>
      <c r="AB38" s="9">
        <f t="shared" si="16"/>
        <v>2.9475967022290572E-6</v>
      </c>
      <c r="AC38" s="9">
        <f t="shared" si="17"/>
        <v>9.9999997472888338E-9</v>
      </c>
      <c r="AD38" s="9">
        <f t="shared" si="18"/>
        <v>6.8361123539695561E-8</v>
      </c>
      <c r="AE38" s="9">
        <f t="shared" si="19"/>
        <v>4.5559780425253455E-4</v>
      </c>
      <c r="AG38" s="19">
        <f t="shared" si="23"/>
        <v>880.62330478751699</v>
      </c>
      <c r="AH38" s="59">
        <f t="shared" si="20"/>
        <v>0.99990000000000012</v>
      </c>
      <c r="AI38" s="18">
        <f t="shared" si="24"/>
        <v>0.99979761905039377</v>
      </c>
      <c r="AJ38" s="1">
        <f t="shared" si="25"/>
        <v>1.0238094960635102E-4</v>
      </c>
    </row>
    <row r="39" spans="2:36" ht="16" thickBot="1" x14ac:dyDescent="0.25">
      <c r="B39" s="5">
        <v>34</v>
      </c>
      <c r="C39" s="5">
        <v>254.84495205879756</v>
      </c>
      <c r="D39" s="45"/>
      <c r="E39" s="7">
        <v>1</v>
      </c>
      <c r="F39" s="7">
        <v>13</v>
      </c>
      <c r="G39" s="7">
        <f t="shared" si="26"/>
        <v>952.53304922956715</v>
      </c>
      <c r="H39" s="7">
        <v>0</v>
      </c>
      <c r="I39" s="7">
        <f t="shared" si="21"/>
        <v>0</v>
      </c>
      <c r="J39" s="7">
        <f t="shared" si="22"/>
        <v>0.99990000000000012</v>
      </c>
      <c r="K39" s="7">
        <f t="shared" si="1"/>
        <v>9.9999999999877964E-5</v>
      </c>
      <c r="L39" s="7">
        <f t="shared" si="2"/>
        <v>168.02523385790394</v>
      </c>
      <c r="M39" s="7">
        <f t="shared" si="3"/>
        <v>105.57913847409218</v>
      </c>
      <c r="N39" s="7">
        <f t="shared" si="4"/>
        <v>148.17587100243537</v>
      </c>
      <c r="O39" s="7">
        <f t="shared" si="5"/>
        <v>209.70818677275503</v>
      </c>
      <c r="Q39" s="55">
        <f t="shared" si="6"/>
        <v>0.99999984242413975</v>
      </c>
      <c r="R39" s="8">
        <f t="shared" si="7"/>
        <v>0.99999999999999989</v>
      </c>
      <c r="S39" s="8">
        <f t="shared" si="8"/>
        <v>0.99988885926890625</v>
      </c>
      <c r="T39" s="8">
        <f t="shared" si="9"/>
        <v>0.99891476702286064</v>
      </c>
      <c r="U39" s="55">
        <f t="shared" si="10"/>
        <v>1</v>
      </c>
      <c r="V39" s="55">
        <f t="shared" si="11"/>
        <v>0.99966582811011151</v>
      </c>
      <c r="W39" s="55">
        <f t="shared" si="12"/>
        <v>0.97938002251267853</v>
      </c>
      <c r="Y39" s="9">
        <f t="shared" si="13"/>
        <v>9.9685096580775641E-9</v>
      </c>
      <c r="Z39" s="9">
        <f t="shared" si="14"/>
        <v>9.9999999999533886E-9</v>
      </c>
      <c r="AA39" s="9">
        <f t="shared" si="15"/>
        <v>1.2411588930598205E-10</v>
      </c>
      <c r="AB39" s="9">
        <f t="shared" si="16"/>
        <v>9.7068401924312898E-7</v>
      </c>
      <c r="AC39" s="9">
        <f t="shared" si="17"/>
        <v>9.9999999999755934E-9</v>
      </c>
      <c r="AD39" s="9">
        <f t="shared" si="18"/>
        <v>5.4836474014004447E-8</v>
      </c>
      <c r="AE39" s="9">
        <f t="shared" si="19"/>
        <v>4.2106947608018508E-4</v>
      </c>
      <c r="AG39" s="19">
        <f t="shared" si="23"/>
        <v>952.53304922956715</v>
      </c>
      <c r="AH39" s="59">
        <f t="shared" si="20"/>
        <v>0.99990000000000012</v>
      </c>
      <c r="AI39" s="18">
        <f t="shared" si="24"/>
        <v>0.99988885926890625</v>
      </c>
      <c r="AJ39" s="1">
        <f t="shared" si="25"/>
        <v>1.1140731093872702E-5</v>
      </c>
    </row>
    <row r="40" spans="2:36" ht="16" thickBot="1" x14ac:dyDescent="0.25">
      <c r="B40" s="4">
        <v>35</v>
      </c>
      <c r="C40" s="4">
        <v>255.92377495201501</v>
      </c>
      <c r="D40" s="45"/>
      <c r="E40" s="6">
        <v>1</v>
      </c>
      <c r="F40" s="6">
        <v>14</v>
      </c>
      <c r="G40" s="6">
        <f t="shared" si="26"/>
        <v>1024.4427936716172</v>
      </c>
      <c r="H40" s="6">
        <v>1</v>
      </c>
      <c r="I40" s="6">
        <f t="shared" si="21"/>
        <v>1E-4</v>
      </c>
      <c r="J40" s="6">
        <f t="shared" si="22"/>
        <v>1.0000000000000002</v>
      </c>
      <c r="K40" s="6">
        <f t="shared" si="1"/>
        <v>0</v>
      </c>
      <c r="L40" s="6">
        <f t="shared" si="2"/>
        <v>168.02523385790394</v>
      </c>
      <c r="M40" s="6">
        <f t="shared" si="3"/>
        <v>105.57913847409218</v>
      </c>
      <c r="N40" s="6">
        <f t="shared" si="4"/>
        <v>148.17587100243537</v>
      </c>
      <c r="O40" s="6">
        <f t="shared" si="5"/>
        <v>209.70818677275503</v>
      </c>
      <c r="Q40" s="55">
        <f t="shared" si="6"/>
        <v>0.99999996730864393</v>
      </c>
      <c r="R40" s="8">
        <f t="shared" si="7"/>
        <v>1</v>
      </c>
      <c r="S40" s="8">
        <f t="shared" si="8"/>
        <v>0.99993753063927726</v>
      </c>
      <c r="T40" s="8">
        <f t="shared" si="9"/>
        <v>0.99935177608658543</v>
      </c>
      <c r="U40" s="55">
        <f t="shared" si="10"/>
        <v>1</v>
      </c>
      <c r="V40" s="55">
        <f t="shared" si="11"/>
        <v>0.99968928495856513</v>
      </c>
      <c r="W40" s="55">
        <f t="shared" si="12"/>
        <v>0.9801164000826712</v>
      </c>
      <c r="Y40" s="9">
        <f t="shared" si="13"/>
        <v>1.0687247759943557E-15</v>
      </c>
      <c r="Z40" s="9">
        <f>(R40-J40)^2</f>
        <v>4.9303806576313238E-32</v>
      </c>
      <c r="AA40" s="9">
        <f t="shared" si="15"/>
        <v>3.9024210291354156E-9</v>
      </c>
      <c r="AB40" s="9">
        <f t="shared" si="16"/>
        <v>4.2019424192278722E-7</v>
      </c>
      <c r="AC40" s="9">
        <f t="shared" si="17"/>
        <v>4.9303806576313238E-32</v>
      </c>
      <c r="AD40" s="9">
        <f t="shared" si="18"/>
        <v>9.6543836974012511E-8</v>
      </c>
      <c r="AE40" s="9">
        <f t="shared" si="19"/>
        <v>3.9535754567240661E-4</v>
      </c>
      <c r="AG40" s="19">
        <f t="shared" si="23"/>
        <v>1024.4427936716172</v>
      </c>
      <c r="AH40" s="59">
        <f t="shared" si="20"/>
        <v>1.0000000000000002</v>
      </c>
      <c r="AI40" s="18">
        <f t="shared" si="24"/>
        <v>0.99993753063927726</v>
      </c>
      <c r="AJ40" s="1">
        <f t="shared" si="25"/>
        <v>6.2469360722960943E-5</v>
      </c>
    </row>
    <row r="41" spans="2:36" ht="16" thickBot="1" x14ac:dyDescent="0.25">
      <c r="B41" s="5">
        <v>36</v>
      </c>
      <c r="C41" s="5">
        <v>100.33180061390836</v>
      </c>
      <c r="D41" s="45"/>
      <c r="E41" s="7"/>
      <c r="F41" s="7"/>
      <c r="G41" s="7"/>
      <c r="H41" s="93">
        <f>SUM(H26:H40)</f>
        <v>10000</v>
      </c>
      <c r="I41" s="7"/>
      <c r="J41" s="7"/>
      <c r="K41" s="7"/>
      <c r="L41" s="7"/>
      <c r="M41" s="7"/>
      <c r="N41" s="7"/>
      <c r="O41" s="7"/>
    </row>
    <row r="42" spans="2:36" ht="16" thickBot="1" x14ac:dyDescent="0.25">
      <c r="B42" s="4">
        <v>37</v>
      </c>
      <c r="C42" s="4">
        <v>588.61501941471818</v>
      </c>
      <c r="D42" s="45"/>
      <c r="E42" s="6"/>
      <c r="F42" s="6"/>
      <c r="G42" s="9"/>
      <c r="H42" s="6"/>
      <c r="I42" s="6"/>
      <c r="J42" s="6"/>
      <c r="K42" s="6"/>
      <c r="L42" s="6"/>
      <c r="M42" s="6"/>
      <c r="N42" s="6"/>
      <c r="O42" s="6"/>
      <c r="Y42" s="57">
        <f>SUM(Y26:Y40)</f>
        <v>8.8524641225971997E-4</v>
      </c>
      <c r="Z42" s="57">
        <f>SUM(Z26:Z40)</f>
        <v>3.5966156321022473E-3</v>
      </c>
      <c r="AA42" s="58">
        <f t="shared" ref="AA42:AE42" si="27">SUM(AA26:AA40)</f>
        <v>9.881627811722002E-5</v>
      </c>
      <c r="AB42" s="57">
        <f t="shared" si="27"/>
        <v>0.13340760545289149</v>
      </c>
      <c r="AC42" s="57">
        <f t="shared" si="27"/>
        <v>1.2435407394467068E-3</v>
      </c>
      <c r="AD42" s="57">
        <f t="shared" si="27"/>
        <v>1.8964393176881233</v>
      </c>
      <c r="AE42" s="57">
        <f t="shared" si="27"/>
        <v>1.5014237661918928</v>
      </c>
      <c r="AG42" s="60" t="s">
        <v>51</v>
      </c>
      <c r="AH42" s="61">
        <f>MAX(AJ26:AJ40)</f>
        <v>7.8325857020006273E-3</v>
      </c>
    </row>
    <row r="43" spans="2:36" ht="16" thickBot="1" x14ac:dyDescent="0.25">
      <c r="B43" s="5">
        <v>38</v>
      </c>
      <c r="C43" s="5">
        <v>106.90602904225207</v>
      </c>
      <c r="D43" s="45"/>
      <c r="E43" s="7"/>
      <c r="F43" s="7"/>
      <c r="G43" s="12"/>
      <c r="H43" s="7"/>
      <c r="I43" s="15"/>
      <c r="J43" s="15"/>
      <c r="K43" s="15"/>
      <c r="L43" s="12"/>
      <c r="M43" s="12"/>
      <c r="N43" s="12"/>
      <c r="O43" s="12"/>
      <c r="Y43" s="59">
        <f>MIN(Y42:AE42)</f>
        <v>9.881627811722002E-5</v>
      </c>
      <c r="AG43" s="62" t="s">
        <v>54</v>
      </c>
      <c r="AH43" s="63">
        <f>1.36/SQRT(10000)</f>
        <v>1.3600000000000001E-2</v>
      </c>
    </row>
    <row r="44" spans="2:36" ht="16" thickBot="1" x14ac:dyDescent="0.25">
      <c r="B44" s="4">
        <v>39</v>
      </c>
      <c r="C44" s="4">
        <v>118.68772015358903</v>
      </c>
      <c r="D44" s="45"/>
      <c r="E44" s="6"/>
      <c r="F44" s="6"/>
      <c r="G44" s="9"/>
      <c r="H44" s="6"/>
      <c r="I44" s="14"/>
      <c r="J44" s="14"/>
      <c r="K44" s="14"/>
      <c r="L44" s="9"/>
      <c r="M44" s="9"/>
      <c r="N44" s="9"/>
      <c r="O44" s="9"/>
      <c r="AG44" s="73" t="s">
        <v>90</v>
      </c>
      <c r="AH44" s="74"/>
      <c r="AI44" s="75"/>
    </row>
    <row r="45" spans="2:36" ht="16" thickBot="1" x14ac:dyDescent="0.25">
      <c r="B45" s="5">
        <v>40</v>
      </c>
      <c r="C45" s="5">
        <v>41.332873326065219</v>
      </c>
      <c r="D45" s="45"/>
      <c r="E45" s="7"/>
      <c r="F45" s="6"/>
      <c r="G45" s="12"/>
      <c r="H45" s="7"/>
      <c r="I45" s="15"/>
      <c r="J45" s="15"/>
      <c r="K45" s="15"/>
      <c r="L45" s="12"/>
      <c r="M45" s="12"/>
      <c r="N45" s="12"/>
      <c r="O45" s="12"/>
      <c r="Y45" s="82" t="s">
        <v>91</v>
      </c>
      <c r="Z45" s="83"/>
      <c r="AA45" s="83"/>
      <c r="AB45" s="83"/>
      <c r="AC45" s="83"/>
      <c r="AD45" s="83"/>
      <c r="AE45" s="84"/>
      <c r="AG45" s="76"/>
      <c r="AH45" s="77"/>
      <c r="AI45" s="78"/>
    </row>
    <row r="46" spans="2:36" ht="16" thickBot="1" x14ac:dyDescent="0.25">
      <c r="B46" s="4">
        <v>41</v>
      </c>
      <c r="C46" s="4">
        <v>186.85168324342683</v>
      </c>
      <c r="D46" s="45"/>
      <c r="E46" s="6"/>
      <c r="F46" s="6"/>
      <c r="G46" s="9"/>
      <c r="H46" s="6"/>
      <c r="I46" s="14"/>
      <c r="J46" s="14"/>
      <c r="K46" s="14"/>
      <c r="L46" s="9"/>
      <c r="M46" s="9"/>
      <c r="N46" s="9"/>
      <c r="O46" s="9"/>
      <c r="T46" s="18">
        <f>+T26</f>
        <v>0.11916575522157002</v>
      </c>
      <c r="Y46" s="85"/>
      <c r="Z46" s="86"/>
      <c r="AA46" s="86"/>
      <c r="AB46" s="86"/>
      <c r="AC46" s="86"/>
      <c r="AD46" s="86"/>
      <c r="AE46" s="87"/>
      <c r="AG46" s="76"/>
      <c r="AH46" s="77"/>
      <c r="AI46" s="78"/>
    </row>
    <row r="47" spans="2:36" ht="16" thickBot="1" x14ac:dyDescent="0.25">
      <c r="B47" s="5">
        <v>42</v>
      </c>
      <c r="C47" s="5">
        <v>66.469504431436633</v>
      </c>
      <c r="D47" s="45"/>
      <c r="T47" s="19">
        <f>+T46+T28</f>
        <v>0.8048988990192244</v>
      </c>
      <c r="AG47" s="79"/>
      <c r="AH47" s="80"/>
      <c r="AI47" s="81"/>
    </row>
    <row r="48" spans="2:36" ht="16" thickBot="1" x14ac:dyDescent="0.25">
      <c r="B48" s="4">
        <v>43</v>
      </c>
      <c r="C48" s="4">
        <v>139.90638406869226</v>
      </c>
      <c r="D48" s="45"/>
      <c r="T48" s="19">
        <f t="shared" ref="T48:T58" si="28">+T47+T29</f>
        <v>1.6171831216848225</v>
      </c>
    </row>
    <row r="49" spans="2:20" ht="16" thickBot="1" x14ac:dyDescent="0.25">
      <c r="B49" s="5">
        <v>44</v>
      </c>
      <c r="C49" s="5">
        <v>231.65866692848672</v>
      </c>
      <c r="D49" s="45"/>
      <c r="T49" s="19">
        <f t="shared" si="28"/>
        <v>2.5050579886607398</v>
      </c>
    </row>
    <row r="50" spans="2:20" ht="16" thickBot="1" x14ac:dyDescent="0.25">
      <c r="B50" s="4">
        <v>45</v>
      </c>
      <c r="C50" s="4">
        <v>82.317874245742445</v>
      </c>
      <c r="D50" s="45"/>
      <c r="T50" s="19">
        <f t="shared" si="28"/>
        <v>3.4380841340738511</v>
      </c>
    </row>
    <row r="51" spans="2:20" ht="16" thickBot="1" x14ac:dyDescent="0.25">
      <c r="B51" s="5">
        <v>46</v>
      </c>
      <c r="C51" s="5">
        <v>219.07793010840143</v>
      </c>
      <c r="D51" s="45"/>
      <c r="T51" s="19">
        <f t="shared" si="28"/>
        <v>4.398079770894797</v>
      </c>
    </row>
    <row r="52" spans="2:20" ht="16" thickBot="1" x14ac:dyDescent="0.25">
      <c r="B52" s="4">
        <v>47</v>
      </c>
      <c r="C52" s="4">
        <v>105.76443113905049</v>
      </c>
      <c r="D52" s="45"/>
      <c r="T52" s="19">
        <f t="shared" si="28"/>
        <v>5.3741846321624571</v>
      </c>
    </row>
    <row r="53" spans="2:20" ht="16" thickBot="1" x14ac:dyDescent="0.25">
      <c r="B53" s="5">
        <v>48</v>
      </c>
      <c r="C53" s="5">
        <v>112.6878401699252</v>
      </c>
      <c r="D53" s="45"/>
      <c r="T53" s="19">
        <f t="shared" si="28"/>
        <v>6.3599117434429289</v>
      </c>
    </row>
    <row r="54" spans="2:20" ht="16" thickBot="1" x14ac:dyDescent="0.25">
      <c r="B54" s="4">
        <v>49</v>
      </c>
      <c r="C54" s="4">
        <v>447.2937477754902</v>
      </c>
      <c r="D54" s="45"/>
      <c r="T54" s="19">
        <f t="shared" si="28"/>
        <v>7.3513863569877085</v>
      </c>
    </row>
    <row r="55" spans="2:20" ht="16" thickBot="1" x14ac:dyDescent="0.25">
      <c r="B55" s="5">
        <v>50</v>
      </c>
      <c r="C55" s="5">
        <v>149.5909862424802</v>
      </c>
      <c r="D55" s="45"/>
      <c r="T55" s="19">
        <f t="shared" si="28"/>
        <v>8.3462940316621879</v>
      </c>
    </row>
    <row r="56" spans="2:20" ht="16" thickBot="1" x14ac:dyDescent="0.25">
      <c r="B56" s="4">
        <v>51</v>
      </c>
      <c r="C56" s="4">
        <v>137.63793607913064</v>
      </c>
      <c r="D56" s="45"/>
      <c r="T56" s="19">
        <f t="shared" si="28"/>
        <v>9.3432523170487176</v>
      </c>
    </row>
    <row r="57" spans="2:20" ht="16" thickBot="1" x14ac:dyDescent="0.25">
      <c r="B57" s="5">
        <v>52</v>
      </c>
      <c r="C57" s="5">
        <v>337.32027846067632</v>
      </c>
      <c r="D57" s="45"/>
      <c r="T57" s="19">
        <f t="shared" si="28"/>
        <v>10.341435460414566</v>
      </c>
    </row>
    <row r="58" spans="2:20" ht="16" thickBot="1" x14ac:dyDescent="0.25">
      <c r="B58" s="4">
        <v>53</v>
      </c>
      <c r="C58" s="4">
        <v>240.37875933463425</v>
      </c>
      <c r="D58" s="45"/>
      <c r="T58" s="19">
        <f t="shared" si="28"/>
        <v>11.340350227437426</v>
      </c>
    </row>
    <row r="59" spans="2:20" ht="16" thickBot="1" x14ac:dyDescent="0.25">
      <c r="B59" s="5">
        <v>54</v>
      </c>
      <c r="C59" s="5">
        <v>159.86010016366623</v>
      </c>
      <c r="D59" s="45"/>
    </row>
    <row r="60" spans="2:20" ht="16" thickBot="1" x14ac:dyDescent="0.25">
      <c r="B60" s="4">
        <v>55</v>
      </c>
      <c r="C60" s="4">
        <v>294.73906062725928</v>
      </c>
      <c r="D60" s="45"/>
    </row>
    <row r="61" spans="2:20" ht="16" thickBot="1" x14ac:dyDescent="0.25">
      <c r="B61" s="5">
        <v>56</v>
      </c>
      <c r="C61" s="5">
        <v>205.0314619135747</v>
      </c>
      <c r="D61" s="45"/>
    </row>
    <row r="62" spans="2:20" ht="16" thickBot="1" x14ac:dyDescent="0.25">
      <c r="B62" s="4">
        <v>57</v>
      </c>
      <c r="C62" s="4">
        <v>171.7814703943435</v>
      </c>
      <c r="D62" s="45"/>
    </row>
    <row r="63" spans="2:20" ht="16" thickBot="1" x14ac:dyDescent="0.25">
      <c r="B63" s="5">
        <v>58</v>
      </c>
      <c r="C63" s="5">
        <v>118.85829349381633</v>
      </c>
      <c r="D63" s="45"/>
    </row>
    <row r="64" spans="2:20" ht="16" thickBot="1" x14ac:dyDescent="0.25">
      <c r="B64" s="4">
        <v>59</v>
      </c>
      <c r="C64" s="4">
        <v>89.861061670361323</v>
      </c>
      <c r="D64" s="45"/>
    </row>
    <row r="65" spans="2:4" ht="16" thickBot="1" x14ac:dyDescent="0.25">
      <c r="B65" s="5">
        <v>60</v>
      </c>
      <c r="C65" s="5">
        <v>344.79211204848696</v>
      </c>
      <c r="D65" s="45"/>
    </row>
    <row r="66" spans="2:4" ht="16" thickBot="1" x14ac:dyDescent="0.25">
      <c r="B66" s="4">
        <v>61</v>
      </c>
      <c r="C66" s="4">
        <v>598.83819056058996</v>
      </c>
      <c r="D66" s="45"/>
    </row>
    <row r="67" spans="2:4" ht="16" thickBot="1" x14ac:dyDescent="0.25">
      <c r="B67" s="5">
        <v>62</v>
      </c>
      <c r="C67" s="5">
        <v>214.11549035372545</v>
      </c>
      <c r="D67" s="45"/>
    </row>
    <row r="68" spans="2:4" ht="16" thickBot="1" x14ac:dyDescent="0.25">
      <c r="B68" s="4">
        <v>63</v>
      </c>
      <c r="C68" s="4">
        <v>136.42138565004336</v>
      </c>
      <c r="D68" s="45"/>
    </row>
    <row r="69" spans="2:4" ht="16" thickBot="1" x14ac:dyDescent="0.25">
      <c r="B69" s="5">
        <v>64</v>
      </c>
      <c r="C69" s="5">
        <v>145.78337676298324</v>
      </c>
      <c r="D69" s="45"/>
    </row>
    <row r="70" spans="2:4" ht="16" thickBot="1" x14ac:dyDescent="0.25">
      <c r="B70" s="4">
        <v>65</v>
      </c>
      <c r="C70" s="4">
        <v>76.503912657755805</v>
      </c>
      <c r="D70" s="45"/>
    </row>
    <row r="71" spans="2:4" ht="16" thickBot="1" x14ac:dyDescent="0.25">
      <c r="B71" s="5">
        <v>66</v>
      </c>
      <c r="C71" s="5">
        <v>124.92675671517496</v>
      </c>
      <c r="D71" s="45"/>
    </row>
    <row r="72" spans="2:4" ht="16" thickBot="1" x14ac:dyDescent="0.25">
      <c r="B72" s="4">
        <v>67</v>
      </c>
      <c r="C72" s="4">
        <v>73.039436322318267</v>
      </c>
      <c r="D72" s="45"/>
    </row>
    <row r="73" spans="2:4" ht="16" thickBot="1" x14ac:dyDescent="0.25">
      <c r="B73" s="5">
        <v>68</v>
      </c>
      <c r="C73" s="5">
        <v>84.765996617577287</v>
      </c>
      <c r="D73" s="45"/>
    </row>
    <row r="74" spans="2:4" ht="16" thickBot="1" x14ac:dyDescent="0.25">
      <c r="B74" s="4">
        <v>69</v>
      </c>
      <c r="C74" s="4">
        <v>215.65444035109579</v>
      </c>
      <c r="D74" s="45"/>
    </row>
    <row r="75" spans="2:4" ht="16" thickBot="1" x14ac:dyDescent="0.25">
      <c r="B75" s="5">
        <v>70</v>
      </c>
      <c r="C75" s="5">
        <v>90.996775906801233</v>
      </c>
      <c r="D75" s="45"/>
    </row>
    <row r="76" spans="2:4" ht="16" thickBot="1" x14ac:dyDescent="0.25">
      <c r="B76" s="4">
        <v>71</v>
      </c>
      <c r="C76" s="4">
        <v>234.35087360471806</v>
      </c>
      <c r="D76" s="45"/>
    </row>
    <row r="77" spans="2:4" ht="16" thickBot="1" x14ac:dyDescent="0.25">
      <c r="B77" s="5">
        <v>72</v>
      </c>
      <c r="C77" s="5">
        <v>176.71686202933296</v>
      </c>
      <c r="D77" s="45"/>
    </row>
    <row r="78" spans="2:4" ht="16" thickBot="1" x14ac:dyDescent="0.25">
      <c r="B78" s="4">
        <v>73</v>
      </c>
      <c r="C78" s="4">
        <v>71.680090954184195</v>
      </c>
      <c r="D78" s="45"/>
    </row>
    <row r="79" spans="2:4" ht="16" thickBot="1" x14ac:dyDescent="0.25">
      <c r="B79" s="5">
        <v>74</v>
      </c>
      <c r="C79" s="5">
        <v>138.65248992746317</v>
      </c>
      <c r="D79" s="45"/>
    </row>
    <row r="80" spans="2:4" ht="16" thickBot="1" x14ac:dyDescent="0.25">
      <c r="B80" s="4">
        <v>75</v>
      </c>
      <c r="C80" s="4">
        <v>260.48956574226264</v>
      </c>
      <c r="D80" s="45"/>
    </row>
    <row r="81" spans="2:4" ht="16" thickBot="1" x14ac:dyDescent="0.25">
      <c r="B81" s="5">
        <v>76</v>
      </c>
      <c r="C81" s="5">
        <v>158.14800729358961</v>
      </c>
      <c r="D81" s="45"/>
    </row>
    <row r="82" spans="2:4" ht="16" thickBot="1" x14ac:dyDescent="0.25">
      <c r="B82" s="4">
        <v>77</v>
      </c>
      <c r="C82" s="4">
        <v>124.4586455795624</v>
      </c>
      <c r="D82" s="45"/>
    </row>
    <row r="83" spans="2:4" ht="16" thickBot="1" x14ac:dyDescent="0.25">
      <c r="B83" s="5">
        <v>78</v>
      </c>
      <c r="C83" s="5">
        <v>231.18099338156256</v>
      </c>
      <c r="D83" s="45"/>
    </row>
    <row r="84" spans="2:4" ht="16" thickBot="1" x14ac:dyDescent="0.25">
      <c r="B84" s="4">
        <v>79</v>
      </c>
      <c r="C84" s="4">
        <v>81.871971866199189</v>
      </c>
      <c r="D84" s="45"/>
    </row>
    <row r="85" spans="2:4" ht="16" thickBot="1" x14ac:dyDescent="0.25">
      <c r="B85" s="5">
        <v>80</v>
      </c>
      <c r="C85" s="5">
        <v>108.8875781827724</v>
      </c>
      <c r="D85" s="45"/>
    </row>
    <row r="86" spans="2:4" ht="16" thickBot="1" x14ac:dyDescent="0.25">
      <c r="B86" s="4">
        <v>81</v>
      </c>
      <c r="C86" s="4">
        <v>274.12292286292057</v>
      </c>
      <c r="D86" s="45"/>
    </row>
    <row r="87" spans="2:4" ht="16" thickBot="1" x14ac:dyDescent="0.25">
      <c r="B87" s="5">
        <v>82</v>
      </c>
      <c r="C87" s="5">
        <v>158.03393368925487</v>
      </c>
      <c r="D87" s="45"/>
    </row>
    <row r="88" spans="2:4" ht="16" thickBot="1" x14ac:dyDescent="0.25">
      <c r="B88" s="4">
        <v>83</v>
      </c>
      <c r="C88" s="4">
        <v>143.47608959858746</v>
      </c>
      <c r="D88" s="45"/>
    </row>
    <row r="89" spans="2:4" ht="16" thickBot="1" x14ac:dyDescent="0.25">
      <c r="B89" s="5">
        <v>84</v>
      </c>
      <c r="C89" s="5">
        <v>101.83690533193582</v>
      </c>
      <c r="D89" s="45"/>
    </row>
    <row r="90" spans="2:4" ht="16" thickBot="1" x14ac:dyDescent="0.25">
      <c r="B90" s="4">
        <v>85</v>
      </c>
      <c r="C90" s="4">
        <v>159.59210842273751</v>
      </c>
      <c r="D90" s="45"/>
    </row>
    <row r="91" spans="2:4" ht="16" thickBot="1" x14ac:dyDescent="0.25">
      <c r="B91" s="5">
        <v>86</v>
      </c>
      <c r="C91" s="5">
        <v>66.17009699840041</v>
      </c>
      <c r="D91" s="45"/>
    </row>
    <row r="92" spans="2:4" ht="16" thickBot="1" x14ac:dyDescent="0.25">
      <c r="B92" s="4">
        <v>87</v>
      </c>
      <c r="C92" s="4">
        <v>183.94368153412566</v>
      </c>
      <c r="D92" s="45"/>
    </row>
    <row r="93" spans="2:4" ht="16" thickBot="1" x14ac:dyDescent="0.25">
      <c r="B93" s="5">
        <v>88</v>
      </c>
      <c r="C93" s="5">
        <v>73.665622974311276</v>
      </c>
      <c r="D93" s="45"/>
    </row>
    <row r="94" spans="2:4" ht="16" thickBot="1" x14ac:dyDescent="0.25">
      <c r="B94" s="4">
        <v>89</v>
      </c>
      <c r="C94" s="4">
        <v>130.18982160153229</v>
      </c>
      <c r="D94" s="45"/>
    </row>
    <row r="95" spans="2:4" ht="16" thickBot="1" x14ac:dyDescent="0.25">
      <c r="B95" s="5">
        <v>90</v>
      </c>
      <c r="C95" s="5">
        <v>122.51612648087227</v>
      </c>
      <c r="D95" s="45"/>
    </row>
    <row r="96" spans="2:4" ht="16" thickBot="1" x14ac:dyDescent="0.25">
      <c r="B96" s="4">
        <v>91</v>
      </c>
      <c r="C96" s="4">
        <v>219.98562030570974</v>
      </c>
      <c r="D96" s="45"/>
    </row>
    <row r="97" spans="2:4" ht="16" thickBot="1" x14ac:dyDescent="0.25">
      <c r="B97" s="5">
        <v>92</v>
      </c>
      <c r="C97" s="5">
        <v>219.08340403005778</v>
      </c>
      <c r="D97" s="45"/>
    </row>
    <row r="98" spans="2:4" ht="16" thickBot="1" x14ac:dyDescent="0.25">
      <c r="B98" s="4">
        <v>93</v>
      </c>
      <c r="C98" s="4">
        <v>117.83928239242616</v>
      </c>
      <c r="D98" s="45"/>
    </row>
    <row r="99" spans="2:4" ht="16" thickBot="1" x14ac:dyDescent="0.25">
      <c r="B99" s="5">
        <v>94</v>
      </c>
      <c r="C99" s="5">
        <v>119.77559326810756</v>
      </c>
      <c r="D99" s="45"/>
    </row>
    <row r="100" spans="2:4" ht="16" thickBot="1" x14ac:dyDescent="0.25">
      <c r="B100" s="4">
        <v>95</v>
      </c>
      <c r="C100" s="4">
        <v>102.75586939051598</v>
      </c>
      <c r="D100" s="45"/>
    </row>
    <row r="101" spans="2:4" ht="16" thickBot="1" x14ac:dyDescent="0.25">
      <c r="B101" s="5">
        <v>96</v>
      </c>
      <c r="C101" s="5">
        <v>189.85886066511412</v>
      </c>
      <c r="D101" s="45"/>
    </row>
    <row r="102" spans="2:4" ht="16" thickBot="1" x14ac:dyDescent="0.25">
      <c r="B102" s="4">
        <v>97</v>
      </c>
      <c r="C102" s="4">
        <v>182.80532057185243</v>
      </c>
      <c r="D102" s="45"/>
    </row>
    <row r="103" spans="2:4" ht="16" thickBot="1" x14ac:dyDescent="0.25">
      <c r="B103" s="5">
        <v>98</v>
      </c>
      <c r="C103" s="5">
        <v>230.8342241814625</v>
      </c>
      <c r="D103" s="45"/>
    </row>
    <row r="104" spans="2:4" ht="16" thickBot="1" x14ac:dyDescent="0.25">
      <c r="B104" s="4">
        <v>99</v>
      </c>
      <c r="C104" s="4">
        <v>177.77484518277268</v>
      </c>
      <c r="D104" s="45"/>
    </row>
    <row r="105" spans="2:4" ht="16" thickBot="1" x14ac:dyDescent="0.25">
      <c r="B105" s="5">
        <v>100</v>
      </c>
      <c r="C105" s="5">
        <v>64.929104763875856</v>
      </c>
      <c r="D105" s="45"/>
    </row>
    <row r="106" spans="2:4" ht="16" thickBot="1" x14ac:dyDescent="0.25">
      <c r="B106" s="4">
        <v>101</v>
      </c>
      <c r="C106" s="4">
        <v>134.84336481338323</v>
      </c>
      <c r="D106" s="45"/>
    </row>
    <row r="107" spans="2:4" ht="16" thickBot="1" x14ac:dyDescent="0.25">
      <c r="B107" s="5">
        <v>102</v>
      </c>
      <c r="C107" s="5">
        <v>255.97504669812713</v>
      </c>
      <c r="D107" s="45"/>
    </row>
    <row r="108" spans="2:4" ht="16" thickBot="1" x14ac:dyDescent="0.25">
      <c r="B108" s="4">
        <v>103</v>
      </c>
      <c r="C108" s="4">
        <v>100.86520995011709</v>
      </c>
      <c r="D108" s="45"/>
    </row>
    <row r="109" spans="2:4" ht="16" thickBot="1" x14ac:dyDescent="0.25">
      <c r="B109" s="5">
        <v>104</v>
      </c>
      <c r="C109" s="5">
        <v>124.58608084321777</v>
      </c>
      <c r="D109" s="45"/>
    </row>
    <row r="110" spans="2:4" ht="16" thickBot="1" x14ac:dyDescent="0.25">
      <c r="B110" s="4">
        <v>105</v>
      </c>
      <c r="C110" s="4">
        <v>80.96709065563806</v>
      </c>
      <c r="D110" s="45"/>
    </row>
    <row r="111" spans="2:4" ht="16" thickBot="1" x14ac:dyDescent="0.25">
      <c r="B111" s="5">
        <v>106</v>
      </c>
      <c r="C111" s="5">
        <v>612.68883234818588</v>
      </c>
      <c r="D111" s="45"/>
    </row>
    <row r="112" spans="2:4" ht="16" thickBot="1" x14ac:dyDescent="0.25">
      <c r="B112" s="4">
        <v>107</v>
      </c>
      <c r="C112" s="4">
        <v>164.84271243951241</v>
      </c>
      <c r="D112" s="45"/>
    </row>
    <row r="113" spans="2:4" ht="16" thickBot="1" x14ac:dyDescent="0.25">
      <c r="B113" s="5">
        <v>108</v>
      </c>
      <c r="C113" s="5">
        <v>237.46142542315192</v>
      </c>
      <c r="D113" s="45"/>
    </row>
    <row r="114" spans="2:4" ht="16" thickBot="1" x14ac:dyDescent="0.25">
      <c r="B114" s="4">
        <v>109</v>
      </c>
      <c r="C114" s="4">
        <v>198.140481071034</v>
      </c>
      <c r="D114" s="45"/>
    </row>
    <row r="115" spans="2:4" ht="16" thickBot="1" x14ac:dyDescent="0.25">
      <c r="B115" s="5">
        <v>110</v>
      </c>
      <c r="C115" s="5">
        <v>259.79707521108173</v>
      </c>
      <c r="D115" s="45"/>
    </row>
    <row r="116" spans="2:4" ht="16" thickBot="1" x14ac:dyDescent="0.25">
      <c r="B116" s="4">
        <v>111</v>
      </c>
      <c r="C116" s="4">
        <v>116.40400110352209</v>
      </c>
      <c r="D116" s="45"/>
    </row>
    <row r="117" spans="2:4" ht="16" thickBot="1" x14ac:dyDescent="0.25">
      <c r="B117" s="5">
        <v>112</v>
      </c>
      <c r="C117" s="5">
        <v>96.889127762780575</v>
      </c>
      <c r="D117" s="45"/>
    </row>
    <row r="118" spans="2:4" ht="16" thickBot="1" x14ac:dyDescent="0.25">
      <c r="B118" s="4">
        <v>113</v>
      </c>
      <c r="C118" s="4">
        <v>220.67102874031886</v>
      </c>
      <c r="D118" s="45"/>
    </row>
    <row r="119" spans="2:4" ht="16" thickBot="1" x14ac:dyDescent="0.25">
      <c r="B119" s="5">
        <v>114</v>
      </c>
      <c r="C119" s="5">
        <v>304.34682695930633</v>
      </c>
      <c r="D119" s="45"/>
    </row>
    <row r="120" spans="2:4" ht="16" thickBot="1" x14ac:dyDescent="0.25">
      <c r="B120" s="4">
        <v>115</v>
      </c>
      <c r="C120" s="4">
        <v>149.13291399170066</v>
      </c>
      <c r="D120" s="45"/>
    </row>
    <row r="121" spans="2:4" ht="16" thickBot="1" x14ac:dyDescent="0.25">
      <c r="B121" s="5">
        <v>116</v>
      </c>
      <c r="C121" s="5">
        <v>192.28230100058164</v>
      </c>
      <c r="D121" s="45"/>
    </row>
    <row r="122" spans="2:4" ht="16" thickBot="1" x14ac:dyDescent="0.25">
      <c r="B122" s="4">
        <v>117</v>
      </c>
      <c r="C122" s="4">
        <v>197.08257804664331</v>
      </c>
      <c r="D122" s="45"/>
    </row>
    <row r="123" spans="2:4" ht="16" thickBot="1" x14ac:dyDescent="0.25">
      <c r="B123" s="5">
        <v>118</v>
      </c>
      <c r="C123" s="5">
        <v>257.94049863806117</v>
      </c>
      <c r="D123" s="45"/>
    </row>
    <row r="124" spans="2:4" ht="16" thickBot="1" x14ac:dyDescent="0.25">
      <c r="B124" s="4">
        <v>119</v>
      </c>
      <c r="C124" s="4">
        <v>383.00409212871972</v>
      </c>
      <c r="D124" s="45"/>
    </row>
    <row r="125" spans="2:4" ht="16" thickBot="1" x14ac:dyDescent="0.25">
      <c r="B125" s="5">
        <v>120</v>
      </c>
      <c r="C125" s="5">
        <v>150.81449945394607</v>
      </c>
      <c r="D125" s="45"/>
    </row>
    <row r="126" spans="2:4" ht="16" thickBot="1" x14ac:dyDescent="0.25">
      <c r="B126" s="4">
        <v>121</v>
      </c>
      <c r="C126" s="4">
        <v>121.56970447913594</v>
      </c>
      <c r="D126" s="45"/>
    </row>
    <row r="127" spans="2:4" ht="16" thickBot="1" x14ac:dyDescent="0.25">
      <c r="B127" s="5">
        <v>122</v>
      </c>
      <c r="C127" s="5">
        <v>262.49347908058695</v>
      </c>
      <c r="D127" s="45"/>
    </row>
    <row r="128" spans="2:4" ht="16" thickBot="1" x14ac:dyDescent="0.25">
      <c r="B128" s="4">
        <v>123</v>
      </c>
      <c r="C128" s="4">
        <v>221.28075243585118</v>
      </c>
      <c r="D128" s="45"/>
    </row>
    <row r="129" spans="2:4" ht="16" thickBot="1" x14ac:dyDescent="0.25">
      <c r="B129" s="5">
        <v>124</v>
      </c>
      <c r="C129" s="5">
        <v>214.13587939140072</v>
      </c>
      <c r="D129" s="45"/>
    </row>
    <row r="130" spans="2:4" ht="16" thickBot="1" x14ac:dyDescent="0.25">
      <c r="B130" s="4">
        <v>125</v>
      </c>
      <c r="C130" s="4">
        <v>254.89310459120784</v>
      </c>
      <c r="D130" s="45"/>
    </row>
    <row r="131" spans="2:4" ht="16" thickBot="1" x14ac:dyDescent="0.25">
      <c r="B131" s="5">
        <v>126</v>
      </c>
      <c r="C131" s="5">
        <v>185.16643478511759</v>
      </c>
      <c r="D131" s="45"/>
    </row>
    <row r="132" spans="2:4" ht="16" thickBot="1" x14ac:dyDescent="0.25">
      <c r="B132" s="4">
        <v>127</v>
      </c>
      <c r="C132" s="4">
        <v>146.24493922282048</v>
      </c>
      <c r="D132" s="45"/>
    </row>
    <row r="133" spans="2:4" ht="16" thickBot="1" x14ac:dyDescent="0.25">
      <c r="B133" s="5">
        <v>128</v>
      </c>
      <c r="C133" s="5">
        <v>76.669012796357805</v>
      </c>
      <c r="D133" s="45"/>
    </row>
    <row r="134" spans="2:4" ht="16" thickBot="1" x14ac:dyDescent="0.25">
      <c r="B134" s="4">
        <v>129</v>
      </c>
      <c r="C134" s="4">
        <v>276.70286832301537</v>
      </c>
      <c r="D134" s="45"/>
    </row>
    <row r="135" spans="2:4" ht="16" thickBot="1" x14ac:dyDescent="0.25">
      <c r="B135" s="5">
        <v>130</v>
      </c>
      <c r="C135" s="5">
        <v>238.72623323814881</v>
      </c>
      <c r="D135" s="45"/>
    </row>
    <row r="136" spans="2:4" ht="16" thickBot="1" x14ac:dyDescent="0.25">
      <c r="B136" s="4">
        <v>131</v>
      </c>
      <c r="C136" s="4">
        <v>71.433597835990653</v>
      </c>
      <c r="D136" s="45"/>
    </row>
    <row r="137" spans="2:4" ht="16" thickBot="1" x14ac:dyDescent="0.25">
      <c r="B137" s="5">
        <v>132</v>
      </c>
      <c r="C137" s="5">
        <v>132.30868909411288</v>
      </c>
      <c r="D137" s="45"/>
    </row>
    <row r="138" spans="2:4" ht="16" thickBot="1" x14ac:dyDescent="0.25">
      <c r="B138" s="4">
        <v>133</v>
      </c>
      <c r="C138" s="4">
        <v>116.12081649403621</v>
      </c>
      <c r="D138" s="45"/>
    </row>
    <row r="139" spans="2:4" ht="16" thickBot="1" x14ac:dyDescent="0.25">
      <c r="B139" s="5">
        <v>134</v>
      </c>
      <c r="C139" s="5">
        <v>107.31162923700199</v>
      </c>
      <c r="D139" s="45"/>
    </row>
    <row r="140" spans="2:4" ht="16" thickBot="1" x14ac:dyDescent="0.25">
      <c r="B140" s="4">
        <v>135</v>
      </c>
      <c r="C140" s="4">
        <v>82.855364030907893</v>
      </c>
      <c r="D140" s="45"/>
    </row>
    <row r="141" spans="2:4" ht="16" thickBot="1" x14ac:dyDescent="0.25">
      <c r="B141" s="5">
        <v>136</v>
      </c>
      <c r="C141" s="5">
        <v>88.324840046107724</v>
      </c>
      <c r="D141" s="45"/>
    </row>
    <row r="142" spans="2:4" ht="16" thickBot="1" x14ac:dyDescent="0.25">
      <c r="B142" s="4">
        <v>137</v>
      </c>
      <c r="C142" s="4">
        <v>58.504877987262347</v>
      </c>
      <c r="D142" s="45"/>
    </row>
    <row r="143" spans="2:4" ht="16" thickBot="1" x14ac:dyDescent="0.25">
      <c r="B143" s="5">
        <v>138</v>
      </c>
      <c r="C143" s="5">
        <v>108.50453439994467</v>
      </c>
      <c r="D143" s="45"/>
    </row>
    <row r="144" spans="2:4" ht="16" thickBot="1" x14ac:dyDescent="0.25">
      <c r="B144" s="4">
        <v>139</v>
      </c>
      <c r="C144" s="4">
        <v>147.00366464595717</v>
      </c>
      <c r="D144" s="45"/>
    </row>
    <row r="145" spans="2:4" ht="16" thickBot="1" x14ac:dyDescent="0.25">
      <c r="B145" s="5">
        <v>140</v>
      </c>
      <c r="C145" s="5">
        <v>257.41567819594451</v>
      </c>
      <c r="D145" s="45"/>
    </row>
    <row r="146" spans="2:4" ht="16" thickBot="1" x14ac:dyDescent="0.25">
      <c r="B146" s="4">
        <v>141</v>
      </c>
      <c r="C146" s="4">
        <v>55.034013231531901</v>
      </c>
      <c r="D146" s="45"/>
    </row>
    <row r="147" spans="2:4" ht="16" thickBot="1" x14ac:dyDescent="0.25">
      <c r="B147" s="5">
        <v>142</v>
      </c>
      <c r="C147" s="5">
        <v>107.99079541383482</v>
      </c>
      <c r="D147" s="45"/>
    </row>
    <row r="148" spans="2:4" ht="16" thickBot="1" x14ac:dyDescent="0.25">
      <c r="B148" s="4">
        <v>143</v>
      </c>
      <c r="C148" s="4">
        <v>55.858394547712869</v>
      </c>
      <c r="D148" s="45"/>
    </row>
    <row r="149" spans="2:4" ht="16" thickBot="1" x14ac:dyDescent="0.25">
      <c r="B149" s="5">
        <v>144</v>
      </c>
      <c r="C149" s="5">
        <v>95.164414697619861</v>
      </c>
      <c r="D149" s="45"/>
    </row>
    <row r="150" spans="2:4" ht="16" thickBot="1" x14ac:dyDescent="0.25">
      <c r="B150" s="4">
        <v>145</v>
      </c>
      <c r="C150" s="4">
        <v>232.10340299901819</v>
      </c>
      <c r="D150" s="45"/>
    </row>
    <row r="151" spans="2:4" ht="16" thickBot="1" x14ac:dyDescent="0.25">
      <c r="B151" s="5">
        <v>146</v>
      </c>
      <c r="C151" s="5">
        <v>86.699013249028752</v>
      </c>
      <c r="D151" s="45"/>
    </row>
    <row r="152" spans="2:4" ht="16" thickBot="1" x14ac:dyDescent="0.25">
      <c r="B152" s="4">
        <v>147</v>
      </c>
      <c r="C152" s="4">
        <v>156.62518766362214</v>
      </c>
      <c r="D152" s="45"/>
    </row>
    <row r="153" spans="2:4" ht="16" thickBot="1" x14ac:dyDescent="0.25">
      <c r="B153" s="5">
        <v>148</v>
      </c>
      <c r="C153" s="5">
        <v>223.92496031189009</v>
      </c>
      <c r="D153" s="45"/>
    </row>
    <row r="154" spans="2:4" ht="16" thickBot="1" x14ac:dyDescent="0.25">
      <c r="B154" s="4">
        <v>149</v>
      </c>
      <c r="C154" s="4">
        <v>119.82078875492024</v>
      </c>
      <c r="D154" s="45"/>
    </row>
    <row r="155" spans="2:4" ht="16" thickBot="1" x14ac:dyDescent="0.25">
      <c r="B155" s="5">
        <v>150</v>
      </c>
      <c r="C155" s="5">
        <v>114.7526492567621</v>
      </c>
      <c r="D155" s="45"/>
    </row>
    <row r="156" spans="2:4" ht="16" thickBot="1" x14ac:dyDescent="0.25">
      <c r="B156" s="4">
        <v>151</v>
      </c>
      <c r="C156" s="4">
        <v>115.36190171253746</v>
      </c>
      <c r="D156" s="45"/>
    </row>
    <row r="157" spans="2:4" ht="16" thickBot="1" x14ac:dyDescent="0.25">
      <c r="B157" s="5">
        <v>152</v>
      </c>
      <c r="C157" s="5">
        <v>139.67034196368687</v>
      </c>
      <c r="D157" s="45"/>
    </row>
    <row r="158" spans="2:4" ht="16" thickBot="1" x14ac:dyDescent="0.25">
      <c r="B158" s="4">
        <v>153</v>
      </c>
      <c r="C158" s="4">
        <v>178.7124903483919</v>
      </c>
      <c r="D158" s="45"/>
    </row>
    <row r="159" spans="2:4" ht="16" thickBot="1" x14ac:dyDescent="0.25">
      <c r="B159" s="5">
        <v>154</v>
      </c>
      <c r="C159" s="5">
        <v>166.84630611241599</v>
      </c>
      <c r="D159" s="45"/>
    </row>
    <row r="160" spans="2:4" ht="16" thickBot="1" x14ac:dyDescent="0.25">
      <c r="B160" s="4">
        <v>155</v>
      </c>
      <c r="C160" s="4">
        <v>50.466472984656583</v>
      </c>
      <c r="D160" s="45"/>
    </row>
    <row r="161" spans="2:4" ht="16" thickBot="1" x14ac:dyDescent="0.25">
      <c r="B161" s="5">
        <v>156</v>
      </c>
      <c r="C161" s="5">
        <v>267.83712946466045</v>
      </c>
      <c r="D161" s="45"/>
    </row>
    <row r="162" spans="2:4" ht="16" thickBot="1" x14ac:dyDescent="0.25">
      <c r="B162" s="4">
        <v>157</v>
      </c>
      <c r="C162" s="4">
        <v>83.132472963876239</v>
      </c>
      <c r="D162" s="45"/>
    </row>
    <row r="163" spans="2:4" ht="16" thickBot="1" x14ac:dyDescent="0.25">
      <c r="B163" s="5">
        <v>158</v>
      </c>
      <c r="C163" s="5">
        <v>187.41484265058156</v>
      </c>
      <c r="D163" s="45"/>
    </row>
    <row r="164" spans="2:4" ht="16" thickBot="1" x14ac:dyDescent="0.25">
      <c r="B164" s="4">
        <v>159</v>
      </c>
      <c r="C164" s="4">
        <v>95.310463375403202</v>
      </c>
      <c r="D164" s="45"/>
    </row>
    <row r="165" spans="2:4" ht="16" thickBot="1" x14ac:dyDescent="0.25">
      <c r="B165" s="5">
        <v>160</v>
      </c>
      <c r="C165" s="5">
        <v>170.27188933336592</v>
      </c>
      <c r="D165" s="45"/>
    </row>
    <row r="166" spans="2:4" ht="16" thickBot="1" x14ac:dyDescent="0.25">
      <c r="B166" s="4">
        <v>161</v>
      </c>
      <c r="C166" s="4">
        <v>165.22530954160246</v>
      </c>
      <c r="D166" s="45"/>
    </row>
    <row r="167" spans="2:4" ht="16" thickBot="1" x14ac:dyDescent="0.25">
      <c r="B167" s="5">
        <v>162</v>
      </c>
      <c r="C167" s="5">
        <v>94.461096404018207</v>
      </c>
      <c r="D167" s="45"/>
    </row>
    <row r="168" spans="2:4" ht="16" thickBot="1" x14ac:dyDescent="0.25">
      <c r="B168" s="4">
        <v>163</v>
      </c>
      <c r="C168" s="4">
        <v>420.82349547323111</v>
      </c>
      <c r="D168" s="45"/>
    </row>
    <row r="169" spans="2:4" ht="16" thickBot="1" x14ac:dyDescent="0.25">
      <c r="B169" s="5">
        <v>164</v>
      </c>
      <c r="C169" s="5">
        <v>103.90766298248147</v>
      </c>
      <c r="D169" s="45"/>
    </row>
    <row r="170" spans="2:4" ht="16" thickBot="1" x14ac:dyDescent="0.25">
      <c r="B170" s="4">
        <v>165</v>
      </c>
      <c r="C170" s="4">
        <v>164.77728090308389</v>
      </c>
      <c r="D170" s="45"/>
    </row>
    <row r="171" spans="2:4" ht="16" thickBot="1" x14ac:dyDescent="0.25">
      <c r="B171" s="5">
        <v>166</v>
      </c>
      <c r="C171" s="5">
        <v>46.67287917653529</v>
      </c>
      <c r="D171" s="45"/>
    </row>
    <row r="172" spans="2:4" ht="16" thickBot="1" x14ac:dyDescent="0.25">
      <c r="B172" s="4">
        <v>167</v>
      </c>
      <c r="C172" s="4">
        <v>58.379943969550986</v>
      </c>
      <c r="D172" s="45"/>
    </row>
    <row r="173" spans="2:4" ht="16" thickBot="1" x14ac:dyDescent="0.25">
      <c r="B173" s="5">
        <v>168</v>
      </c>
      <c r="C173" s="5">
        <v>352.44131199693931</v>
      </c>
      <c r="D173" s="45"/>
    </row>
    <row r="174" spans="2:4" ht="16" thickBot="1" x14ac:dyDescent="0.25">
      <c r="B174" s="4">
        <v>169</v>
      </c>
      <c r="C174" s="4">
        <v>58.186705372454824</v>
      </c>
      <c r="D174" s="45"/>
    </row>
    <row r="175" spans="2:4" ht="16" thickBot="1" x14ac:dyDescent="0.25">
      <c r="B175" s="5">
        <v>170</v>
      </c>
      <c r="C175" s="5">
        <v>189.78317099474057</v>
      </c>
      <c r="D175" s="45"/>
    </row>
    <row r="176" spans="2:4" ht="16" thickBot="1" x14ac:dyDescent="0.25">
      <c r="B176" s="4">
        <v>171</v>
      </c>
      <c r="C176" s="4">
        <v>186.25220959004508</v>
      </c>
      <c r="D176" s="45"/>
    </row>
    <row r="177" spans="2:4" ht="16" thickBot="1" x14ac:dyDescent="0.25">
      <c r="B177" s="5">
        <v>172</v>
      </c>
      <c r="C177" s="5">
        <v>154.59861676641501</v>
      </c>
      <c r="D177" s="45"/>
    </row>
    <row r="178" spans="2:4" ht="16" thickBot="1" x14ac:dyDescent="0.25">
      <c r="B178" s="4">
        <v>173</v>
      </c>
      <c r="C178" s="4">
        <v>151.03994423372353</v>
      </c>
      <c r="D178" s="45"/>
    </row>
    <row r="179" spans="2:4" ht="16" thickBot="1" x14ac:dyDescent="0.25">
      <c r="B179" s="5">
        <v>174</v>
      </c>
      <c r="C179" s="5">
        <v>219.19594371019929</v>
      </c>
      <c r="D179" s="45"/>
    </row>
    <row r="180" spans="2:4" ht="16" thickBot="1" x14ac:dyDescent="0.25">
      <c r="B180" s="4">
        <v>175</v>
      </c>
      <c r="C180" s="4">
        <v>128.95978433583309</v>
      </c>
      <c r="D180" s="45"/>
    </row>
    <row r="181" spans="2:4" ht="16" thickBot="1" x14ac:dyDescent="0.25">
      <c r="B181" s="5">
        <v>176</v>
      </c>
      <c r="C181" s="5">
        <v>106.29602094423564</v>
      </c>
      <c r="D181" s="45"/>
    </row>
    <row r="182" spans="2:4" ht="16" thickBot="1" x14ac:dyDescent="0.25">
      <c r="B182" s="4">
        <v>177</v>
      </c>
      <c r="C182" s="4">
        <v>211.52722367582982</v>
      </c>
      <c r="D182" s="45"/>
    </row>
    <row r="183" spans="2:4" ht="16" thickBot="1" x14ac:dyDescent="0.25">
      <c r="B183" s="5">
        <v>178</v>
      </c>
      <c r="C183" s="5">
        <v>75.768067631833844</v>
      </c>
      <c r="D183" s="45"/>
    </row>
    <row r="184" spans="2:4" ht="16" thickBot="1" x14ac:dyDescent="0.25">
      <c r="B184" s="4">
        <v>179</v>
      </c>
      <c r="C184" s="4">
        <v>215.33634247417592</v>
      </c>
      <c r="D184" s="45"/>
    </row>
    <row r="185" spans="2:4" ht="16" thickBot="1" x14ac:dyDescent="0.25">
      <c r="B185" s="5">
        <v>180</v>
      </c>
      <c r="C185" s="5">
        <v>107.25029806974477</v>
      </c>
      <c r="D185" s="45"/>
    </row>
    <row r="186" spans="2:4" ht="16" thickBot="1" x14ac:dyDescent="0.25">
      <c r="B186" s="4">
        <v>181</v>
      </c>
      <c r="C186" s="4">
        <v>191.60322618296956</v>
      </c>
      <c r="D186" s="45"/>
    </row>
    <row r="187" spans="2:4" ht="16" thickBot="1" x14ac:dyDescent="0.25">
      <c r="B187" s="5">
        <v>182</v>
      </c>
      <c r="C187" s="5">
        <v>185.45986526299507</v>
      </c>
      <c r="D187" s="45"/>
    </row>
    <row r="188" spans="2:4" ht="16" thickBot="1" x14ac:dyDescent="0.25">
      <c r="B188" s="4">
        <v>183</v>
      </c>
      <c r="C188" s="4">
        <v>270.54245409529824</v>
      </c>
      <c r="D188" s="45"/>
    </row>
    <row r="189" spans="2:4" ht="16" thickBot="1" x14ac:dyDescent="0.25">
      <c r="B189" s="5">
        <v>184</v>
      </c>
      <c r="C189" s="5">
        <v>146.79442827439817</v>
      </c>
      <c r="D189" s="45"/>
    </row>
    <row r="190" spans="2:4" ht="16" thickBot="1" x14ac:dyDescent="0.25">
      <c r="B190" s="4">
        <v>185</v>
      </c>
      <c r="C190" s="4">
        <v>331.70952837067216</v>
      </c>
      <c r="D190" s="45"/>
    </row>
    <row r="191" spans="2:4" ht="16" thickBot="1" x14ac:dyDescent="0.25">
      <c r="B191" s="5">
        <v>186</v>
      </c>
      <c r="C191" s="5">
        <v>236.38520576757736</v>
      </c>
      <c r="D191" s="45"/>
    </row>
    <row r="192" spans="2:4" ht="16" thickBot="1" x14ac:dyDescent="0.25">
      <c r="B192" s="4">
        <v>187</v>
      </c>
      <c r="C192" s="4">
        <v>118.3635499780686</v>
      </c>
      <c r="D192" s="45"/>
    </row>
    <row r="193" spans="2:4" ht="16" thickBot="1" x14ac:dyDescent="0.25">
      <c r="B193" s="5">
        <v>188</v>
      </c>
      <c r="C193" s="5">
        <v>87.131678266723839</v>
      </c>
      <c r="D193" s="45"/>
    </row>
    <row r="194" spans="2:4" ht="16" thickBot="1" x14ac:dyDescent="0.25">
      <c r="B194" s="4">
        <v>189</v>
      </c>
      <c r="C194" s="4">
        <v>130.26111164102846</v>
      </c>
      <c r="D194" s="45"/>
    </row>
    <row r="195" spans="2:4" ht="16" thickBot="1" x14ac:dyDescent="0.25">
      <c r="B195" s="5">
        <v>190</v>
      </c>
      <c r="C195" s="5">
        <v>104.89052998974977</v>
      </c>
      <c r="D195" s="45"/>
    </row>
    <row r="196" spans="2:4" ht="16" thickBot="1" x14ac:dyDescent="0.25">
      <c r="B196" s="4">
        <v>191</v>
      </c>
      <c r="C196" s="4">
        <v>327.77305288431717</v>
      </c>
      <c r="D196" s="45"/>
    </row>
    <row r="197" spans="2:4" ht="16" thickBot="1" x14ac:dyDescent="0.25">
      <c r="B197" s="5">
        <v>192</v>
      </c>
      <c r="C197" s="5">
        <v>115.86159903110101</v>
      </c>
      <c r="D197" s="45"/>
    </row>
    <row r="198" spans="2:4" ht="16" thickBot="1" x14ac:dyDescent="0.25">
      <c r="B198" s="4">
        <v>193</v>
      </c>
      <c r="C198" s="4">
        <v>160.81979779346611</v>
      </c>
      <c r="D198" s="45"/>
    </row>
    <row r="199" spans="2:4" ht="16" thickBot="1" x14ac:dyDescent="0.25">
      <c r="B199" s="5">
        <v>194</v>
      </c>
      <c r="C199" s="5">
        <v>329.6332490455095</v>
      </c>
      <c r="D199" s="45"/>
    </row>
    <row r="200" spans="2:4" ht="16" thickBot="1" x14ac:dyDescent="0.25">
      <c r="B200" s="4">
        <v>195</v>
      </c>
      <c r="C200" s="4">
        <v>127.77620270880197</v>
      </c>
      <c r="D200" s="45"/>
    </row>
    <row r="201" spans="2:4" ht="16" thickBot="1" x14ac:dyDescent="0.25">
      <c r="B201" s="5">
        <v>196</v>
      </c>
      <c r="C201" s="5">
        <v>159.61174628100142</v>
      </c>
      <c r="D201" s="45"/>
    </row>
    <row r="202" spans="2:4" ht="16" thickBot="1" x14ac:dyDescent="0.25">
      <c r="B202" s="4">
        <v>197</v>
      </c>
      <c r="C202" s="4">
        <v>205.64619045858709</v>
      </c>
      <c r="D202" s="45"/>
    </row>
    <row r="203" spans="2:4" ht="16" thickBot="1" x14ac:dyDescent="0.25">
      <c r="B203" s="5">
        <v>198</v>
      </c>
      <c r="C203" s="5">
        <v>402.15790246627267</v>
      </c>
      <c r="D203" s="45"/>
    </row>
    <row r="204" spans="2:4" ht="16" thickBot="1" x14ac:dyDescent="0.25">
      <c r="B204" s="4">
        <v>199</v>
      </c>
      <c r="C204" s="4">
        <v>288.35148808388226</v>
      </c>
      <c r="D204" s="45"/>
    </row>
    <row r="205" spans="2:4" ht="16" thickBot="1" x14ac:dyDescent="0.25">
      <c r="B205" s="5">
        <v>200</v>
      </c>
      <c r="C205" s="5">
        <v>96.624188087361688</v>
      </c>
      <c r="D205" s="45"/>
    </row>
    <row r="206" spans="2:4" ht="16" thickBot="1" x14ac:dyDescent="0.25">
      <c r="B206" s="4">
        <v>201</v>
      </c>
      <c r="C206" s="4">
        <v>85.095244060940416</v>
      </c>
      <c r="D206" s="45"/>
    </row>
    <row r="207" spans="2:4" ht="16" thickBot="1" x14ac:dyDescent="0.25">
      <c r="B207" s="5">
        <v>202</v>
      </c>
      <c r="C207" s="5">
        <v>164.88307266172646</v>
      </c>
      <c r="D207" s="45"/>
    </row>
    <row r="208" spans="2:4" ht="16" thickBot="1" x14ac:dyDescent="0.25">
      <c r="B208" s="4">
        <v>203</v>
      </c>
      <c r="C208" s="4">
        <v>95.532052458795391</v>
      </c>
      <c r="D208" s="45"/>
    </row>
    <row r="209" spans="2:4" ht="16" thickBot="1" x14ac:dyDescent="0.25">
      <c r="B209" s="5">
        <v>204</v>
      </c>
      <c r="C209" s="5">
        <v>196.92103666281307</v>
      </c>
      <c r="D209" s="45"/>
    </row>
    <row r="210" spans="2:4" ht="16" thickBot="1" x14ac:dyDescent="0.25">
      <c r="B210" s="4">
        <v>205</v>
      </c>
      <c r="C210" s="4">
        <v>163.95837645506757</v>
      </c>
      <c r="D210" s="45"/>
    </row>
    <row r="211" spans="2:4" ht="16" thickBot="1" x14ac:dyDescent="0.25">
      <c r="B211" s="5">
        <v>206</v>
      </c>
      <c r="C211" s="5">
        <v>212.63006728283091</v>
      </c>
      <c r="D211" s="45"/>
    </row>
    <row r="212" spans="2:4" ht="16" thickBot="1" x14ac:dyDescent="0.25">
      <c r="B212" s="4">
        <v>207</v>
      </c>
      <c r="C212" s="4">
        <v>117.94073386942057</v>
      </c>
      <c r="D212" s="45"/>
    </row>
    <row r="213" spans="2:4" ht="16" thickBot="1" x14ac:dyDescent="0.25">
      <c r="B213" s="5">
        <v>208</v>
      </c>
      <c r="C213" s="5">
        <v>110.66449880814544</v>
      </c>
      <c r="D213" s="45"/>
    </row>
    <row r="214" spans="2:4" ht="16" thickBot="1" x14ac:dyDescent="0.25">
      <c r="B214" s="4">
        <v>209</v>
      </c>
      <c r="C214" s="4">
        <v>218.16446930262777</v>
      </c>
      <c r="D214" s="45"/>
    </row>
    <row r="215" spans="2:4" ht="16" thickBot="1" x14ac:dyDescent="0.25">
      <c r="B215" s="5">
        <v>210</v>
      </c>
      <c r="C215" s="5">
        <v>95.304068170028231</v>
      </c>
      <c r="D215" s="45"/>
    </row>
    <row r="216" spans="2:4" ht="16" thickBot="1" x14ac:dyDescent="0.25">
      <c r="B216" s="4">
        <v>211</v>
      </c>
      <c r="C216" s="4">
        <v>311.24254976762552</v>
      </c>
      <c r="D216" s="45"/>
    </row>
    <row r="217" spans="2:4" ht="16" thickBot="1" x14ac:dyDescent="0.25">
      <c r="B217" s="5">
        <v>212</v>
      </c>
      <c r="C217" s="5">
        <v>211.44042110326757</v>
      </c>
      <c r="D217" s="45"/>
    </row>
    <row r="218" spans="2:4" ht="16" thickBot="1" x14ac:dyDescent="0.25">
      <c r="B218" s="4">
        <v>213</v>
      </c>
      <c r="C218" s="4">
        <v>184.39172208706628</v>
      </c>
      <c r="D218" s="45"/>
    </row>
    <row r="219" spans="2:4" ht="16" thickBot="1" x14ac:dyDescent="0.25">
      <c r="B219" s="5">
        <v>214</v>
      </c>
      <c r="C219" s="5">
        <v>192.57489090008292</v>
      </c>
      <c r="D219" s="45"/>
    </row>
    <row r="220" spans="2:4" ht="16" thickBot="1" x14ac:dyDescent="0.25">
      <c r="B220" s="4">
        <v>215</v>
      </c>
      <c r="C220" s="4">
        <v>150.31708076344174</v>
      </c>
      <c r="D220" s="45"/>
    </row>
    <row r="221" spans="2:4" ht="16" thickBot="1" x14ac:dyDescent="0.25">
      <c r="B221" s="5">
        <v>216</v>
      </c>
      <c r="C221" s="5">
        <v>160.33743106557094</v>
      </c>
      <c r="D221" s="45"/>
    </row>
    <row r="222" spans="2:4" ht="16" thickBot="1" x14ac:dyDescent="0.25">
      <c r="B222" s="4">
        <v>217</v>
      </c>
      <c r="C222" s="4">
        <v>89.890424056150707</v>
      </c>
      <c r="D222" s="45"/>
    </row>
    <row r="223" spans="2:4" ht="16" thickBot="1" x14ac:dyDescent="0.25">
      <c r="B223" s="5">
        <v>218</v>
      </c>
      <c r="C223" s="5">
        <v>696.18515810616805</v>
      </c>
      <c r="D223" s="45"/>
    </row>
    <row r="224" spans="2:4" ht="16" thickBot="1" x14ac:dyDescent="0.25">
      <c r="B224" s="4">
        <v>219</v>
      </c>
      <c r="C224" s="4">
        <v>127.09696427838661</v>
      </c>
      <c r="D224" s="45"/>
    </row>
    <row r="225" spans="2:4" ht="16" thickBot="1" x14ac:dyDescent="0.25">
      <c r="B225" s="5">
        <v>220</v>
      </c>
      <c r="C225" s="5">
        <v>180.42073118356166</v>
      </c>
      <c r="D225" s="45"/>
    </row>
    <row r="226" spans="2:4" ht="16" thickBot="1" x14ac:dyDescent="0.25">
      <c r="B226" s="4">
        <v>221</v>
      </c>
      <c r="C226" s="4">
        <v>237.11420003026288</v>
      </c>
      <c r="D226" s="45"/>
    </row>
    <row r="227" spans="2:4" ht="16" thickBot="1" x14ac:dyDescent="0.25">
      <c r="B227" s="5">
        <v>222</v>
      </c>
      <c r="C227" s="5">
        <v>246.90714696081892</v>
      </c>
      <c r="D227" s="45"/>
    </row>
    <row r="228" spans="2:4" ht="16" thickBot="1" x14ac:dyDescent="0.25">
      <c r="B228" s="4">
        <v>223</v>
      </c>
      <c r="C228" s="4">
        <v>138.26331876535122</v>
      </c>
      <c r="D228" s="45"/>
    </row>
    <row r="229" spans="2:4" ht="16" thickBot="1" x14ac:dyDescent="0.25">
      <c r="B229" s="5">
        <v>224</v>
      </c>
      <c r="C229" s="5">
        <v>185.66672763857383</v>
      </c>
      <c r="D229" s="45"/>
    </row>
    <row r="230" spans="2:4" ht="16" thickBot="1" x14ac:dyDescent="0.25">
      <c r="B230" s="4">
        <v>225</v>
      </c>
      <c r="C230" s="4">
        <v>63.264516101823148</v>
      </c>
      <c r="D230" s="45"/>
    </row>
    <row r="231" spans="2:4" ht="16" thickBot="1" x14ac:dyDescent="0.25">
      <c r="B231" s="5">
        <v>226</v>
      </c>
      <c r="C231" s="5">
        <v>73.514437564392381</v>
      </c>
      <c r="D231" s="45"/>
    </row>
    <row r="232" spans="2:4" ht="16" thickBot="1" x14ac:dyDescent="0.25">
      <c r="B232" s="4">
        <v>227</v>
      </c>
      <c r="C232" s="4">
        <v>152.56554477061965</v>
      </c>
      <c r="D232" s="45"/>
    </row>
    <row r="233" spans="2:4" ht="16" thickBot="1" x14ac:dyDescent="0.25">
      <c r="B233" s="5">
        <v>228</v>
      </c>
      <c r="C233" s="5">
        <v>175.90846060592048</v>
      </c>
      <c r="D233" s="45"/>
    </row>
    <row r="234" spans="2:4" ht="16" thickBot="1" x14ac:dyDescent="0.25">
      <c r="B234" s="4">
        <v>229</v>
      </c>
      <c r="C234" s="4">
        <v>215.90154182876685</v>
      </c>
      <c r="D234" s="45"/>
    </row>
    <row r="235" spans="2:4" ht="16" thickBot="1" x14ac:dyDescent="0.25">
      <c r="B235" s="5">
        <v>230</v>
      </c>
      <c r="C235" s="5">
        <v>234.84642441998676</v>
      </c>
      <c r="D235" s="45"/>
    </row>
    <row r="236" spans="2:4" ht="16" thickBot="1" x14ac:dyDescent="0.25">
      <c r="B236" s="4">
        <v>231</v>
      </c>
      <c r="C236" s="4">
        <v>108.83747592522538</v>
      </c>
      <c r="D236" s="45"/>
    </row>
    <row r="237" spans="2:4" ht="16" thickBot="1" x14ac:dyDescent="0.25">
      <c r="B237" s="5">
        <v>232</v>
      </c>
      <c r="C237" s="5">
        <v>142.62963514025745</v>
      </c>
      <c r="D237" s="45"/>
    </row>
    <row r="238" spans="2:4" ht="16" thickBot="1" x14ac:dyDescent="0.25">
      <c r="B238" s="4">
        <v>233</v>
      </c>
      <c r="C238" s="4">
        <v>109.13263192872047</v>
      </c>
      <c r="D238" s="45"/>
    </row>
    <row r="239" spans="2:4" ht="16" thickBot="1" x14ac:dyDescent="0.25">
      <c r="B239" s="5">
        <v>234</v>
      </c>
      <c r="C239" s="5">
        <v>86.897217372413039</v>
      </c>
      <c r="D239" s="45"/>
    </row>
    <row r="240" spans="2:4" ht="16" thickBot="1" x14ac:dyDescent="0.25">
      <c r="B240" s="4">
        <v>235</v>
      </c>
      <c r="C240" s="4">
        <v>178.58045518802237</v>
      </c>
      <c r="D240" s="45"/>
    </row>
    <row r="241" spans="2:4" ht="16" thickBot="1" x14ac:dyDescent="0.25">
      <c r="B241" s="5">
        <v>236</v>
      </c>
      <c r="C241" s="5">
        <v>107.11815555931727</v>
      </c>
      <c r="D241" s="45"/>
    </row>
    <row r="242" spans="2:4" ht="16" thickBot="1" x14ac:dyDescent="0.25">
      <c r="B242" s="4">
        <v>237</v>
      </c>
      <c r="C242" s="4">
        <v>196.91621751075377</v>
      </c>
      <c r="D242" s="45"/>
    </row>
    <row r="243" spans="2:4" ht="16" thickBot="1" x14ac:dyDescent="0.25">
      <c r="B243" s="5">
        <v>238</v>
      </c>
      <c r="C243" s="5">
        <v>101.54879023379036</v>
      </c>
      <c r="D243" s="45"/>
    </row>
    <row r="244" spans="2:4" ht="16" thickBot="1" x14ac:dyDescent="0.25">
      <c r="B244" s="4">
        <v>239</v>
      </c>
      <c r="C244" s="4">
        <v>167.71314505357026</v>
      </c>
      <c r="D244" s="45"/>
    </row>
    <row r="245" spans="2:4" ht="16" thickBot="1" x14ac:dyDescent="0.25">
      <c r="B245" s="5">
        <v>240</v>
      </c>
      <c r="C245" s="5">
        <v>269.95884215049375</v>
      </c>
      <c r="D245" s="45"/>
    </row>
    <row r="246" spans="2:4" ht="16" thickBot="1" x14ac:dyDescent="0.25">
      <c r="B246" s="4">
        <v>241</v>
      </c>
      <c r="C246" s="4">
        <v>199.68098591225223</v>
      </c>
      <c r="D246" s="45"/>
    </row>
    <row r="247" spans="2:4" ht="16" thickBot="1" x14ac:dyDescent="0.25">
      <c r="B247" s="5">
        <v>242</v>
      </c>
      <c r="C247" s="5">
        <v>121.72536910568918</v>
      </c>
      <c r="D247" s="45"/>
    </row>
    <row r="248" spans="2:4" ht="16" thickBot="1" x14ac:dyDescent="0.25">
      <c r="B248" s="4">
        <v>243</v>
      </c>
      <c r="C248" s="4">
        <v>80.365260774943664</v>
      </c>
      <c r="D248" s="45"/>
    </row>
    <row r="249" spans="2:4" ht="16" thickBot="1" x14ac:dyDescent="0.25">
      <c r="B249" s="5">
        <v>244</v>
      </c>
      <c r="C249" s="5">
        <v>84.824976338803694</v>
      </c>
      <c r="D249" s="45"/>
    </row>
    <row r="250" spans="2:4" ht="16" thickBot="1" x14ac:dyDescent="0.25">
      <c r="B250" s="4">
        <v>245</v>
      </c>
      <c r="C250" s="4">
        <v>304.55707127762525</v>
      </c>
      <c r="D250" s="45"/>
    </row>
    <row r="251" spans="2:4" ht="16" thickBot="1" x14ac:dyDescent="0.25">
      <c r="B251" s="5">
        <v>246</v>
      </c>
      <c r="C251" s="5">
        <v>65.941043764354006</v>
      </c>
      <c r="D251" s="45"/>
    </row>
    <row r="252" spans="2:4" ht="16" thickBot="1" x14ac:dyDescent="0.25">
      <c r="B252" s="4">
        <v>247</v>
      </c>
      <c r="C252" s="4">
        <v>177.10713865285615</v>
      </c>
      <c r="D252" s="45"/>
    </row>
    <row r="253" spans="2:4" ht="16" thickBot="1" x14ac:dyDescent="0.25">
      <c r="B253" s="5">
        <v>248</v>
      </c>
      <c r="C253" s="5">
        <v>165.97287889526271</v>
      </c>
      <c r="D253" s="45"/>
    </row>
    <row r="254" spans="2:4" ht="16" thickBot="1" x14ac:dyDescent="0.25">
      <c r="B254" s="4">
        <v>249</v>
      </c>
      <c r="C254" s="4">
        <v>178.15367437159892</v>
      </c>
      <c r="D254" s="45"/>
    </row>
    <row r="255" spans="2:4" ht="16" thickBot="1" x14ac:dyDescent="0.25">
      <c r="B255" s="5">
        <v>250</v>
      </c>
      <c r="C255" s="5">
        <v>70.879970970231341</v>
      </c>
      <c r="D255" s="45"/>
    </row>
    <row r="256" spans="2:4" ht="16" thickBot="1" x14ac:dyDescent="0.25">
      <c r="B256" s="4">
        <v>251</v>
      </c>
      <c r="C256" s="4">
        <v>169.43006755822836</v>
      </c>
      <c r="D256" s="45"/>
    </row>
    <row r="257" spans="2:4" ht="16" thickBot="1" x14ac:dyDescent="0.25">
      <c r="B257" s="5">
        <v>252</v>
      </c>
      <c r="C257" s="5">
        <v>139.26279511456704</v>
      </c>
      <c r="D257" s="45"/>
    </row>
    <row r="258" spans="2:4" ht="16" thickBot="1" x14ac:dyDescent="0.25">
      <c r="B258" s="4">
        <v>253</v>
      </c>
      <c r="C258" s="4">
        <v>88.286969299541312</v>
      </c>
      <c r="D258" s="45"/>
    </row>
    <row r="259" spans="2:4" ht="16" thickBot="1" x14ac:dyDescent="0.25">
      <c r="B259" s="5">
        <v>254</v>
      </c>
      <c r="C259" s="5">
        <v>61.027991798553145</v>
      </c>
      <c r="D259" s="45"/>
    </row>
    <row r="260" spans="2:4" ht="16" thickBot="1" x14ac:dyDescent="0.25">
      <c r="B260" s="4">
        <v>255</v>
      </c>
      <c r="C260" s="4">
        <v>341.59885463371927</v>
      </c>
      <c r="D260" s="45"/>
    </row>
    <row r="261" spans="2:4" ht="16" thickBot="1" x14ac:dyDescent="0.25">
      <c r="B261" s="5">
        <v>256</v>
      </c>
      <c r="C261" s="5">
        <v>165.52253553398128</v>
      </c>
      <c r="D261" s="45"/>
    </row>
    <row r="262" spans="2:4" ht="16" thickBot="1" x14ac:dyDescent="0.25">
      <c r="B262" s="4">
        <v>257</v>
      </c>
      <c r="C262" s="4">
        <v>304.89274607367895</v>
      </c>
      <c r="D262" s="45"/>
    </row>
    <row r="263" spans="2:4" ht="16" thickBot="1" x14ac:dyDescent="0.25">
      <c r="B263" s="5">
        <v>258</v>
      </c>
      <c r="C263" s="5">
        <v>170.66159933957113</v>
      </c>
      <c r="D263" s="45"/>
    </row>
    <row r="264" spans="2:4" ht="16" thickBot="1" x14ac:dyDescent="0.25">
      <c r="B264" s="4">
        <v>259</v>
      </c>
      <c r="C264" s="4">
        <v>89.984622474487779</v>
      </c>
      <c r="D264" s="45"/>
    </row>
    <row r="265" spans="2:4" ht="16" thickBot="1" x14ac:dyDescent="0.25">
      <c r="B265" s="5">
        <v>260</v>
      </c>
      <c r="C265" s="5">
        <v>403.63215021357786</v>
      </c>
      <c r="D265" s="45"/>
    </row>
    <row r="266" spans="2:4" ht="16" thickBot="1" x14ac:dyDescent="0.25">
      <c r="B266" s="4">
        <v>261</v>
      </c>
      <c r="C266" s="4">
        <v>133.89005336793798</v>
      </c>
      <c r="D266" s="45"/>
    </row>
    <row r="267" spans="2:4" ht="16" thickBot="1" x14ac:dyDescent="0.25">
      <c r="B267" s="5">
        <v>262</v>
      </c>
      <c r="C267" s="5">
        <v>42.77525491741099</v>
      </c>
      <c r="D267" s="45"/>
    </row>
    <row r="268" spans="2:4" ht="16" thickBot="1" x14ac:dyDescent="0.25">
      <c r="B268" s="4">
        <v>263</v>
      </c>
      <c r="C268" s="4">
        <v>64.73393451794982</v>
      </c>
      <c r="D268" s="45"/>
    </row>
    <row r="269" spans="2:4" ht="16" thickBot="1" x14ac:dyDescent="0.25">
      <c r="B269" s="5">
        <v>264</v>
      </c>
      <c r="C269" s="5">
        <v>162.2524290220145</v>
      </c>
      <c r="D269" s="45"/>
    </row>
    <row r="270" spans="2:4" ht="16" thickBot="1" x14ac:dyDescent="0.25">
      <c r="B270" s="4">
        <v>265</v>
      </c>
      <c r="C270" s="4">
        <v>157.92800352286909</v>
      </c>
      <c r="D270" s="45"/>
    </row>
    <row r="271" spans="2:4" ht="16" thickBot="1" x14ac:dyDescent="0.25">
      <c r="B271" s="5">
        <v>266</v>
      </c>
      <c r="C271" s="5">
        <v>203.90134616815902</v>
      </c>
      <c r="D271" s="45"/>
    </row>
    <row r="272" spans="2:4" ht="16" thickBot="1" x14ac:dyDescent="0.25">
      <c r="B272" s="4">
        <v>267</v>
      </c>
      <c r="C272" s="4">
        <v>68.577538995245575</v>
      </c>
      <c r="D272" s="45"/>
    </row>
    <row r="273" spans="2:4" ht="16" thickBot="1" x14ac:dyDescent="0.25">
      <c r="B273" s="5">
        <v>268</v>
      </c>
      <c r="C273" s="5">
        <v>107.99420766233726</v>
      </c>
      <c r="D273" s="45"/>
    </row>
    <row r="274" spans="2:4" ht="16" thickBot="1" x14ac:dyDescent="0.25">
      <c r="B274" s="4">
        <v>269</v>
      </c>
      <c r="C274" s="4">
        <v>93.958166494748866</v>
      </c>
      <c r="D274" s="45"/>
    </row>
    <row r="275" spans="2:4" ht="16" thickBot="1" x14ac:dyDescent="0.25">
      <c r="B275" s="5">
        <v>270</v>
      </c>
      <c r="C275" s="5">
        <v>139.24748470554925</v>
      </c>
      <c r="D275" s="45"/>
    </row>
    <row r="276" spans="2:4" ht="16" thickBot="1" x14ac:dyDescent="0.25">
      <c r="B276" s="4">
        <v>271</v>
      </c>
      <c r="C276" s="4">
        <v>154.87835398147953</v>
      </c>
      <c r="D276" s="45"/>
    </row>
    <row r="277" spans="2:4" ht="16" thickBot="1" x14ac:dyDescent="0.25">
      <c r="B277" s="5">
        <v>272</v>
      </c>
      <c r="C277" s="5">
        <v>77.120852956030348</v>
      </c>
      <c r="D277" s="45"/>
    </row>
    <row r="278" spans="2:4" ht="16" thickBot="1" x14ac:dyDescent="0.25">
      <c r="B278" s="4">
        <v>273</v>
      </c>
      <c r="C278" s="4">
        <v>198.88590054968935</v>
      </c>
      <c r="D278" s="45"/>
    </row>
    <row r="279" spans="2:4" ht="16" thickBot="1" x14ac:dyDescent="0.25">
      <c r="B279" s="5">
        <v>274</v>
      </c>
      <c r="C279" s="5">
        <v>159.16541511351934</v>
      </c>
      <c r="D279" s="45"/>
    </row>
    <row r="280" spans="2:4" ht="16" thickBot="1" x14ac:dyDescent="0.25">
      <c r="B280" s="4">
        <v>275</v>
      </c>
      <c r="C280" s="4">
        <v>97.62679772132627</v>
      </c>
      <c r="D280" s="45"/>
    </row>
    <row r="281" spans="2:4" ht="16" thickBot="1" x14ac:dyDescent="0.25">
      <c r="B281" s="5">
        <v>276</v>
      </c>
      <c r="C281" s="5">
        <v>81.172129211526439</v>
      </c>
      <c r="D281" s="45"/>
    </row>
    <row r="282" spans="2:4" ht="16" thickBot="1" x14ac:dyDescent="0.25">
      <c r="B282" s="4">
        <v>277</v>
      </c>
      <c r="C282" s="4">
        <v>180.08821229861434</v>
      </c>
      <c r="D282" s="45"/>
    </row>
    <row r="283" spans="2:4" ht="16" thickBot="1" x14ac:dyDescent="0.25">
      <c r="B283" s="5">
        <v>278</v>
      </c>
      <c r="C283" s="5">
        <v>144.01038786072866</v>
      </c>
      <c r="D283" s="45"/>
    </row>
    <row r="284" spans="2:4" ht="16" thickBot="1" x14ac:dyDescent="0.25">
      <c r="B284" s="4">
        <v>279</v>
      </c>
      <c r="C284" s="4">
        <v>33.994812276706483</v>
      </c>
      <c r="D284" s="45"/>
    </row>
    <row r="285" spans="2:4" ht="16" thickBot="1" x14ac:dyDescent="0.25">
      <c r="B285" s="5">
        <v>280</v>
      </c>
      <c r="C285" s="5">
        <v>109.38482027607398</v>
      </c>
      <c r="D285" s="45"/>
    </row>
    <row r="286" spans="2:4" ht="16" thickBot="1" x14ac:dyDescent="0.25">
      <c r="B286" s="4">
        <v>281</v>
      </c>
      <c r="C286" s="4">
        <v>87.627970528551742</v>
      </c>
      <c r="D286" s="45"/>
    </row>
    <row r="287" spans="2:4" ht="16" thickBot="1" x14ac:dyDescent="0.25">
      <c r="B287" s="5">
        <v>282</v>
      </c>
      <c r="C287" s="5">
        <v>131.9482247253427</v>
      </c>
      <c r="D287" s="45"/>
    </row>
    <row r="288" spans="2:4" ht="16" thickBot="1" x14ac:dyDescent="0.25">
      <c r="B288" s="4">
        <v>283</v>
      </c>
      <c r="C288" s="4">
        <v>221.23101559003388</v>
      </c>
      <c r="D288" s="45"/>
    </row>
    <row r="289" spans="2:4" ht="16" thickBot="1" x14ac:dyDescent="0.25">
      <c r="B289" s="5">
        <v>284</v>
      </c>
      <c r="C289" s="5">
        <v>189.51753493163795</v>
      </c>
      <c r="D289" s="45"/>
    </row>
    <row r="290" spans="2:4" ht="16" thickBot="1" x14ac:dyDescent="0.25">
      <c r="B290" s="4">
        <v>285</v>
      </c>
      <c r="C290" s="4">
        <v>181.27675362376988</v>
      </c>
      <c r="D290" s="45"/>
    </row>
    <row r="291" spans="2:4" ht="16" thickBot="1" x14ac:dyDescent="0.25">
      <c r="B291" s="5">
        <v>286</v>
      </c>
      <c r="C291" s="5">
        <v>238.44946791038032</v>
      </c>
      <c r="D291" s="45"/>
    </row>
    <row r="292" spans="2:4" ht="16" thickBot="1" x14ac:dyDescent="0.25">
      <c r="B292" s="4">
        <v>287</v>
      </c>
      <c r="C292" s="4">
        <v>214.84131629734165</v>
      </c>
      <c r="D292" s="45"/>
    </row>
    <row r="293" spans="2:4" ht="16" thickBot="1" x14ac:dyDescent="0.25">
      <c r="B293" s="5">
        <v>288</v>
      </c>
      <c r="C293" s="5">
        <v>266.81088623019986</v>
      </c>
      <c r="D293" s="45"/>
    </row>
    <row r="294" spans="2:4" ht="16" thickBot="1" x14ac:dyDescent="0.25">
      <c r="B294" s="4">
        <v>289</v>
      </c>
      <c r="C294" s="4">
        <v>96.834007476060179</v>
      </c>
      <c r="D294" s="45"/>
    </row>
    <row r="295" spans="2:4" ht="16" thickBot="1" x14ac:dyDescent="0.25">
      <c r="B295" s="5">
        <v>290</v>
      </c>
      <c r="C295" s="5">
        <v>150.61344316096634</v>
      </c>
      <c r="D295" s="45"/>
    </row>
    <row r="296" spans="2:4" ht="16" thickBot="1" x14ac:dyDescent="0.25">
      <c r="B296" s="4">
        <v>291</v>
      </c>
      <c r="C296" s="4">
        <v>151.25109750858309</v>
      </c>
      <c r="D296" s="45"/>
    </row>
    <row r="297" spans="2:4" ht="16" thickBot="1" x14ac:dyDescent="0.25">
      <c r="B297" s="5">
        <v>292</v>
      </c>
      <c r="C297" s="5">
        <v>112.71615456268044</v>
      </c>
      <c r="D297" s="45"/>
    </row>
    <row r="298" spans="2:4" ht="16" thickBot="1" x14ac:dyDescent="0.25">
      <c r="B298" s="4">
        <v>293</v>
      </c>
      <c r="C298" s="4">
        <v>102.7311520552948</v>
      </c>
      <c r="D298" s="45"/>
    </row>
    <row r="299" spans="2:4" ht="16" thickBot="1" x14ac:dyDescent="0.25">
      <c r="B299" s="5">
        <v>294</v>
      </c>
      <c r="C299" s="5">
        <v>215.19101299467169</v>
      </c>
      <c r="D299" s="45"/>
    </row>
    <row r="300" spans="2:4" ht="16" thickBot="1" x14ac:dyDescent="0.25">
      <c r="B300" s="4">
        <v>295</v>
      </c>
      <c r="C300" s="4">
        <v>200.25005330428161</v>
      </c>
      <c r="D300" s="45"/>
    </row>
    <row r="301" spans="2:4" ht="16" thickBot="1" x14ac:dyDescent="0.25">
      <c r="B301" s="5">
        <v>296</v>
      </c>
      <c r="C301" s="5">
        <v>194.50860373541528</v>
      </c>
      <c r="D301" s="45"/>
    </row>
    <row r="302" spans="2:4" ht="16" thickBot="1" x14ac:dyDescent="0.25">
      <c r="B302" s="4">
        <v>297</v>
      </c>
      <c r="C302" s="4">
        <v>49.629412669390817</v>
      </c>
      <c r="D302" s="45"/>
    </row>
    <row r="303" spans="2:4" ht="16" thickBot="1" x14ac:dyDescent="0.25">
      <c r="B303" s="5">
        <v>298</v>
      </c>
      <c r="C303" s="5">
        <v>91.910126993320219</v>
      </c>
      <c r="D303" s="45"/>
    </row>
    <row r="304" spans="2:4" ht="16" thickBot="1" x14ac:dyDescent="0.25">
      <c r="B304" s="4">
        <v>299</v>
      </c>
      <c r="C304" s="4">
        <v>136.2671399016948</v>
      </c>
      <c r="D304" s="45"/>
    </row>
    <row r="305" spans="2:4" ht="16" thickBot="1" x14ac:dyDescent="0.25">
      <c r="B305" s="5">
        <v>300</v>
      </c>
      <c r="C305" s="5">
        <v>111.07055199383709</v>
      </c>
      <c r="D305" s="45"/>
    </row>
    <row r="306" spans="2:4" ht="16" thickBot="1" x14ac:dyDescent="0.25">
      <c r="B306" s="4">
        <v>301</v>
      </c>
      <c r="C306" s="4">
        <v>158.94907455494351</v>
      </c>
      <c r="D306" s="45"/>
    </row>
    <row r="307" spans="2:4" ht="16" thickBot="1" x14ac:dyDescent="0.25">
      <c r="B307" s="5">
        <v>302</v>
      </c>
      <c r="C307" s="5">
        <v>153.19172478619947</v>
      </c>
      <c r="D307" s="45"/>
    </row>
    <row r="308" spans="2:4" ht="16" thickBot="1" x14ac:dyDescent="0.25">
      <c r="B308" s="4">
        <v>303</v>
      </c>
      <c r="C308" s="4">
        <v>66.204461426979179</v>
      </c>
      <c r="D308" s="45"/>
    </row>
    <row r="309" spans="2:4" ht="16" thickBot="1" x14ac:dyDescent="0.25">
      <c r="B309" s="5">
        <v>304</v>
      </c>
      <c r="C309" s="5">
        <v>330.45528476135422</v>
      </c>
      <c r="D309" s="45"/>
    </row>
    <row r="310" spans="2:4" ht="16" thickBot="1" x14ac:dyDescent="0.25">
      <c r="B310" s="4">
        <v>305</v>
      </c>
      <c r="C310" s="4">
        <v>367.96258145228575</v>
      </c>
      <c r="D310" s="45"/>
    </row>
    <row r="311" spans="2:4" ht="16" thickBot="1" x14ac:dyDescent="0.25">
      <c r="B311" s="5">
        <v>306</v>
      </c>
      <c r="C311" s="5">
        <v>133.44633770938196</v>
      </c>
      <c r="D311" s="45"/>
    </row>
    <row r="312" spans="2:4" ht="16" thickBot="1" x14ac:dyDescent="0.25">
      <c r="B312" s="4">
        <v>307</v>
      </c>
      <c r="C312" s="4">
        <v>254.87138756759612</v>
      </c>
      <c r="D312" s="45"/>
    </row>
    <row r="313" spans="2:4" ht="16" thickBot="1" x14ac:dyDescent="0.25">
      <c r="B313" s="5">
        <v>308</v>
      </c>
      <c r="C313" s="5">
        <v>100.16561306405148</v>
      </c>
      <c r="D313" s="45"/>
    </row>
    <row r="314" spans="2:4" ht="16" thickBot="1" x14ac:dyDescent="0.25">
      <c r="B314" s="4">
        <v>309</v>
      </c>
      <c r="C314" s="4">
        <v>127.2569048192974</v>
      </c>
      <c r="D314" s="45"/>
    </row>
    <row r="315" spans="2:4" ht="16" thickBot="1" x14ac:dyDescent="0.25">
      <c r="B315" s="5">
        <v>310</v>
      </c>
      <c r="C315" s="5">
        <v>84.761024085596674</v>
      </c>
      <c r="D315" s="45"/>
    </row>
    <row r="316" spans="2:4" ht="16" thickBot="1" x14ac:dyDescent="0.25">
      <c r="B316" s="4">
        <v>311</v>
      </c>
      <c r="C316" s="4">
        <v>205.18427252405576</v>
      </c>
      <c r="D316" s="45"/>
    </row>
    <row r="317" spans="2:4" ht="16" thickBot="1" x14ac:dyDescent="0.25">
      <c r="B317" s="5">
        <v>312</v>
      </c>
      <c r="C317" s="5">
        <v>49.66365772731281</v>
      </c>
      <c r="D317" s="45"/>
    </row>
    <row r="318" spans="2:4" ht="16" thickBot="1" x14ac:dyDescent="0.25">
      <c r="B318" s="4">
        <v>313</v>
      </c>
      <c r="C318" s="4">
        <v>209.18779107423114</v>
      </c>
      <c r="D318" s="45"/>
    </row>
    <row r="319" spans="2:4" ht="16" thickBot="1" x14ac:dyDescent="0.25">
      <c r="B319" s="5">
        <v>314</v>
      </c>
      <c r="C319" s="5">
        <v>94.759828473621283</v>
      </c>
      <c r="D319" s="45"/>
    </row>
    <row r="320" spans="2:4" ht="16" thickBot="1" x14ac:dyDescent="0.25">
      <c r="B320" s="4">
        <v>315</v>
      </c>
      <c r="C320" s="4">
        <v>244.46819272996132</v>
      </c>
      <c r="D320" s="45"/>
    </row>
    <row r="321" spans="2:4" ht="16" thickBot="1" x14ac:dyDescent="0.25">
      <c r="B321" s="5">
        <v>316</v>
      </c>
      <c r="C321" s="5">
        <v>101.53204602057285</v>
      </c>
      <c r="D321" s="45"/>
    </row>
    <row r="322" spans="2:4" ht="16" thickBot="1" x14ac:dyDescent="0.25">
      <c r="B322" s="4">
        <v>317</v>
      </c>
      <c r="C322" s="4">
        <v>256.42949532139596</v>
      </c>
      <c r="D322" s="45"/>
    </row>
    <row r="323" spans="2:4" ht="16" thickBot="1" x14ac:dyDescent="0.25">
      <c r="B323" s="5">
        <v>318</v>
      </c>
      <c r="C323" s="5">
        <v>317.09981126707777</v>
      </c>
      <c r="D323" s="45"/>
    </row>
    <row r="324" spans="2:4" ht="16" thickBot="1" x14ac:dyDescent="0.25">
      <c r="B324" s="4">
        <v>319</v>
      </c>
      <c r="C324" s="4">
        <v>106.15302608326341</v>
      </c>
      <c r="D324" s="45"/>
    </row>
    <row r="325" spans="2:4" ht="16" thickBot="1" x14ac:dyDescent="0.25">
      <c r="B325" s="5">
        <v>320</v>
      </c>
      <c r="C325" s="5">
        <v>149.78268291788959</v>
      </c>
      <c r="D325" s="45"/>
    </row>
    <row r="326" spans="2:4" ht="16" thickBot="1" x14ac:dyDescent="0.25">
      <c r="B326" s="4">
        <v>321</v>
      </c>
      <c r="C326" s="4">
        <v>196.74650479066682</v>
      </c>
      <c r="D326" s="45"/>
    </row>
    <row r="327" spans="2:4" ht="16" thickBot="1" x14ac:dyDescent="0.25">
      <c r="B327" s="5">
        <v>322</v>
      </c>
      <c r="C327" s="5">
        <v>116.80867258274749</v>
      </c>
      <c r="D327" s="45"/>
    </row>
    <row r="328" spans="2:4" ht="16" thickBot="1" x14ac:dyDescent="0.25">
      <c r="B328" s="4">
        <v>323</v>
      </c>
      <c r="C328" s="4">
        <v>70.664569465984997</v>
      </c>
      <c r="D328" s="45"/>
    </row>
    <row r="329" spans="2:4" ht="16" thickBot="1" x14ac:dyDescent="0.25">
      <c r="B329" s="5">
        <v>324</v>
      </c>
      <c r="C329" s="5">
        <v>424.27240255693073</v>
      </c>
      <c r="D329" s="45"/>
    </row>
    <row r="330" spans="2:4" ht="16" thickBot="1" x14ac:dyDescent="0.25">
      <c r="B330" s="4">
        <v>325</v>
      </c>
      <c r="C330" s="4">
        <v>327.65973035966243</v>
      </c>
      <c r="D330" s="45"/>
    </row>
    <row r="331" spans="2:4" ht="16" thickBot="1" x14ac:dyDescent="0.25">
      <c r="B331" s="5">
        <v>326</v>
      </c>
      <c r="C331" s="5">
        <v>79.540637239407019</v>
      </c>
      <c r="D331" s="45"/>
    </row>
    <row r="332" spans="2:4" ht="16" thickBot="1" x14ac:dyDescent="0.25">
      <c r="B332" s="4">
        <v>327</v>
      </c>
      <c r="C332" s="4">
        <v>111.4244801779718</v>
      </c>
      <c r="D332" s="45"/>
    </row>
    <row r="333" spans="2:4" ht="16" thickBot="1" x14ac:dyDescent="0.25">
      <c r="B333" s="5">
        <v>328</v>
      </c>
      <c r="C333" s="5">
        <v>107.02508071012393</v>
      </c>
      <c r="D333" s="45"/>
    </row>
    <row r="334" spans="2:4" ht="16" thickBot="1" x14ac:dyDescent="0.25">
      <c r="B334" s="4">
        <v>329</v>
      </c>
      <c r="C334" s="4">
        <v>146.57164654595175</v>
      </c>
      <c r="D334" s="45"/>
    </row>
    <row r="335" spans="2:4" ht="16" thickBot="1" x14ac:dyDescent="0.25">
      <c r="B335" s="5">
        <v>330</v>
      </c>
      <c r="C335" s="5">
        <v>271.09377264530576</v>
      </c>
      <c r="D335" s="45"/>
    </row>
    <row r="336" spans="2:4" ht="16" thickBot="1" x14ac:dyDescent="0.25">
      <c r="B336" s="4">
        <v>331</v>
      </c>
      <c r="C336" s="4">
        <v>56.695726252566992</v>
      </c>
      <c r="D336" s="45"/>
    </row>
    <row r="337" spans="2:4" ht="16" thickBot="1" x14ac:dyDescent="0.25">
      <c r="B337" s="5">
        <v>332</v>
      </c>
      <c r="C337" s="5">
        <v>194.55231158136712</v>
      </c>
      <c r="D337" s="45"/>
    </row>
    <row r="338" spans="2:4" ht="16" thickBot="1" x14ac:dyDescent="0.25">
      <c r="B338" s="4">
        <v>333</v>
      </c>
      <c r="C338" s="4">
        <v>57.356700202825714</v>
      </c>
      <c r="D338" s="45"/>
    </row>
    <row r="339" spans="2:4" ht="16" thickBot="1" x14ac:dyDescent="0.25">
      <c r="B339" s="5">
        <v>334</v>
      </c>
      <c r="C339" s="5">
        <v>96.870756948468895</v>
      </c>
      <c r="D339" s="45"/>
    </row>
    <row r="340" spans="2:4" ht="16" thickBot="1" x14ac:dyDescent="0.25">
      <c r="B340" s="4">
        <v>335</v>
      </c>
      <c r="C340" s="4">
        <v>73.290763837096378</v>
      </c>
      <c r="D340" s="45"/>
    </row>
    <row r="341" spans="2:4" ht="16" thickBot="1" x14ac:dyDescent="0.25">
      <c r="B341" s="5">
        <v>336</v>
      </c>
      <c r="C341" s="5">
        <v>204.04397586629725</v>
      </c>
      <c r="D341" s="45"/>
    </row>
    <row r="342" spans="2:4" ht="16" thickBot="1" x14ac:dyDescent="0.25">
      <c r="B342" s="4">
        <v>337</v>
      </c>
      <c r="C342" s="4">
        <v>117.23776888849675</v>
      </c>
      <c r="D342" s="45"/>
    </row>
    <row r="343" spans="2:4" ht="16" thickBot="1" x14ac:dyDescent="0.25">
      <c r="B343" s="5">
        <v>338</v>
      </c>
      <c r="C343" s="5">
        <v>218.5167486767586</v>
      </c>
      <c r="D343" s="45"/>
    </row>
    <row r="344" spans="2:4" ht="16" thickBot="1" x14ac:dyDescent="0.25">
      <c r="B344" s="4">
        <v>339</v>
      </c>
      <c r="C344" s="4">
        <v>152.55996483609638</v>
      </c>
      <c r="D344" s="45"/>
    </row>
    <row r="345" spans="2:4" ht="16" thickBot="1" x14ac:dyDescent="0.25">
      <c r="B345" s="5">
        <v>340</v>
      </c>
      <c r="C345" s="5">
        <v>120.80311931071446</v>
      </c>
      <c r="D345" s="45"/>
    </row>
    <row r="346" spans="2:4" ht="16" thickBot="1" x14ac:dyDescent="0.25">
      <c r="B346" s="4">
        <v>341</v>
      </c>
      <c r="C346" s="4">
        <v>112.4092375848616</v>
      </c>
      <c r="D346" s="45"/>
    </row>
    <row r="347" spans="2:4" ht="16" thickBot="1" x14ac:dyDescent="0.25">
      <c r="B347" s="5">
        <v>342</v>
      </c>
      <c r="C347" s="5">
        <v>198.31121840782981</v>
      </c>
      <c r="D347" s="45"/>
    </row>
    <row r="348" spans="2:4" ht="16" thickBot="1" x14ac:dyDescent="0.25">
      <c r="B348" s="4">
        <v>343</v>
      </c>
      <c r="C348" s="4">
        <v>126.63622091945888</v>
      </c>
      <c r="D348" s="45"/>
    </row>
    <row r="349" spans="2:4" ht="16" thickBot="1" x14ac:dyDescent="0.25">
      <c r="B349" s="5">
        <v>344</v>
      </c>
      <c r="C349" s="5">
        <v>94.354216898095018</v>
      </c>
      <c r="D349" s="45"/>
    </row>
    <row r="350" spans="2:4" ht="16" thickBot="1" x14ac:dyDescent="0.25">
      <c r="B350" s="4">
        <v>345</v>
      </c>
      <c r="C350" s="4">
        <v>115.48759237239777</v>
      </c>
      <c r="D350" s="45"/>
    </row>
    <row r="351" spans="2:4" ht="16" thickBot="1" x14ac:dyDescent="0.25">
      <c r="B351" s="5">
        <v>346</v>
      </c>
      <c r="C351" s="5">
        <v>171.4624704388001</v>
      </c>
      <c r="D351" s="45"/>
    </row>
    <row r="352" spans="2:4" ht="16" thickBot="1" x14ac:dyDescent="0.25">
      <c r="B352" s="4">
        <v>347</v>
      </c>
      <c r="C352" s="4">
        <v>141.00533493021558</v>
      </c>
      <c r="D352" s="45"/>
    </row>
    <row r="353" spans="2:4" ht="16" thickBot="1" x14ac:dyDescent="0.25">
      <c r="B353" s="5">
        <v>348</v>
      </c>
      <c r="C353" s="5">
        <v>234.31318858680609</v>
      </c>
      <c r="D353" s="45"/>
    </row>
    <row r="354" spans="2:4" ht="16" thickBot="1" x14ac:dyDescent="0.25">
      <c r="B354" s="4">
        <v>349</v>
      </c>
      <c r="C354" s="4">
        <v>113.16407081654489</v>
      </c>
      <c r="D354" s="45"/>
    </row>
    <row r="355" spans="2:4" ht="16" thickBot="1" x14ac:dyDescent="0.25">
      <c r="B355" s="5">
        <v>350</v>
      </c>
      <c r="C355" s="5">
        <v>408.92034320975119</v>
      </c>
      <c r="D355" s="45"/>
    </row>
    <row r="356" spans="2:4" ht="16" thickBot="1" x14ac:dyDescent="0.25">
      <c r="B356" s="4">
        <v>351</v>
      </c>
      <c r="C356" s="4">
        <v>62.727171561721278</v>
      </c>
      <c r="D356" s="45"/>
    </row>
    <row r="357" spans="2:4" ht="16" thickBot="1" x14ac:dyDescent="0.25">
      <c r="B357" s="5">
        <v>352</v>
      </c>
      <c r="C357" s="5">
        <v>127.70076219284483</v>
      </c>
      <c r="D357" s="45"/>
    </row>
    <row r="358" spans="2:4" ht="16" thickBot="1" x14ac:dyDescent="0.25">
      <c r="B358" s="4">
        <v>353</v>
      </c>
      <c r="C358" s="4">
        <v>215.40299075343299</v>
      </c>
      <c r="D358" s="45"/>
    </row>
    <row r="359" spans="2:4" ht="16" thickBot="1" x14ac:dyDescent="0.25">
      <c r="B359" s="5">
        <v>354</v>
      </c>
      <c r="C359" s="5">
        <v>210.64465757219659</v>
      </c>
      <c r="D359" s="45"/>
    </row>
    <row r="360" spans="2:4" ht="16" thickBot="1" x14ac:dyDescent="0.25">
      <c r="B360" s="4">
        <v>355</v>
      </c>
      <c r="C360" s="4">
        <v>181.00261570459375</v>
      </c>
      <c r="D360" s="45"/>
    </row>
    <row r="361" spans="2:4" ht="16" thickBot="1" x14ac:dyDescent="0.25">
      <c r="B361" s="5">
        <v>356</v>
      </c>
      <c r="C361" s="5">
        <v>171.00546406843051</v>
      </c>
      <c r="D361" s="45"/>
    </row>
    <row r="362" spans="2:4" ht="16" thickBot="1" x14ac:dyDescent="0.25">
      <c r="B362" s="4">
        <v>357</v>
      </c>
      <c r="C362" s="4">
        <v>96.60750138210102</v>
      </c>
      <c r="D362" s="45"/>
    </row>
    <row r="363" spans="2:4" ht="16" thickBot="1" x14ac:dyDescent="0.25">
      <c r="B363" s="5">
        <v>358</v>
      </c>
      <c r="C363" s="5">
        <v>221.9180001720207</v>
      </c>
      <c r="D363" s="45"/>
    </row>
    <row r="364" spans="2:4" ht="16" thickBot="1" x14ac:dyDescent="0.25">
      <c r="B364" s="4">
        <v>359</v>
      </c>
      <c r="C364" s="4">
        <v>147.64383772452777</v>
      </c>
      <c r="D364" s="45"/>
    </row>
    <row r="365" spans="2:4" ht="16" thickBot="1" x14ac:dyDescent="0.25">
      <c r="B365" s="5">
        <v>360</v>
      </c>
      <c r="C365" s="5">
        <v>158.57725404127754</v>
      </c>
      <c r="D365" s="45"/>
    </row>
    <row r="366" spans="2:4" ht="16" thickBot="1" x14ac:dyDescent="0.25">
      <c r="B366" s="4">
        <v>361</v>
      </c>
      <c r="C366" s="4">
        <v>180.96187661098236</v>
      </c>
      <c r="D366" s="45"/>
    </row>
    <row r="367" spans="2:4" ht="16" thickBot="1" x14ac:dyDescent="0.25">
      <c r="B367" s="5">
        <v>362</v>
      </c>
      <c r="C367" s="5">
        <v>163.71804696722626</v>
      </c>
      <c r="D367" s="45"/>
    </row>
    <row r="368" spans="2:4" ht="16" thickBot="1" x14ac:dyDescent="0.25">
      <c r="B368" s="4">
        <v>363</v>
      </c>
      <c r="C368" s="4">
        <v>101.55982054802017</v>
      </c>
      <c r="D368" s="45"/>
    </row>
    <row r="369" spans="2:4" ht="16" thickBot="1" x14ac:dyDescent="0.25">
      <c r="B369" s="5">
        <v>364</v>
      </c>
      <c r="C369" s="5">
        <v>80.290591532170126</v>
      </c>
      <c r="D369" s="45"/>
    </row>
    <row r="370" spans="2:4" ht="16" thickBot="1" x14ac:dyDescent="0.25">
      <c r="B370" s="4">
        <v>365</v>
      </c>
      <c r="C370" s="4">
        <v>120.22681634470928</v>
      </c>
      <c r="D370" s="45"/>
    </row>
    <row r="371" spans="2:4" ht="16" thickBot="1" x14ac:dyDescent="0.25">
      <c r="B371" s="5">
        <v>366</v>
      </c>
      <c r="C371" s="5">
        <v>235.09232581699663</v>
      </c>
      <c r="D371" s="45"/>
    </row>
    <row r="372" spans="2:4" ht="16" thickBot="1" x14ac:dyDescent="0.25">
      <c r="B372" s="4">
        <v>367</v>
      </c>
      <c r="C372" s="4">
        <v>118.53472670109197</v>
      </c>
      <c r="D372" s="45"/>
    </row>
    <row r="373" spans="2:4" ht="16" thickBot="1" x14ac:dyDescent="0.25">
      <c r="B373" s="5">
        <v>368</v>
      </c>
      <c r="C373" s="5">
        <v>93.08122684556983</v>
      </c>
      <c r="D373" s="45"/>
    </row>
    <row r="374" spans="2:4" ht="16" thickBot="1" x14ac:dyDescent="0.25">
      <c r="B374" s="4">
        <v>369</v>
      </c>
      <c r="C374" s="4">
        <v>53.182823846533807</v>
      </c>
      <c r="D374" s="45"/>
    </row>
    <row r="375" spans="2:4" ht="16" thickBot="1" x14ac:dyDescent="0.25">
      <c r="B375" s="5">
        <v>370</v>
      </c>
      <c r="C375" s="5">
        <v>142.44342128967023</v>
      </c>
      <c r="D375" s="45"/>
    </row>
    <row r="376" spans="2:4" ht="16" thickBot="1" x14ac:dyDescent="0.25">
      <c r="B376" s="4">
        <v>371</v>
      </c>
      <c r="C376" s="4">
        <v>176.75035511456625</v>
      </c>
      <c r="D376" s="45"/>
    </row>
    <row r="377" spans="2:4" ht="16" thickBot="1" x14ac:dyDescent="0.25">
      <c r="B377" s="5">
        <v>372</v>
      </c>
      <c r="C377" s="5">
        <v>71.498917788135245</v>
      </c>
      <c r="D377" s="45"/>
    </row>
    <row r="378" spans="2:4" ht="16" thickBot="1" x14ac:dyDescent="0.25">
      <c r="B378" s="4">
        <v>373</v>
      </c>
      <c r="C378" s="4">
        <v>140.28118025359379</v>
      </c>
      <c r="D378" s="45"/>
    </row>
    <row r="379" spans="2:4" ht="16" thickBot="1" x14ac:dyDescent="0.25">
      <c r="B379" s="5">
        <v>374</v>
      </c>
      <c r="C379" s="5">
        <v>90.565576077680035</v>
      </c>
      <c r="D379" s="45"/>
    </row>
    <row r="380" spans="2:4" ht="16" thickBot="1" x14ac:dyDescent="0.25">
      <c r="B380" s="4">
        <v>375</v>
      </c>
      <c r="C380" s="4">
        <v>110.89327996677595</v>
      </c>
      <c r="D380" s="45"/>
    </row>
    <row r="381" spans="2:4" ht="16" thickBot="1" x14ac:dyDescent="0.25">
      <c r="B381" s="5">
        <v>376</v>
      </c>
      <c r="C381" s="5">
        <v>136.31339589538717</v>
      </c>
      <c r="D381" s="45"/>
    </row>
    <row r="382" spans="2:4" ht="16" thickBot="1" x14ac:dyDescent="0.25">
      <c r="B382" s="4">
        <v>377</v>
      </c>
      <c r="C382" s="4">
        <v>151.43543128549845</v>
      </c>
      <c r="D382" s="45"/>
    </row>
    <row r="383" spans="2:4" ht="16" thickBot="1" x14ac:dyDescent="0.25">
      <c r="B383" s="5">
        <v>378</v>
      </c>
      <c r="C383" s="5">
        <v>125.41962268228394</v>
      </c>
      <c r="D383" s="45"/>
    </row>
    <row r="384" spans="2:4" ht="16" thickBot="1" x14ac:dyDescent="0.25">
      <c r="B384" s="4">
        <v>379</v>
      </c>
      <c r="C384" s="4">
        <v>157.52196416318688</v>
      </c>
      <c r="D384" s="45"/>
    </row>
    <row r="385" spans="2:4" ht="16" thickBot="1" x14ac:dyDescent="0.25">
      <c r="B385" s="5">
        <v>380</v>
      </c>
      <c r="C385" s="5">
        <v>104.81368098506104</v>
      </c>
      <c r="D385" s="45"/>
    </row>
    <row r="386" spans="2:4" ht="16" thickBot="1" x14ac:dyDescent="0.25">
      <c r="B386" s="4">
        <v>381</v>
      </c>
      <c r="C386" s="4">
        <v>160.06075565388906</v>
      </c>
      <c r="D386" s="45"/>
    </row>
    <row r="387" spans="2:4" ht="16" thickBot="1" x14ac:dyDescent="0.25">
      <c r="B387" s="5">
        <v>382</v>
      </c>
      <c r="C387" s="5">
        <v>186.19888095807704</v>
      </c>
      <c r="D387" s="45"/>
    </row>
    <row r="388" spans="2:4" ht="16" thickBot="1" x14ac:dyDescent="0.25">
      <c r="B388" s="4">
        <v>383</v>
      </c>
      <c r="C388" s="4">
        <v>152.16652685320784</v>
      </c>
      <c r="D388" s="45"/>
    </row>
    <row r="389" spans="2:4" ht="16" thickBot="1" x14ac:dyDescent="0.25">
      <c r="B389" s="5">
        <v>384</v>
      </c>
      <c r="C389" s="5">
        <v>86.013296033740502</v>
      </c>
      <c r="D389" s="45"/>
    </row>
    <row r="390" spans="2:4" ht="16" thickBot="1" x14ac:dyDescent="0.25">
      <c r="B390" s="4">
        <v>385</v>
      </c>
      <c r="C390" s="4">
        <v>235.24590584136917</v>
      </c>
      <c r="D390" s="45"/>
    </row>
    <row r="391" spans="2:4" ht="16" thickBot="1" x14ac:dyDescent="0.25">
      <c r="B391" s="5">
        <v>386</v>
      </c>
      <c r="C391" s="5">
        <v>173.4518356021569</v>
      </c>
      <c r="D391" s="45"/>
    </row>
    <row r="392" spans="2:4" ht="16" thickBot="1" x14ac:dyDescent="0.25">
      <c r="B392" s="4">
        <v>387</v>
      </c>
      <c r="C392" s="4">
        <v>150.85843252370032</v>
      </c>
      <c r="D392" s="45"/>
    </row>
    <row r="393" spans="2:4" ht="16" thickBot="1" x14ac:dyDescent="0.25">
      <c r="B393" s="5">
        <v>388</v>
      </c>
      <c r="C393" s="5">
        <v>85.410740464798579</v>
      </c>
      <c r="D393" s="45"/>
    </row>
    <row r="394" spans="2:4" ht="16" thickBot="1" x14ac:dyDescent="0.25">
      <c r="B394" s="4">
        <v>389</v>
      </c>
      <c r="C394" s="4">
        <v>295.55687336564705</v>
      </c>
      <c r="D394" s="45"/>
    </row>
    <row r="395" spans="2:4" ht="16" thickBot="1" x14ac:dyDescent="0.25">
      <c r="B395" s="5">
        <v>390</v>
      </c>
      <c r="C395" s="5">
        <v>164.04755768983176</v>
      </c>
      <c r="D395" s="45"/>
    </row>
    <row r="396" spans="2:4" ht="16" thickBot="1" x14ac:dyDescent="0.25">
      <c r="B396" s="4">
        <v>391</v>
      </c>
      <c r="C396" s="4">
        <v>237.89070097206564</v>
      </c>
      <c r="D396" s="45"/>
    </row>
    <row r="397" spans="2:4" ht="16" thickBot="1" x14ac:dyDescent="0.25">
      <c r="B397" s="5">
        <v>392</v>
      </c>
      <c r="C397" s="5">
        <v>153.93912675229424</v>
      </c>
      <c r="D397" s="45"/>
    </row>
    <row r="398" spans="2:4" ht="16" thickBot="1" x14ac:dyDescent="0.25">
      <c r="B398" s="4">
        <v>393</v>
      </c>
      <c r="C398" s="4">
        <v>149.64742549612902</v>
      </c>
      <c r="D398" s="45"/>
    </row>
    <row r="399" spans="2:4" ht="16" thickBot="1" x14ac:dyDescent="0.25">
      <c r="B399" s="5">
        <v>394</v>
      </c>
      <c r="C399" s="5">
        <v>119.79254576565813</v>
      </c>
      <c r="D399" s="45"/>
    </row>
    <row r="400" spans="2:4" ht="16" thickBot="1" x14ac:dyDescent="0.25">
      <c r="B400" s="4">
        <v>395</v>
      </c>
      <c r="C400" s="4">
        <v>244.29542065479947</v>
      </c>
      <c r="D400" s="45"/>
    </row>
    <row r="401" spans="2:4" ht="16" thickBot="1" x14ac:dyDescent="0.25">
      <c r="B401" s="5">
        <v>396</v>
      </c>
      <c r="C401" s="5">
        <v>71.887507211889357</v>
      </c>
      <c r="D401" s="45"/>
    </row>
    <row r="402" spans="2:4" ht="16" thickBot="1" x14ac:dyDescent="0.25">
      <c r="B402" s="4">
        <v>397</v>
      </c>
      <c r="C402" s="4">
        <v>197.92505535489636</v>
      </c>
      <c r="D402" s="45"/>
    </row>
    <row r="403" spans="2:4" ht="16" thickBot="1" x14ac:dyDescent="0.25">
      <c r="B403" s="5">
        <v>398</v>
      </c>
      <c r="C403" s="5">
        <v>101.58734386656086</v>
      </c>
      <c r="D403" s="45"/>
    </row>
    <row r="404" spans="2:4" ht="16" thickBot="1" x14ac:dyDescent="0.25">
      <c r="B404" s="4">
        <v>399</v>
      </c>
      <c r="C404" s="4">
        <v>99.906540131401727</v>
      </c>
      <c r="D404" s="45"/>
    </row>
    <row r="405" spans="2:4" ht="16" thickBot="1" x14ac:dyDescent="0.25">
      <c r="B405" s="5">
        <v>400</v>
      </c>
      <c r="C405" s="5">
        <v>205.22610728291551</v>
      </c>
      <c r="D405" s="45"/>
    </row>
    <row r="406" spans="2:4" ht="16" thickBot="1" x14ac:dyDescent="0.25">
      <c r="B406" s="4">
        <v>401</v>
      </c>
      <c r="C406" s="4">
        <v>177.51671325205413</v>
      </c>
      <c r="D406" s="45"/>
    </row>
    <row r="407" spans="2:4" ht="16" thickBot="1" x14ac:dyDescent="0.25">
      <c r="B407" s="5">
        <v>402</v>
      </c>
      <c r="C407" s="5">
        <v>121.44337779686983</v>
      </c>
      <c r="D407" s="45"/>
    </row>
    <row r="408" spans="2:4" ht="16" thickBot="1" x14ac:dyDescent="0.25">
      <c r="B408" s="4">
        <v>403</v>
      </c>
      <c r="C408" s="4">
        <v>137.45746193275301</v>
      </c>
      <c r="D408" s="45"/>
    </row>
    <row r="409" spans="2:4" ht="16" thickBot="1" x14ac:dyDescent="0.25">
      <c r="B409" s="5">
        <v>404</v>
      </c>
      <c r="C409" s="5">
        <v>321.00038063539364</v>
      </c>
      <c r="D409" s="45"/>
    </row>
    <row r="410" spans="2:4" ht="16" thickBot="1" x14ac:dyDescent="0.25">
      <c r="B410" s="4">
        <v>405</v>
      </c>
      <c r="C410" s="4">
        <v>46.429878516503059</v>
      </c>
      <c r="D410" s="45"/>
    </row>
    <row r="411" spans="2:4" ht="16" thickBot="1" x14ac:dyDescent="0.25">
      <c r="B411" s="5">
        <v>406</v>
      </c>
      <c r="C411" s="5">
        <v>189.96252647186802</v>
      </c>
      <c r="D411" s="45"/>
    </row>
    <row r="412" spans="2:4" ht="16" thickBot="1" x14ac:dyDescent="0.25">
      <c r="B412" s="4">
        <v>407</v>
      </c>
      <c r="C412" s="4">
        <v>250.4225592211921</v>
      </c>
      <c r="D412" s="45"/>
    </row>
    <row r="413" spans="2:4" ht="16" thickBot="1" x14ac:dyDescent="0.25">
      <c r="B413" s="5">
        <v>408</v>
      </c>
      <c r="C413" s="5">
        <v>245.5869722442684</v>
      </c>
      <c r="D413" s="45"/>
    </row>
    <row r="414" spans="2:4" ht="16" thickBot="1" x14ac:dyDescent="0.25">
      <c r="B414" s="4">
        <v>409</v>
      </c>
      <c r="C414" s="4">
        <v>187.90916968417199</v>
      </c>
      <c r="D414" s="45"/>
    </row>
    <row r="415" spans="2:4" ht="16" thickBot="1" x14ac:dyDescent="0.25">
      <c r="B415" s="5">
        <v>410</v>
      </c>
      <c r="C415" s="5">
        <v>158.1114494499528</v>
      </c>
      <c r="D415" s="45"/>
    </row>
    <row r="416" spans="2:4" ht="16" thickBot="1" x14ac:dyDescent="0.25">
      <c r="B416" s="4">
        <v>411</v>
      </c>
      <c r="C416" s="4">
        <v>208.49464249012703</v>
      </c>
      <c r="D416" s="45"/>
    </row>
    <row r="417" spans="2:4" ht="16" thickBot="1" x14ac:dyDescent="0.25">
      <c r="B417" s="5">
        <v>412</v>
      </c>
      <c r="C417" s="5">
        <v>138.27146016992555</v>
      </c>
      <c r="D417" s="45"/>
    </row>
    <row r="418" spans="2:4" ht="16" thickBot="1" x14ac:dyDescent="0.25">
      <c r="B418" s="4">
        <v>413</v>
      </c>
      <c r="C418" s="4">
        <v>103.00888197128823</v>
      </c>
      <c r="D418" s="45"/>
    </row>
    <row r="419" spans="2:4" ht="16" thickBot="1" x14ac:dyDescent="0.25">
      <c r="B419" s="5">
        <v>414</v>
      </c>
      <c r="C419" s="5">
        <v>184.33003041800058</v>
      </c>
      <c r="D419" s="45"/>
    </row>
    <row r="420" spans="2:4" ht="16" thickBot="1" x14ac:dyDescent="0.25">
      <c r="B420" s="4">
        <v>415</v>
      </c>
      <c r="C420" s="4">
        <v>58.492058705837231</v>
      </c>
      <c r="D420" s="45"/>
    </row>
    <row r="421" spans="2:4" ht="16" thickBot="1" x14ac:dyDescent="0.25">
      <c r="B421" s="5">
        <v>416</v>
      </c>
      <c r="C421" s="5">
        <v>226.27875930285833</v>
      </c>
      <c r="D421" s="45"/>
    </row>
    <row r="422" spans="2:4" ht="16" thickBot="1" x14ac:dyDescent="0.25">
      <c r="B422" s="4">
        <v>417</v>
      </c>
      <c r="C422" s="4">
        <v>244.690738818901</v>
      </c>
      <c r="D422" s="45"/>
    </row>
    <row r="423" spans="2:4" ht="16" thickBot="1" x14ac:dyDescent="0.25">
      <c r="B423" s="5">
        <v>418</v>
      </c>
      <c r="C423" s="5">
        <v>228.08714428734388</v>
      </c>
      <c r="D423" s="45"/>
    </row>
    <row r="424" spans="2:4" ht="16" thickBot="1" x14ac:dyDescent="0.25">
      <c r="B424" s="4">
        <v>419</v>
      </c>
      <c r="C424" s="4">
        <v>175.98524700972274</v>
      </c>
      <c r="D424" s="45"/>
    </row>
    <row r="425" spans="2:4" ht="16" thickBot="1" x14ac:dyDescent="0.25">
      <c r="B425" s="5">
        <v>420</v>
      </c>
      <c r="C425" s="5">
        <v>53.764514555902828</v>
      </c>
      <c r="D425" s="45"/>
    </row>
    <row r="426" spans="2:4" ht="16" thickBot="1" x14ac:dyDescent="0.25">
      <c r="B426" s="4">
        <v>421</v>
      </c>
      <c r="C426" s="4">
        <v>198.7776069600327</v>
      </c>
      <c r="D426" s="45"/>
    </row>
    <row r="427" spans="2:4" ht="16" thickBot="1" x14ac:dyDescent="0.25">
      <c r="B427" s="5">
        <v>422</v>
      </c>
      <c r="C427" s="5">
        <v>169.89810156126856</v>
      </c>
      <c r="D427" s="45"/>
    </row>
    <row r="428" spans="2:4" ht="16" thickBot="1" x14ac:dyDescent="0.25">
      <c r="B428" s="4">
        <v>423</v>
      </c>
      <c r="C428" s="4">
        <v>95.551444160452746</v>
      </c>
      <c r="D428" s="45"/>
    </row>
    <row r="429" spans="2:4" ht="16" thickBot="1" x14ac:dyDescent="0.25">
      <c r="B429" s="5">
        <v>424</v>
      </c>
      <c r="C429" s="5">
        <v>197.73759232673453</v>
      </c>
      <c r="D429" s="45"/>
    </row>
    <row r="430" spans="2:4" ht="16" thickBot="1" x14ac:dyDescent="0.25">
      <c r="B430" s="4">
        <v>425</v>
      </c>
      <c r="C430" s="4">
        <v>272.45778626742862</v>
      </c>
      <c r="D430" s="45"/>
    </row>
    <row r="431" spans="2:4" ht="16" thickBot="1" x14ac:dyDescent="0.25">
      <c r="B431" s="5">
        <v>426</v>
      </c>
      <c r="C431" s="5">
        <v>117.28558237419993</v>
      </c>
      <c r="D431" s="45"/>
    </row>
    <row r="432" spans="2:4" ht="16" thickBot="1" x14ac:dyDescent="0.25">
      <c r="B432" s="4">
        <v>427</v>
      </c>
      <c r="C432" s="4">
        <v>327.92461222140452</v>
      </c>
      <c r="D432" s="45"/>
    </row>
    <row r="433" spans="2:4" ht="16" thickBot="1" x14ac:dyDescent="0.25">
      <c r="B433" s="5">
        <v>428</v>
      </c>
      <c r="C433" s="5">
        <v>181.7619442978563</v>
      </c>
      <c r="D433" s="45"/>
    </row>
    <row r="434" spans="2:4" ht="16" thickBot="1" x14ac:dyDescent="0.25">
      <c r="B434" s="4">
        <v>429</v>
      </c>
      <c r="C434" s="4">
        <v>102.13927205196946</v>
      </c>
      <c r="D434" s="45"/>
    </row>
    <row r="435" spans="2:4" ht="16" thickBot="1" x14ac:dyDescent="0.25">
      <c r="B435" s="5">
        <v>430</v>
      </c>
      <c r="C435" s="5">
        <v>140.47329929343857</v>
      </c>
      <c r="D435" s="45"/>
    </row>
    <row r="436" spans="2:4" ht="16" thickBot="1" x14ac:dyDescent="0.25">
      <c r="B436" s="4">
        <v>431</v>
      </c>
      <c r="C436" s="4">
        <v>79.930509596674312</v>
      </c>
      <c r="D436" s="45"/>
    </row>
    <row r="437" spans="2:4" ht="16" thickBot="1" x14ac:dyDescent="0.25">
      <c r="B437" s="5">
        <v>432</v>
      </c>
      <c r="C437" s="5">
        <v>367.48912151303404</v>
      </c>
      <c r="D437" s="45"/>
    </row>
    <row r="438" spans="2:4" ht="16" thickBot="1" x14ac:dyDescent="0.25">
      <c r="B438" s="4">
        <v>433</v>
      </c>
      <c r="C438" s="4">
        <v>107.72151077810858</v>
      </c>
      <c r="D438" s="45"/>
    </row>
    <row r="439" spans="2:4" ht="16" thickBot="1" x14ac:dyDescent="0.25">
      <c r="B439" s="5">
        <v>434</v>
      </c>
      <c r="C439" s="5">
        <v>77.1798208929672</v>
      </c>
      <c r="D439" s="45"/>
    </row>
    <row r="440" spans="2:4" ht="16" thickBot="1" x14ac:dyDescent="0.25">
      <c r="B440" s="4">
        <v>435</v>
      </c>
      <c r="C440" s="4">
        <v>225.71297853983427</v>
      </c>
      <c r="D440" s="45"/>
    </row>
    <row r="441" spans="2:4" ht="16" thickBot="1" x14ac:dyDescent="0.25">
      <c r="B441" s="5">
        <v>436</v>
      </c>
      <c r="C441" s="5">
        <v>139.10023278756901</v>
      </c>
      <c r="D441" s="45"/>
    </row>
    <row r="442" spans="2:4" ht="16" thickBot="1" x14ac:dyDescent="0.25">
      <c r="B442" s="4">
        <v>437</v>
      </c>
      <c r="C442" s="4">
        <v>344.53059509240575</v>
      </c>
      <c r="D442" s="45"/>
    </row>
    <row r="443" spans="2:4" ht="16" thickBot="1" x14ac:dyDescent="0.25">
      <c r="B443" s="5">
        <v>438</v>
      </c>
      <c r="C443" s="5">
        <v>65.264320070959272</v>
      </c>
      <c r="D443" s="45"/>
    </row>
    <row r="444" spans="2:4" ht="16" thickBot="1" x14ac:dyDescent="0.25">
      <c r="B444" s="4">
        <v>439</v>
      </c>
      <c r="C444" s="4">
        <v>138.65432241594931</v>
      </c>
      <c r="D444" s="45"/>
    </row>
    <row r="445" spans="2:4" ht="16" thickBot="1" x14ac:dyDescent="0.25">
      <c r="B445" s="5">
        <v>440</v>
      </c>
      <c r="C445" s="5">
        <v>381.47290675708433</v>
      </c>
      <c r="D445" s="45"/>
    </row>
    <row r="446" spans="2:4" ht="16" thickBot="1" x14ac:dyDescent="0.25">
      <c r="B446" s="4">
        <v>441</v>
      </c>
      <c r="C446" s="4">
        <v>311.22488304953617</v>
      </c>
      <c r="D446" s="45"/>
    </row>
    <row r="447" spans="2:4" ht="16" thickBot="1" x14ac:dyDescent="0.25">
      <c r="B447" s="5">
        <v>442</v>
      </c>
      <c r="C447" s="5">
        <v>152.65186764622609</v>
      </c>
      <c r="D447" s="45"/>
    </row>
    <row r="448" spans="2:4" ht="16" thickBot="1" x14ac:dyDescent="0.25">
      <c r="B448" s="4">
        <v>443</v>
      </c>
      <c r="C448" s="4">
        <v>72.300337932456131</v>
      </c>
      <c r="D448" s="45"/>
    </row>
    <row r="449" spans="2:4" ht="16" thickBot="1" x14ac:dyDescent="0.25">
      <c r="B449" s="5">
        <v>444</v>
      </c>
      <c r="C449" s="5">
        <v>171.22559393200098</v>
      </c>
      <c r="D449" s="45"/>
    </row>
    <row r="450" spans="2:4" ht="16" thickBot="1" x14ac:dyDescent="0.25">
      <c r="B450" s="4">
        <v>445</v>
      </c>
      <c r="C450" s="4">
        <v>345.53178646960589</v>
      </c>
      <c r="D450" s="45"/>
    </row>
    <row r="451" spans="2:4" ht="16" thickBot="1" x14ac:dyDescent="0.25">
      <c r="B451" s="5">
        <v>446</v>
      </c>
      <c r="C451" s="5">
        <v>228.37833761810609</v>
      </c>
      <c r="D451" s="45"/>
    </row>
    <row r="452" spans="2:4" ht="16" thickBot="1" x14ac:dyDescent="0.25">
      <c r="B452" s="4">
        <v>447</v>
      </c>
      <c r="C452" s="4">
        <v>107.53281798123589</v>
      </c>
      <c r="D452" s="45"/>
    </row>
    <row r="453" spans="2:4" ht="16" thickBot="1" x14ac:dyDescent="0.25">
      <c r="B453" s="5">
        <v>448</v>
      </c>
      <c r="C453" s="5">
        <v>176.72525211832823</v>
      </c>
      <c r="D453" s="45"/>
    </row>
    <row r="454" spans="2:4" ht="16" thickBot="1" x14ac:dyDescent="0.25">
      <c r="B454" s="4">
        <v>449</v>
      </c>
      <c r="C454" s="4">
        <v>88.725038693125285</v>
      </c>
      <c r="D454" s="45"/>
    </row>
    <row r="455" spans="2:4" ht="16" thickBot="1" x14ac:dyDescent="0.25">
      <c r="B455" s="5">
        <v>450</v>
      </c>
      <c r="C455" s="5">
        <v>169.94511128219384</v>
      </c>
      <c r="D455" s="45"/>
    </row>
    <row r="456" spans="2:4" ht="16" thickBot="1" x14ac:dyDescent="0.25">
      <c r="B456" s="4">
        <v>451</v>
      </c>
      <c r="C456" s="4">
        <v>71.36288667928838</v>
      </c>
      <c r="D456" s="45"/>
    </row>
    <row r="457" spans="2:4" ht="16" thickBot="1" x14ac:dyDescent="0.25">
      <c r="B457" s="5">
        <v>452</v>
      </c>
      <c r="C457" s="5">
        <v>128.72624019807321</v>
      </c>
      <c r="D457" s="45"/>
    </row>
    <row r="458" spans="2:4" ht="16" thickBot="1" x14ac:dyDescent="0.25">
      <c r="B458" s="4">
        <v>453</v>
      </c>
      <c r="C458" s="4">
        <v>115.76164481118629</v>
      </c>
      <c r="D458" s="45"/>
    </row>
    <row r="459" spans="2:4" ht="16" thickBot="1" x14ac:dyDescent="0.25">
      <c r="B459" s="5">
        <v>454</v>
      </c>
      <c r="C459" s="5">
        <v>258.46892271153285</v>
      </c>
      <c r="D459" s="45"/>
    </row>
    <row r="460" spans="2:4" ht="16" thickBot="1" x14ac:dyDescent="0.25">
      <c r="B460" s="4">
        <v>455</v>
      </c>
      <c r="C460" s="4">
        <v>170.56882076551608</v>
      </c>
      <c r="D460" s="45"/>
    </row>
    <row r="461" spans="2:4" ht="16" thickBot="1" x14ac:dyDescent="0.25">
      <c r="B461" s="5">
        <v>456</v>
      </c>
      <c r="C461" s="5">
        <v>325.47454502414848</v>
      </c>
      <c r="D461" s="45"/>
    </row>
    <row r="462" spans="2:4" ht="16" thickBot="1" x14ac:dyDescent="0.25">
      <c r="B462" s="4">
        <v>457</v>
      </c>
      <c r="C462" s="4">
        <v>68.11934385908944</v>
      </c>
      <c r="D462" s="45"/>
    </row>
    <row r="463" spans="2:4" ht="16" thickBot="1" x14ac:dyDescent="0.25">
      <c r="B463" s="5">
        <v>458</v>
      </c>
      <c r="C463" s="5">
        <v>218.42766767433147</v>
      </c>
      <c r="D463" s="45"/>
    </row>
    <row r="464" spans="2:4" ht="16" thickBot="1" x14ac:dyDescent="0.25">
      <c r="B464" s="4">
        <v>459</v>
      </c>
      <c r="C464" s="4">
        <v>78.174494260704421</v>
      </c>
      <c r="D464" s="45"/>
    </row>
    <row r="465" spans="2:4" ht="16" thickBot="1" x14ac:dyDescent="0.25">
      <c r="B465" s="5">
        <v>460</v>
      </c>
      <c r="C465" s="5">
        <v>76.445239941372577</v>
      </c>
      <c r="D465" s="45"/>
    </row>
    <row r="466" spans="2:4" ht="16" thickBot="1" x14ac:dyDescent="0.25">
      <c r="B466" s="4">
        <v>461</v>
      </c>
      <c r="C466" s="4">
        <v>64.816485406545098</v>
      </c>
      <c r="D466" s="45"/>
    </row>
    <row r="467" spans="2:4" ht="16" thickBot="1" x14ac:dyDescent="0.25">
      <c r="B467" s="5">
        <v>462</v>
      </c>
      <c r="C467" s="5">
        <v>159.9960934242562</v>
      </c>
      <c r="D467" s="45"/>
    </row>
    <row r="468" spans="2:4" ht="16" thickBot="1" x14ac:dyDescent="0.25">
      <c r="B468" s="4">
        <v>463</v>
      </c>
      <c r="C468" s="4">
        <v>605.1600801489717</v>
      </c>
      <c r="D468" s="45"/>
    </row>
    <row r="469" spans="2:4" ht="16" thickBot="1" x14ac:dyDescent="0.25">
      <c r="B469" s="5">
        <v>464</v>
      </c>
      <c r="C469" s="5">
        <v>169.82774732447169</v>
      </c>
      <c r="D469" s="45"/>
    </row>
    <row r="470" spans="2:4" ht="16" thickBot="1" x14ac:dyDescent="0.25">
      <c r="B470" s="4">
        <v>465</v>
      </c>
      <c r="C470" s="4">
        <v>50.106621167244917</v>
      </c>
      <c r="D470" s="45"/>
    </row>
    <row r="471" spans="2:4" ht="16" thickBot="1" x14ac:dyDescent="0.25">
      <c r="B471" s="5">
        <v>466</v>
      </c>
      <c r="C471" s="5">
        <v>75.541692036756444</v>
      </c>
      <c r="D471" s="45"/>
    </row>
    <row r="472" spans="2:4" ht="16" thickBot="1" x14ac:dyDescent="0.25">
      <c r="B472" s="4">
        <v>467</v>
      </c>
      <c r="C472" s="4">
        <v>219.06781881476991</v>
      </c>
      <c r="D472" s="45"/>
    </row>
    <row r="473" spans="2:4" ht="16" thickBot="1" x14ac:dyDescent="0.25">
      <c r="B473" s="5">
        <v>468</v>
      </c>
      <c r="C473" s="5">
        <v>54.619981138766356</v>
      </c>
      <c r="D473" s="45"/>
    </row>
    <row r="474" spans="2:4" ht="16" thickBot="1" x14ac:dyDescent="0.25">
      <c r="B474" s="4">
        <v>469</v>
      </c>
      <c r="C474" s="4">
        <v>154.41630944913564</v>
      </c>
      <c r="D474" s="45"/>
    </row>
    <row r="475" spans="2:4" ht="16" thickBot="1" x14ac:dyDescent="0.25">
      <c r="B475" s="5">
        <v>470</v>
      </c>
      <c r="C475" s="5">
        <v>147.58106446605652</v>
      </c>
      <c r="D475" s="45"/>
    </row>
    <row r="476" spans="2:4" ht="16" thickBot="1" x14ac:dyDescent="0.25">
      <c r="B476" s="4">
        <v>471</v>
      </c>
      <c r="C476" s="4">
        <v>170.40922642176699</v>
      </c>
      <c r="D476" s="45"/>
    </row>
    <row r="477" spans="2:4" ht="16" thickBot="1" x14ac:dyDescent="0.25">
      <c r="B477" s="5">
        <v>472</v>
      </c>
      <c r="C477" s="5">
        <v>248.13275437981352</v>
      </c>
      <c r="D477" s="45"/>
    </row>
    <row r="478" spans="2:4" ht="16" thickBot="1" x14ac:dyDescent="0.25">
      <c r="B478" s="4">
        <v>473</v>
      </c>
      <c r="C478" s="4">
        <v>278.23244934609585</v>
      </c>
      <c r="D478" s="45"/>
    </row>
    <row r="479" spans="2:4" ht="16" thickBot="1" x14ac:dyDescent="0.25">
      <c r="B479" s="5">
        <v>474</v>
      </c>
      <c r="C479" s="5">
        <v>101.11333928292859</v>
      </c>
      <c r="D479" s="45"/>
    </row>
    <row r="480" spans="2:4" ht="16" thickBot="1" x14ac:dyDescent="0.25">
      <c r="B480" s="4">
        <v>475</v>
      </c>
      <c r="C480" s="4">
        <v>151.25923449778517</v>
      </c>
      <c r="D480" s="45"/>
    </row>
    <row r="481" spans="2:4" ht="16" thickBot="1" x14ac:dyDescent="0.25">
      <c r="B481" s="5">
        <v>476</v>
      </c>
      <c r="C481" s="5">
        <v>56.884574164067331</v>
      </c>
      <c r="D481" s="45"/>
    </row>
    <row r="482" spans="2:4" ht="16" thickBot="1" x14ac:dyDescent="0.25">
      <c r="B482" s="4">
        <v>477</v>
      </c>
      <c r="C482" s="4">
        <v>120.76910107777888</v>
      </c>
      <c r="D482" s="45"/>
    </row>
    <row r="483" spans="2:4" ht="16" thickBot="1" x14ac:dyDescent="0.25">
      <c r="B483" s="5">
        <v>478</v>
      </c>
      <c r="C483" s="5">
        <v>98.344012654609202</v>
      </c>
      <c r="D483" s="45"/>
    </row>
    <row r="484" spans="2:4" ht="16" thickBot="1" x14ac:dyDescent="0.25">
      <c r="B484" s="4">
        <v>479</v>
      </c>
      <c r="C484" s="4">
        <v>67.711440479064578</v>
      </c>
      <c r="D484" s="45"/>
    </row>
    <row r="485" spans="2:4" ht="16" thickBot="1" x14ac:dyDescent="0.25">
      <c r="B485" s="5">
        <v>480</v>
      </c>
      <c r="C485" s="5">
        <v>203.9382249167287</v>
      </c>
      <c r="D485" s="45"/>
    </row>
    <row r="486" spans="2:4" ht="16" thickBot="1" x14ac:dyDescent="0.25">
      <c r="B486" s="4">
        <v>481</v>
      </c>
      <c r="C486" s="4">
        <v>179.14683172960639</v>
      </c>
      <c r="D486" s="45"/>
    </row>
    <row r="487" spans="2:4" ht="16" thickBot="1" x14ac:dyDescent="0.25">
      <c r="B487" s="5">
        <v>482</v>
      </c>
      <c r="C487" s="5">
        <v>133.50954182075469</v>
      </c>
      <c r="D487" s="45"/>
    </row>
    <row r="488" spans="2:4" ht="16" thickBot="1" x14ac:dyDescent="0.25">
      <c r="B488" s="4">
        <v>483</v>
      </c>
      <c r="C488" s="4">
        <v>151.46048554182664</v>
      </c>
      <c r="D488" s="45"/>
    </row>
    <row r="489" spans="2:4" ht="16" thickBot="1" x14ac:dyDescent="0.25">
      <c r="B489" s="5">
        <v>484</v>
      </c>
      <c r="C489" s="5">
        <v>116.30234160470283</v>
      </c>
      <c r="D489" s="45"/>
    </row>
    <row r="490" spans="2:4" ht="16" thickBot="1" x14ac:dyDescent="0.25">
      <c r="B490" s="4">
        <v>485</v>
      </c>
      <c r="C490" s="4">
        <v>604.6702803617768</v>
      </c>
      <c r="D490" s="45"/>
    </row>
    <row r="491" spans="2:4" ht="16" thickBot="1" x14ac:dyDescent="0.25">
      <c r="B491" s="5">
        <v>486</v>
      </c>
      <c r="C491" s="5">
        <v>73.535206717852503</v>
      </c>
      <c r="D491" s="45"/>
    </row>
    <row r="492" spans="2:4" ht="16" thickBot="1" x14ac:dyDescent="0.25">
      <c r="B492" s="4">
        <v>487</v>
      </c>
      <c r="C492" s="4">
        <v>174.43778853872701</v>
      </c>
      <c r="D492" s="45"/>
    </row>
    <row r="493" spans="2:4" ht="16" thickBot="1" x14ac:dyDescent="0.25">
      <c r="B493" s="5">
        <v>488</v>
      </c>
      <c r="C493" s="5">
        <v>58.370394485952943</v>
      </c>
      <c r="D493" s="45"/>
    </row>
    <row r="494" spans="2:4" ht="16" thickBot="1" x14ac:dyDescent="0.25">
      <c r="B494" s="4">
        <v>489</v>
      </c>
      <c r="C494" s="4">
        <v>104.08975448863291</v>
      </c>
      <c r="D494" s="45"/>
    </row>
    <row r="495" spans="2:4" ht="16" thickBot="1" x14ac:dyDescent="0.25">
      <c r="B495" s="5">
        <v>490</v>
      </c>
      <c r="C495" s="5">
        <v>313.08048284284075</v>
      </c>
      <c r="D495" s="45"/>
    </row>
    <row r="496" spans="2:4" ht="16" thickBot="1" x14ac:dyDescent="0.25">
      <c r="B496" s="4">
        <v>491</v>
      </c>
      <c r="C496" s="4">
        <v>143.27480682051998</v>
      </c>
      <c r="D496" s="45"/>
    </row>
    <row r="497" spans="2:4" ht="16" thickBot="1" x14ac:dyDescent="0.25">
      <c r="B497" s="5">
        <v>492</v>
      </c>
      <c r="C497" s="5">
        <v>83.370919597650101</v>
      </c>
      <c r="D497" s="45"/>
    </row>
    <row r="498" spans="2:4" ht="16" thickBot="1" x14ac:dyDescent="0.25">
      <c r="B498" s="4">
        <v>493</v>
      </c>
      <c r="C498" s="4">
        <v>109.01702346423859</v>
      </c>
      <c r="D498" s="45"/>
    </row>
    <row r="499" spans="2:4" ht="16" thickBot="1" x14ac:dyDescent="0.25">
      <c r="B499" s="5">
        <v>494</v>
      </c>
      <c r="C499" s="5">
        <v>89.061328526532066</v>
      </c>
      <c r="D499" s="45"/>
    </row>
    <row r="500" spans="2:4" ht="16" thickBot="1" x14ac:dyDescent="0.25">
      <c r="B500" s="4">
        <v>495</v>
      </c>
      <c r="C500" s="4">
        <v>139.68531105521859</v>
      </c>
      <c r="D500" s="45"/>
    </row>
    <row r="501" spans="2:4" ht="16" thickBot="1" x14ac:dyDescent="0.25">
      <c r="B501" s="5">
        <v>496</v>
      </c>
      <c r="C501" s="5">
        <v>117.39558422612615</v>
      </c>
      <c r="D501" s="45"/>
    </row>
    <row r="502" spans="2:4" ht="16" thickBot="1" x14ac:dyDescent="0.25">
      <c r="B502" s="4">
        <v>497</v>
      </c>
      <c r="C502" s="4">
        <v>229.34884556846737</v>
      </c>
      <c r="D502" s="45"/>
    </row>
    <row r="503" spans="2:4" ht="16" thickBot="1" x14ac:dyDescent="0.25">
      <c r="B503" s="5">
        <v>498</v>
      </c>
      <c r="C503" s="5">
        <v>172.90920748044695</v>
      </c>
      <c r="D503" s="45"/>
    </row>
    <row r="504" spans="2:4" ht="16" thickBot="1" x14ac:dyDescent="0.25">
      <c r="B504" s="4">
        <v>499</v>
      </c>
      <c r="C504" s="4">
        <v>152.60494670381385</v>
      </c>
      <c r="D504" s="45"/>
    </row>
    <row r="505" spans="2:4" ht="16" thickBot="1" x14ac:dyDescent="0.25">
      <c r="B505" s="5">
        <v>500</v>
      </c>
      <c r="C505" s="5">
        <v>69.227174546816556</v>
      </c>
      <c r="D505" s="45"/>
    </row>
    <row r="506" spans="2:4" ht="16" thickBot="1" x14ac:dyDescent="0.25">
      <c r="B506" s="4">
        <v>501</v>
      </c>
      <c r="C506" s="4">
        <v>159.75282408513687</v>
      </c>
      <c r="D506" s="45"/>
    </row>
    <row r="507" spans="2:4" ht="16" thickBot="1" x14ac:dyDescent="0.25">
      <c r="B507" s="5">
        <v>502</v>
      </c>
      <c r="C507" s="5">
        <v>71.601699959626288</v>
      </c>
      <c r="D507" s="45"/>
    </row>
    <row r="508" spans="2:4" ht="16" thickBot="1" x14ac:dyDescent="0.25">
      <c r="B508" s="4">
        <v>503</v>
      </c>
      <c r="C508" s="4">
        <v>104.59675286544085</v>
      </c>
      <c r="D508" s="45"/>
    </row>
    <row r="509" spans="2:4" ht="16" thickBot="1" x14ac:dyDescent="0.25">
      <c r="B509" s="5">
        <v>504</v>
      </c>
      <c r="C509" s="5">
        <v>110.48276362459465</v>
      </c>
      <c r="D509" s="45"/>
    </row>
    <row r="510" spans="2:4" ht="16" thickBot="1" x14ac:dyDescent="0.25">
      <c r="B510" s="4">
        <v>505</v>
      </c>
      <c r="C510" s="4">
        <v>160.46144436039657</v>
      </c>
      <c r="D510" s="45"/>
    </row>
    <row r="511" spans="2:4" ht="16" thickBot="1" x14ac:dyDescent="0.25">
      <c r="B511" s="5">
        <v>506</v>
      </c>
      <c r="C511" s="5">
        <v>73.969681006237593</v>
      </c>
      <c r="D511" s="45"/>
    </row>
    <row r="512" spans="2:4" ht="16" thickBot="1" x14ac:dyDescent="0.25">
      <c r="B512" s="4">
        <v>507</v>
      </c>
      <c r="C512" s="4">
        <v>144.55193003220313</v>
      </c>
      <c r="D512" s="45"/>
    </row>
    <row r="513" spans="2:4" ht="16" thickBot="1" x14ac:dyDescent="0.25">
      <c r="B513" s="5">
        <v>508</v>
      </c>
      <c r="C513" s="5">
        <v>134.17919153678739</v>
      </c>
      <c r="D513" s="45"/>
    </row>
    <row r="514" spans="2:4" ht="16" thickBot="1" x14ac:dyDescent="0.25">
      <c r="B514" s="4">
        <v>509</v>
      </c>
      <c r="C514" s="4">
        <v>79.560838003939651</v>
      </c>
      <c r="D514" s="45"/>
    </row>
    <row r="515" spans="2:4" ht="16" thickBot="1" x14ac:dyDescent="0.25">
      <c r="B515" s="5">
        <v>510</v>
      </c>
      <c r="C515" s="5">
        <v>127.6011828628066</v>
      </c>
      <c r="D515" s="45"/>
    </row>
    <row r="516" spans="2:4" ht="16" thickBot="1" x14ac:dyDescent="0.25">
      <c r="B516" s="4">
        <v>511</v>
      </c>
      <c r="C516" s="4">
        <v>203.29838771887975</v>
      </c>
      <c r="D516" s="45"/>
    </row>
    <row r="517" spans="2:4" ht="16" thickBot="1" x14ac:dyDescent="0.25">
      <c r="B517" s="5">
        <v>512</v>
      </c>
      <c r="C517" s="5">
        <v>342.45095129109171</v>
      </c>
      <c r="D517" s="45"/>
    </row>
    <row r="518" spans="2:4" ht="16" thickBot="1" x14ac:dyDescent="0.25">
      <c r="B518" s="4">
        <v>513</v>
      </c>
      <c r="C518" s="4">
        <v>269.20439327252063</v>
      </c>
      <c r="D518" s="45"/>
    </row>
    <row r="519" spans="2:4" ht="16" thickBot="1" x14ac:dyDescent="0.25">
      <c r="B519" s="5">
        <v>514</v>
      </c>
      <c r="C519" s="5">
        <v>300.43613766124167</v>
      </c>
      <c r="D519" s="45"/>
    </row>
    <row r="520" spans="2:4" ht="16" thickBot="1" x14ac:dyDescent="0.25">
      <c r="B520" s="4">
        <v>515</v>
      </c>
      <c r="C520" s="4">
        <v>105.86290173072702</v>
      </c>
      <c r="D520" s="45"/>
    </row>
    <row r="521" spans="2:4" ht="16" thickBot="1" x14ac:dyDescent="0.25">
      <c r="B521" s="5">
        <v>516</v>
      </c>
      <c r="C521" s="5">
        <v>154.70008952762578</v>
      </c>
      <c r="D521" s="45"/>
    </row>
    <row r="522" spans="2:4" ht="16" thickBot="1" x14ac:dyDescent="0.25">
      <c r="B522" s="4">
        <v>517</v>
      </c>
      <c r="C522" s="4">
        <v>156.63698999981412</v>
      </c>
      <c r="D522" s="45"/>
    </row>
    <row r="523" spans="2:4" ht="16" thickBot="1" x14ac:dyDescent="0.25">
      <c r="B523" s="5">
        <v>518</v>
      </c>
      <c r="C523" s="5">
        <v>162.27540758361516</v>
      </c>
      <c r="D523" s="45"/>
    </row>
    <row r="524" spans="2:4" ht="16" thickBot="1" x14ac:dyDescent="0.25">
      <c r="B524" s="4">
        <v>519</v>
      </c>
      <c r="C524" s="4">
        <v>373.50886783617051</v>
      </c>
      <c r="D524" s="45"/>
    </row>
    <row r="525" spans="2:4" ht="16" thickBot="1" x14ac:dyDescent="0.25">
      <c r="B525" s="5">
        <v>520</v>
      </c>
      <c r="C525" s="5">
        <v>161.8048399229566</v>
      </c>
      <c r="D525" s="45"/>
    </row>
    <row r="526" spans="2:4" ht="16" thickBot="1" x14ac:dyDescent="0.25">
      <c r="B526" s="4">
        <v>521</v>
      </c>
      <c r="C526" s="4">
        <v>271.17610820944412</v>
      </c>
      <c r="D526" s="45"/>
    </row>
    <row r="527" spans="2:4" ht="16" thickBot="1" x14ac:dyDescent="0.25">
      <c r="B527" s="5">
        <v>522</v>
      </c>
      <c r="C527" s="5">
        <v>179.71791228030125</v>
      </c>
      <c r="D527" s="45"/>
    </row>
    <row r="528" spans="2:4" ht="16" thickBot="1" x14ac:dyDescent="0.25">
      <c r="B528" s="4">
        <v>523</v>
      </c>
      <c r="C528" s="4">
        <v>125.33079707439599</v>
      </c>
      <c r="D528" s="45"/>
    </row>
    <row r="529" spans="2:4" ht="16" thickBot="1" x14ac:dyDescent="0.25">
      <c r="B529" s="5">
        <v>524</v>
      </c>
      <c r="C529" s="5">
        <v>71.91352775367676</v>
      </c>
      <c r="D529" s="45"/>
    </row>
    <row r="530" spans="2:4" ht="16" thickBot="1" x14ac:dyDescent="0.25">
      <c r="B530" s="4">
        <v>525</v>
      </c>
      <c r="C530" s="4">
        <v>259.82772451568223</v>
      </c>
      <c r="D530" s="45"/>
    </row>
    <row r="531" spans="2:4" ht="16" thickBot="1" x14ac:dyDescent="0.25">
      <c r="B531" s="5">
        <v>526</v>
      </c>
      <c r="C531" s="5">
        <v>566.32928792432472</v>
      </c>
      <c r="D531" s="45"/>
    </row>
    <row r="532" spans="2:4" ht="16" thickBot="1" x14ac:dyDescent="0.25">
      <c r="B532" s="4">
        <v>527</v>
      </c>
      <c r="C532" s="4">
        <v>242.74971311089607</v>
      </c>
      <c r="D532" s="45"/>
    </row>
    <row r="533" spans="2:4" ht="16" thickBot="1" x14ac:dyDescent="0.25">
      <c r="B533" s="5">
        <v>528</v>
      </c>
      <c r="C533" s="5">
        <v>185.90407359511667</v>
      </c>
      <c r="D533" s="45"/>
    </row>
    <row r="534" spans="2:4" ht="16" thickBot="1" x14ac:dyDescent="0.25">
      <c r="B534" s="4">
        <v>529</v>
      </c>
      <c r="C534" s="4">
        <v>89.494746764571303</v>
      </c>
      <c r="D534" s="45"/>
    </row>
    <row r="535" spans="2:4" ht="16" thickBot="1" x14ac:dyDescent="0.25">
      <c r="B535" s="5">
        <v>530</v>
      </c>
      <c r="C535" s="5">
        <v>245.64782948960539</v>
      </c>
      <c r="D535" s="45"/>
    </row>
    <row r="536" spans="2:4" ht="16" thickBot="1" x14ac:dyDescent="0.25">
      <c r="B536" s="4">
        <v>531</v>
      </c>
      <c r="C536" s="4">
        <v>210.89381620273301</v>
      </c>
      <c r="D536" s="45"/>
    </row>
    <row r="537" spans="2:4" ht="16" thickBot="1" x14ac:dyDescent="0.25">
      <c r="B537" s="5">
        <v>532</v>
      </c>
      <c r="C537" s="5">
        <v>188.87145177517885</v>
      </c>
      <c r="D537" s="45"/>
    </row>
    <row r="538" spans="2:4" ht="16" thickBot="1" x14ac:dyDescent="0.25">
      <c r="B538" s="4">
        <v>533</v>
      </c>
      <c r="C538" s="4">
        <v>99.614327402567127</v>
      </c>
      <c r="D538" s="45"/>
    </row>
    <row r="539" spans="2:4" ht="16" thickBot="1" x14ac:dyDescent="0.25">
      <c r="B539" s="5">
        <v>534</v>
      </c>
      <c r="C539" s="5">
        <v>122.18051068456199</v>
      </c>
      <c r="D539" s="45"/>
    </row>
    <row r="540" spans="2:4" ht="16" thickBot="1" x14ac:dyDescent="0.25">
      <c r="B540" s="4">
        <v>535</v>
      </c>
      <c r="C540" s="4">
        <v>184.40607187036548</v>
      </c>
      <c r="D540" s="45"/>
    </row>
    <row r="541" spans="2:4" ht="16" thickBot="1" x14ac:dyDescent="0.25">
      <c r="B541" s="5">
        <v>536</v>
      </c>
      <c r="C541" s="5">
        <v>199.36825639079001</v>
      </c>
      <c r="D541" s="45"/>
    </row>
    <row r="542" spans="2:4" ht="16" thickBot="1" x14ac:dyDescent="0.25">
      <c r="B542" s="4">
        <v>537</v>
      </c>
      <c r="C542" s="4">
        <v>172.33870833558157</v>
      </c>
      <c r="D542" s="45"/>
    </row>
    <row r="543" spans="2:4" ht="16" thickBot="1" x14ac:dyDescent="0.25">
      <c r="B543" s="5">
        <v>538</v>
      </c>
      <c r="C543" s="5">
        <v>307.40135660916303</v>
      </c>
      <c r="D543" s="45"/>
    </row>
    <row r="544" spans="2:4" ht="16" thickBot="1" x14ac:dyDescent="0.25">
      <c r="B544" s="4">
        <v>539</v>
      </c>
      <c r="C544" s="4">
        <v>210.81362081713837</v>
      </c>
      <c r="D544" s="45"/>
    </row>
    <row r="545" spans="2:4" ht="16" thickBot="1" x14ac:dyDescent="0.25">
      <c r="B545" s="5">
        <v>540</v>
      </c>
      <c r="C545" s="5">
        <v>261.2779578560926</v>
      </c>
      <c r="D545" s="45"/>
    </row>
    <row r="546" spans="2:4" ht="16" thickBot="1" x14ac:dyDescent="0.25">
      <c r="B546" s="4">
        <v>541</v>
      </c>
      <c r="C546" s="4">
        <v>149.54330771454971</v>
      </c>
      <c r="D546" s="45"/>
    </row>
    <row r="547" spans="2:4" ht="16" thickBot="1" x14ac:dyDescent="0.25">
      <c r="B547" s="5">
        <v>542</v>
      </c>
      <c r="C547" s="5">
        <v>119.54966247902749</v>
      </c>
      <c r="D547" s="45"/>
    </row>
    <row r="548" spans="2:4" ht="16" thickBot="1" x14ac:dyDescent="0.25">
      <c r="B548" s="4">
        <v>543</v>
      </c>
      <c r="C548" s="4">
        <v>375.94678062565282</v>
      </c>
      <c r="D548" s="45"/>
    </row>
    <row r="549" spans="2:4" ht="16" thickBot="1" x14ac:dyDescent="0.25">
      <c r="B549" s="5">
        <v>544</v>
      </c>
      <c r="C549" s="5">
        <v>126.03292680080345</v>
      </c>
      <c r="D549" s="45"/>
    </row>
    <row r="550" spans="2:4" ht="16" thickBot="1" x14ac:dyDescent="0.25">
      <c r="B550" s="4">
        <v>545</v>
      </c>
      <c r="C550" s="4">
        <v>99.750556906856616</v>
      </c>
      <c r="D550" s="45"/>
    </row>
    <row r="551" spans="2:4" ht="16" thickBot="1" x14ac:dyDescent="0.25">
      <c r="B551" s="5">
        <v>546</v>
      </c>
      <c r="C551" s="5">
        <v>269.95855846044549</v>
      </c>
      <c r="D551" s="45"/>
    </row>
    <row r="552" spans="2:4" ht="16" thickBot="1" x14ac:dyDescent="0.25">
      <c r="B552" s="4">
        <v>547</v>
      </c>
      <c r="C552" s="4">
        <v>386.87718036181292</v>
      </c>
      <c r="D552" s="45"/>
    </row>
    <row r="553" spans="2:4" ht="16" thickBot="1" x14ac:dyDescent="0.25">
      <c r="B553" s="5">
        <v>548</v>
      </c>
      <c r="C553" s="5">
        <v>218.45052406580172</v>
      </c>
      <c r="D553" s="45"/>
    </row>
    <row r="554" spans="2:4" ht="16" thickBot="1" x14ac:dyDescent="0.25">
      <c r="B554" s="4">
        <v>549</v>
      </c>
      <c r="C554" s="4">
        <v>119.54918818129541</v>
      </c>
      <c r="D554" s="45"/>
    </row>
    <row r="555" spans="2:4" ht="16" thickBot="1" x14ac:dyDescent="0.25">
      <c r="B555" s="5">
        <v>550</v>
      </c>
      <c r="C555" s="5">
        <v>103.1094916978482</v>
      </c>
      <c r="D555" s="45"/>
    </row>
    <row r="556" spans="2:4" ht="16" thickBot="1" x14ac:dyDescent="0.25">
      <c r="B556" s="4">
        <v>551</v>
      </c>
      <c r="C556" s="4">
        <v>140.23133851143587</v>
      </c>
      <c r="D556" s="45"/>
    </row>
    <row r="557" spans="2:4" ht="16" thickBot="1" x14ac:dyDescent="0.25">
      <c r="B557" s="5">
        <v>552</v>
      </c>
      <c r="C557" s="5">
        <v>191.23834456610149</v>
      </c>
      <c r="D557" s="45"/>
    </row>
    <row r="558" spans="2:4" ht="16" thickBot="1" x14ac:dyDescent="0.25">
      <c r="B558" s="4">
        <v>553</v>
      </c>
      <c r="C558" s="4">
        <v>112.61308772859279</v>
      </c>
      <c r="D558" s="45"/>
    </row>
    <row r="559" spans="2:4" ht="16" thickBot="1" x14ac:dyDescent="0.25">
      <c r="B559" s="5">
        <v>554</v>
      </c>
      <c r="C559" s="5">
        <v>399.79111390029675</v>
      </c>
      <c r="D559" s="45"/>
    </row>
    <row r="560" spans="2:4" ht="16" thickBot="1" x14ac:dyDescent="0.25">
      <c r="B560" s="4">
        <v>555</v>
      </c>
      <c r="C560" s="4">
        <v>157.32330474577051</v>
      </c>
      <c r="D560" s="45"/>
    </row>
    <row r="561" spans="2:4" ht="16" thickBot="1" x14ac:dyDescent="0.25">
      <c r="B561" s="5">
        <v>556</v>
      </c>
      <c r="C561" s="5">
        <v>141.48623066392781</v>
      </c>
      <c r="D561" s="45"/>
    </row>
    <row r="562" spans="2:4" ht="16" thickBot="1" x14ac:dyDescent="0.25">
      <c r="B562" s="4">
        <v>557</v>
      </c>
      <c r="C562" s="4">
        <v>147.65148141908574</v>
      </c>
      <c r="D562" s="45"/>
    </row>
    <row r="563" spans="2:4" ht="16" thickBot="1" x14ac:dyDescent="0.25">
      <c r="B563" s="5">
        <v>558</v>
      </c>
      <c r="C563" s="5">
        <v>143.14757246379759</v>
      </c>
      <c r="D563" s="45"/>
    </row>
    <row r="564" spans="2:4" ht="16" thickBot="1" x14ac:dyDescent="0.25">
      <c r="B564" s="4">
        <v>559</v>
      </c>
      <c r="C564" s="4">
        <v>277.032554666083</v>
      </c>
      <c r="D564" s="45"/>
    </row>
    <row r="565" spans="2:4" ht="16" thickBot="1" x14ac:dyDescent="0.25">
      <c r="B565" s="5">
        <v>560</v>
      </c>
      <c r="C565" s="5">
        <v>142.01057675119807</v>
      </c>
      <c r="D565" s="45"/>
    </row>
    <row r="566" spans="2:4" ht="16" thickBot="1" x14ac:dyDescent="0.25">
      <c r="B566" s="4">
        <v>561</v>
      </c>
      <c r="C566" s="4">
        <v>218.56776993309197</v>
      </c>
      <c r="D566" s="45"/>
    </row>
    <row r="567" spans="2:4" ht="16" thickBot="1" x14ac:dyDescent="0.25">
      <c r="B567" s="5">
        <v>562</v>
      </c>
      <c r="C567" s="5">
        <v>128.66372759142627</v>
      </c>
      <c r="D567" s="45"/>
    </row>
    <row r="568" spans="2:4" ht="16" thickBot="1" x14ac:dyDescent="0.25">
      <c r="B568" s="4">
        <v>563</v>
      </c>
      <c r="C568" s="4">
        <v>104.07701029802159</v>
      </c>
      <c r="D568" s="45"/>
    </row>
    <row r="569" spans="2:4" ht="16" thickBot="1" x14ac:dyDescent="0.25">
      <c r="B569" s="5">
        <v>564</v>
      </c>
      <c r="C569" s="5">
        <v>118.03963951006985</v>
      </c>
      <c r="D569" s="45"/>
    </row>
    <row r="570" spans="2:4" ht="16" thickBot="1" x14ac:dyDescent="0.25">
      <c r="B570" s="4">
        <v>565</v>
      </c>
      <c r="C570" s="4">
        <v>331.08780688539952</v>
      </c>
      <c r="D570" s="45"/>
    </row>
    <row r="571" spans="2:4" ht="16" thickBot="1" x14ac:dyDescent="0.25">
      <c r="B571" s="5">
        <v>566</v>
      </c>
      <c r="C571" s="5">
        <v>121.44083679862273</v>
      </c>
      <c r="D571" s="45"/>
    </row>
    <row r="572" spans="2:4" ht="16" thickBot="1" x14ac:dyDescent="0.25">
      <c r="B572" s="4">
        <v>567</v>
      </c>
      <c r="C572" s="4">
        <v>183.5888273899595</v>
      </c>
      <c r="D572" s="45"/>
    </row>
    <row r="573" spans="2:4" ht="16" thickBot="1" x14ac:dyDescent="0.25">
      <c r="B573" s="5">
        <v>568</v>
      </c>
      <c r="C573" s="5">
        <v>112.29124517988383</v>
      </c>
      <c r="D573" s="45"/>
    </row>
    <row r="574" spans="2:4" ht="16" thickBot="1" x14ac:dyDescent="0.25">
      <c r="B574" s="4">
        <v>569</v>
      </c>
      <c r="C574" s="4">
        <v>69.894453546531594</v>
      </c>
      <c r="D574" s="45"/>
    </row>
    <row r="575" spans="2:4" ht="16" thickBot="1" x14ac:dyDescent="0.25">
      <c r="B575" s="5">
        <v>570</v>
      </c>
      <c r="C575" s="5">
        <v>139.19189013097198</v>
      </c>
      <c r="D575" s="45"/>
    </row>
    <row r="576" spans="2:4" ht="16" thickBot="1" x14ac:dyDescent="0.25">
      <c r="B576" s="4">
        <v>571</v>
      </c>
      <c r="C576" s="4">
        <v>115.67273264615024</v>
      </c>
      <c r="D576" s="45"/>
    </row>
    <row r="577" spans="2:4" ht="16" thickBot="1" x14ac:dyDescent="0.25">
      <c r="B577" s="5">
        <v>572</v>
      </c>
      <c r="C577" s="5">
        <v>40.776023902516954</v>
      </c>
      <c r="D577" s="45"/>
    </row>
    <row r="578" spans="2:4" ht="16" thickBot="1" x14ac:dyDescent="0.25">
      <c r="B578" s="4">
        <v>573</v>
      </c>
      <c r="C578" s="4">
        <v>458.59538446658479</v>
      </c>
      <c r="D578" s="45"/>
    </row>
    <row r="579" spans="2:4" ht="16" thickBot="1" x14ac:dyDescent="0.25">
      <c r="B579" s="5">
        <v>574</v>
      </c>
      <c r="C579" s="5">
        <v>71.96666893705526</v>
      </c>
      <c r="D579" s="45"/>
    </row>
    <row r="580" spans="2:4" ht="16" thickBot="1" x14ac:dyDescent="0.25">
      <c r="B580" s="4">
        <v>575</v>
      </c>
      <c r="C580" s="4">
        <v>95.718996343677134</v>
      </c>
      <c r="D580" s="45"/>
    </row>
    <row r="581" spans="2:4" ht="16" thickBot="1" x14ac:dyDescent="0.25">
      <c r="B581" s="5">
        <v>576</v>
      </c>
      <c r="C581" s="5">
        <v>66.889614186518941</v>
      </c>
      <c r="D581" s="45"/>
    </row>
    <row r="582" spans="2:4" ht="16" thickBot="1" x14ac:dyDescent="0.25">
      <c r="B582" s="4">
        <v>577</v>
      </c>
      <c r="C582" s="4">
        <v>128.69927767060167</v>
      </c>
      <c r="D582" s="45"/>
    </row>
    <row r="583" spans="2:4" ht="16" thickBot="1" x14ac:dyDescent="0.25">
      <c r="B583" s="5">
        <v>578</v>
      </c>
      <c r="C583" s="5">
        <v>74.254564059250626</v>
      </c>
      <c r="D583" s="45"/>
    </row>
    <row r="584" spans="2:4" ht="16" thickBot="1" x14ac:dyDescent="0.25">
      <c r="B584" s="4">
        <v>579</v>
      </c>
      <c r="C584" s="4">
        <v>122.87277953745082</v>
      </c>
      <c r="D584" s="45"/>
    </row>
    <row r="585" spans="2:4" ht="16" thickBot="1" x14ac:dyDescent="0.25">
      <c r="B585" s="5">
        <v>580</v>
      </c>
      <c r="C585" s="5">
        <v>436.25589475364353</v>
      </c>
      <c r="D585" s="45"/>
    </row>
    <row r="586" spans="2:4" ht="16" thickBot="1" x14ac:dyDescent="0.25">
      <c r="B586" s="4">
        <v>581</v>
      </c>
      <c r="C586" s="4">
        <v>175.91404783682157</v>
      </c>
      <c r="D586" s="45"/>
    </row>
    <row r="587" spans="2:4" ht="16" thickBot="1" x14ac:dyDescent="0.25">
      <c r="B587" s="5">
        <v>582</v>
      </c>
      <c r="C587" s="5">
        <v>155.49800442005267</v>
      </c>
      <c r="D587" s="45"/>
    </row>
    <row r="588" spans="2:4" ht="16" thickBot="1" x14ac:dyDescent="0.25">
      <c r="B588" s="4">
        <v>583</v>
      </c>
      <c r="C588" s="4">
        <v>218.91237351374676</v>
      </c>
      <c r="D588" s="45"/>
    </row>
    <row r="589" spans="2:4" ht="16" thickBot="1" x14ac:dyDescent="0.25">
      <c r="B589" s="5">
        <v>584</v>
      </c>
      <c r="C589" s="5">
        <v>79.280390225092205</v>
      </c>
      <c r="D589" s="45"/>
    </row>
    <row r="590" spans="2:4" ht="16" thickBot="1" x14ac:dyDescent="0.25">
      <c r="B590" s="4">
        <v>585</v>
      </c>
      <c r="C590" s="4">
        <v>133.3247474092438</v>
      </c>
      <c r="D590" s="45"/>
    </row>
    <row r="591" spans="2:4" ht="16" thickBot="1" x14ac:dyDescent="0.25">
      <c r="B591" s="5">
        <v>586</v>
      </c>
      <c r="C591" s="5">
        <v>147.64166083511307</v>
      </c>
      <c r="D591" s="45"/>
    </row>
    <row r="592" spans="2:4" ht="16" thickBot="1" x14ac:dyDescent="0.25">
      <c r="B592" s="4">
        <v>587</v>
      </c>
      <c r="C592" s="4">
        <v>137.24494835030993</v>
      </c>
      <c r="D592" s="45"/>
    </row>
    <row r="593" spans="2:4" ht="16" thickBot="1" x14ac:dyDescent="0.25">
      <c r="B593" s="5">
        <v>588</v>
      </c>
      <c r="C593" s="5">
        <v>87.341363105187071</v>
      </c>
      <c r="D593" s="45"/>
    </row>
    <row r="594" spans="2:4" ht="16" thickBot="1" x14ac:dyDescent="0.25">
      <c r="B594" s="4">
        <v>589</v>
      </c>
      <c r="C594" s="4">
        <v>184.58619537121859</v>
      </c>
      <c r="D594" s="45"/>
    </row>
    <row r="595" spans="2:4" ht="16" thickBot="1" x14ac:dyDescent="0.25">
      <c r="B595" s="5">
        <v>590</v>
      </c>
      <c r="C595" s="5">
        <v>255.12094826696472</v>
      </c>
      <c r="D595" s="45"/>
    </row>
    <row r="596" spans="2:4" ht="16" thickBot="1" x14ac:dyDescent="0.25">
      <c r="B596" s="4">
        <v>591</v>
      </c>
      <c r="C596" s="4">
        <v>104.5758891601388</v>
      </c>
      <c r="D596" s="45"/>
    </row>
    <row r="597" spans="2:4" ht="16" thickBot="1" x14ac:dyDescent="0.25">
      <c r="B597" s="5">
        <v>592</v>
      </c>
      <c r="C597" s="5">
        <v>170.82325189640446</v>
      </c>
      <c r="D597" s="45"/>
    </row>
    <row r="598" spans="2:4" ht="16" thickBot="1" x14ac:dyDescent="0.25">
      <c r="B598" s="4">
        <v>593</v>
      </c>
      <c r="C598" s="4">
        <v>60.510968124283352</v>
      </c>
      <c r="D598" s="45"/>
    </row>
    <row r="599" spans="2:4" ht="16" thickBot="1" x14ac:dyDescent="0.25">
      <c r="B599" s="5">
        <v>594</v>
      </c>
      <c r="C599" s="5">
        <v>225.82955410904017</v>
      </c>
      <c r="D599" s="45"/>
    </row>
    <row r="600" spans="2:4" ht="16" thickBot="1" x14ac:dyDescent="0.25">
      <c r="B600" s="4">
        <v>595</v>
      </c>
      <c r="C600" s="4">
        <v>209.04382439390508</v>
      </c>
      <c r="D600" s="45"/>
    </row>
    <row r="601" spans="2:4" ht="16" thickBot="1" x14ac:dyDescent="0.25">
      <c r="B601" s="5">
        <v>596</v>
      </c>
      <c r="C601" s="5">
        <v>153.07162483274161</v>
      </c>
      <c r="D601" s="45"/>
    </row>
    <row r="602" spans="2:4" ht="16" thickBot="1" x14ac:dyDescent="0.25">
      <c r="B602" s="4">
        <v>597</v>
      </c>
      <c r="C602" s="4">
        <v>91.231372849217578</v>
      </c>
      <c r="D602" s="45"/>
    </row>
    <row r="603" spans="2:4" ht="16" thickBot="1" x14ac:dyDescent="0.25">
      <c r="B603" s="5">
        <v>598</v>
      </c>
      <c r="C603" s="5">
        <v>29.882707833563046</v>
      </c>
      <c r="D603" s="45"/>
    </row>
    <row r="604" spans="2:4" ht="16" thickBot="1" x14ac:dyDescent="0.25">
      <c r="B604" s="4">
        <v>599</v>
      </c>
      <c r="C604" s="4">
        <v>178.25069630735709</v>
      </c>
      <c r="D604" s="45"/>
    </row>
    <row r="605" spans="2:4" ht="16" thickBot="1" x14ac:dyDescent="0.25">
      <c r="B605" s="5">
        <v>600</v>
      </c>
      <c r="C605" s="5">
        <v>198.87459058949801</v>
      </c>
      <c r="D605" s="45"/>
    </row>
    <row r="606" spans="2:4" ht="16" thickBot="1" x14ac:dyDescent="0.25">
      <c r="B606" s="4">
        <v>601</v>
      </c>
      <c r="C606" s="4">
        <v>90.792922026426368</v>
      </c>
      <c r="D606" s="45"/>
    </row>
    <row r="607" spans="2:4" ht="16" thickBot="1" x14ac:dyDescent="0.25">
      <c r="B607" s="5">
        <v>602</v>
      </c>
      <c r="C607" s="5">
        <v>115.23641581705823</v>
      </c>
      <c r="D607" s="45"/>
    </row>
    <row r="608" spans="2:4" ht="16" thickBot="1" x14ac:dyDescent="0.25">
      <c r="B608" s="4">
        <v>603</v>
      </c>
      <c r="C608" s="4">
        <v>190.5524281317235</v>
      </c>
      <c r="D608" s="45"/>
    </row>
    <row r="609" spans="2:4" ht="16" thickBot="1" x14ac:dyDescent="0.25">
      <c r="B609" s="5">
        <v>604</v>
      </c>
      <c r="C609" s="5">
        <v>132.84255483757312</v>
      </c>
      <c r="D609" s="45"/>
    </row>
    <row r="610" spans="2:4" ht="16" thickBot="1" x14ac:dyDescent="0.25">
      <c r="B610" s="4">
        <v>605</v>
      </c>
      <c r="C610" s="4">
        <v>127.51182129776009</v>
      </c>
      <c r="D610" s="45"/>
    </row>
    <row r="611" spans="2:4" ht="16" thickBot="1" x14ac:dyDescent="0.25">
      <c r="B611" s="5">
        <v>606</v>
      </c>
      <c r="C611" s="5">
        <v>147.93547115213232</v>
      </c>
      <c r="D611" s="45"/>
    </row>
    <row r="612" spans="2:4" ht="16" thickBot="1" x14ac:dyDescent="0.25">
      <c r="B612" s="4">
        <v>607</v>
      </c>
      <c r="C612" s="4">
        <v>173.02850382816399</v>
      </c>
      <c r="D612" s="45"/>
    </row>
    <row r="613" spans="2:4" ht="16" thickBot="1" x14ac:dyDescent="0.25">
      <c r="B613" s="5">
        <v>608</v>
      </c>
      <c r="C613" s="5">
        <v>129.61574393788143</v>
      </c>
      <c r="D613" s="45"/>
    </row>
    <row r="614" spans="2:4" ht="16" thickBot="1" x14ac:dyDescent="0.25">
      <c r="B614" s="4">
        <v>609</v>
      </c>
      <c r="C614" s="4">
        <v>111.03143186603786</v>
      </c>
      <c r="D614" s="45"/>
    </row>
    <row r="615" spans="2:4" ht="16" thickBot="1" x14ac:dyDescent="0.25">
      <c r="B615" s="5">
        <v>610</v>
      </c>
      <c r="C615" s="5">
        <v>272.14741223623264</v>
      </c>
      <c r="D615" s="45"/>
    </row>
    <row r="616" spans="2:4" ht="16" thickBot="1" x14ac:dyDescent="0.25">
      <c r="B616" s="4">
        <v>611</v>
      </c>
      <c r="C616" s="4">
        <v>103.54287598726371</v>
      </c>
      <c r="D616" s="45"/>
    </row>
    <row r="617" spans="2:4" ht="16" thickBot="1" x14ac:dyDescent="0.25">
      <c r="B617" s="5">
        <v>612</v>
      </c>
      <c r="C617" s="5">
        <v>84.415557291059898</v>
      </c>
      <c r="D617" s="45"/>
    </row>
    <row r="618" spans="2:4" ht="16" thickBot="1" x14ac:dyDescent="0.25">
      <c r="B618" s="4">
        <v>613</v>
      </c>
      <c r="C618" s="4">
        <v>99.875629263873009</v>
      </c>
      <c r="D618" s="45"/>
    </row>
    <row r="619" spans="2:4" ht="16" thickBot="1" x14ac:dyDescent="0.25">
      <c r="B619" s="5">
        <v>614</v>
      </c>
      <c r="C619" s="5">
        <v>127.78463743503728</v>
      </c>
      <c r="D619" s="45"/>
    </row>
    <row r="620" spans="2:4" ht="16" thickBot="1" x14ac:dyDescent="0.25">
      <c r="B620" s="4">
        <v>615</v>
      </c>
      <c r="C620" s="4">
        <v>267.68300290471672</v>
      </c>
      <c r="D620" s="45"/>
    </row>
    <row r="621" spans="2:4" ht="16" thickBot="1" x14ac:dyDescent="0.25">
      <c r="B621" s="5">
        <v>616</v>
      </c>
      <c r="C621" s="5">
        <v>154.97040160354547</v>
      </c>
      <c r="D621" s="45"/>
    </row>
    <row r="622" spans="2:4" ht="16" thickBot="1" x14ac:dyDescent="0.25">
      <c r="B622" s="4">
        <v>617</v>
      </c>
      <c r="C622" s="4">
        <v>31.091111494451621</v>
      </c>
      <c r="D622" s="45"/>
    </row>
    <row r="623" spans="2:4" ht="16" thickBot="1" x14ac:dyDescent="0.25">
      <c r="B623" s="5">
        <v>618</v>
      </c>
      <c r="C623" s="5">
        <v>75.22899627546478</v>
      </c>
      <c r="D623" s="45"/>
    </row>
    <row r="624" spans="2:4" ht="16" thickBot="1" x14ac:dyDescent="0.25">
      <c r="B624" s="4">
        <v>619</v>
      </c>
      <c r="C624" s="4">
        <v>151.1737032769739</v>
      </c>
      <c r="D624" s="45"/>
    </row>
    <row r="625" spans="2:4" ht="16" thickBot="1" x14ac:dyDescent="0.25">
      <c r="B625" s="5">
        <v>620</v>
      </c>
      <c r="C625" s="5">
        <v>65.521765379488784</v>
      </c>
      <c r="D625" s="45"/>
    </row>
    <row r="626" spans="2:4" ht="16" thickBot="1" x14ac:dyDescent="0.25">
      <c r="B626" s="4">
        <v>621</v>
      </c>
      <c r="C626" s="4">
        <v>511.5458978642983</v>
      </c>
      <c r="D626" s="45"/>
    </row>
    <row r="627" spans="2:4" ht="16" thickBot="1" x14ac:dyDescent="0.25">
      <c r="B627" s="5">
        <v>622</v>
      </c>
      <c r="C627" s="5">
        <v>126.77697516996379</v>
      </c>
      <c r="D627" s="45"/>
    </row>
    <row r="628" spans="2:4" ht="16" thickBot="1" x14ac:dyDescent="0.25">
      <c r="B628" s="4">
        <v>623</v>
      </c>
      <c r="C628" s="4">
        <v>478.63417440417527</v>
      </c>
      <c r="D628" s="45"/>
    </row>
    <row r="629" spans="2:4" ht="16" thickBot="1" x14ac:dyDescent="0.25">
      <c r="B629" s="5">
        <v>624</v>
      </c>
      <c r="C629" s="5">
        <v>215.22466224058516</v>
      </c>
      <c r="D629" s="45"/>
    </row>
    <row r="630" spans="2:4" ht="16" thickBot="1" x14ac:dyDescent="0.25">
      <c r="B630" s="4">
        <v>625</v>
      </c>
      <c r="C630" s="4">
        <v>467.74405458170247</v>
      </c>
      <c r="D630" s="45"/>
    </row>
    <row r="631" spans="2:4" ht="16" thickBot="1" x14ac:dyDescent="0.25">
      <c r="B631" s="5">
        <v>626</v>
      </c>
      <c r="C631" s="5">
        <v>143.48111264068879</v>
      </c>
      <c r="D631" s="45"/>
    </row>
    <row r="632" spans="2:4" ht="16" thickBot="1" x14ac:dyDescent="0.25">
      <c r="B632" s="4">
        <v>627</v>
      </c>
      <c r="C632" s="4">
        <v>146.93753787469072</v>
      </c>
      <c r="D632" s="45"/>
    </row>
    <row r="633" spans="2:4" ht="16" thickBot="1" x14ac:dyDescent="0.25">
      <c r="B633" s="5">
        <v>628</v>
      </c>
      <c r="C633" s="5">
        <v>156.81273634264747</v>
      </c>
      <c r="D633" s="45"/>
    </row>
    <row r="634" spans="2:4" ht="16" thickBot="1" x14ac:dyDescent="0.25">
      <c r="B634" s="4">
        <v>629</v>
      </c>
      <c r="C634" s="4">
        <v>156.65579347939149</v>
      </c>
      <c r="D634" s="45"/>
    </row>
    <row r="635" spans="2:4" ht="16" thickBot="1" x14ac:dyDescent="0.25">
      <c r="B635" s="5">
        <v>630</v>
      </c>
      <c r="C635" s="5">
        <v>189.38886321327556</v>
      </c>
      <c r="D635" s="45"/>
    </row>
    <row r="636" spans="2:4" ht="16" thickBot="1" x14ac:dyDescent="0.25">
      <c r="B636" s="4">
        <v>631</v>
      </c>
      <c r="C636" s="4">
        <v>369.34284164722072</v>
      </c>
      <c r="D636" s="45"/>
    </row>
    <row r="637" spans="2:4" ht="16" thickBot="1" x14ac:dyDescent="0.25">
      <c r="B637" s="5">
        <v>632</v>
      </c>
      <c r="C637" s="5">
        <v>146.98119075557247</v>
      </c>
      <c r="D637" s="45"/>
    </row>
    <row r="638" spans="2:4" ht="16" thickBot="1" x14ac:dyDescent="0.25">
      <c r="B638" s="4">
        <v>633</v>
      </c>
      <c r="C638" s="4">
        <v>99.170576329956717</v>
      </c>
      <c r="D638" s="45"/>
    </row>
    <row r="639" spans="2:4" ht="16" thickBot="1" x14ac:dyDescent="0.25">
      <c r="B639" s="5">
        <v>634</v>
      </c>
      <c r="C639" s="5">
        <v>286.05040974049609</v>
      </c>
      <c r="D639" s="45"/>
    </row>
    <row r="640" spans="2:4" ht="16" thickBot="1" x14ac:dyDescent="0.25">
      <c r="B640" s="4">
        <v>635</v>
      </c>
      <c r="C640" s="4">
        <v>105.94360032238546</v>
      </c>
      <c r="D640" s="45"/>
    </row>
    <row r="641" spans="2:4" ht="16" thickBot="1" x14ac:dyDescent="0.25">
      <c r="B641" s="5">
        <v>636</v>
      </c>
      <c r="C641" s="5">
        <v>122.92944249827103</v>
      </c>
      <c r="D641" s="45"/>
    </row>
    <row r="642" spans="2:4" ht="16" thickBot="1" x14ac:dyDescent="0.25">
      <c r="B642" s="4">
        <v>637</v>
      </c>
      <c r="C642" s="4">
        <v>260.17480410878818</v>
      </c>
      <c r="D642" s="45"/>
    </row>
    <row r="643" spans="2:4" ht="16" thickBot="1" x14ac:dyDescent="0.25">
      <c r="B643" s="5">
        <v>638</v>
      </c>
      <c r="C643" s="5">
        <v>121.90371805077734</v>
      </c>
      <c r="D643" s="45"/>
    </row>
    <row r="644" spans="2:4" ht="16" thickBot="1" x14ac:dyDescent="0.25">
      <c r="B644" s="4">
        <v>639</v>
      </c>
      <c r="C644" s="4">
        <v>230.04970706041377</v>
      </c>
      <c r="D644" s="45"/>
    </row>
    <row r="645" spans="2:4" ht="16" thickBot="1" x14ac:dyDescent="0.25">
      <c r="B645" s="5">
        <v>640</v>
      </c>
      <c r="C645" s="5">
        <v>89.649966809357807</v>
      </c>
      <c r="D645" s="45"/>
    </row>
    <row r="646" spans="2:4" ht="16" thickBot="1" x14ac:dyDescent="0.25">
      <c r="B646" s="4">
        <v>641</v>
      </c>
      <c r="C646" s="4">
        <v>250.19041459475383</v>
      </c>
      <c r="D646" s="45"/>
    </row>
    <row r="647" spans="2:4" ht="16" thickBot="1" x14ac:dyDescent="0.25">
      <c r="B647" s="5">
        <v>642</v>
      </c>
      <c r="C647" s="5">
        <v>119.3414249895968</v>
      </c>
      <c r="D647" s="45"/>
    </row>
    <row r="648" spans="2:4" ht="16" thickBot="1" x14ac:dyDescent="0.25">
      <c r="B648" s="4">
        <v>643</v>
      </c>
      <c r="C648" s="4">
        <v>106.60806134856952</v>
      </c>
      <c r="D648" s="45"/>
    </row>
    <row r="649" spans="2:4" ht="16" thickBot="1" x14ac:dyDescent="0.25">
      <c r="B649" s="5">
        <v>644</v>
      </c>
      <c r="C649" s="5">
        <v>172.18941867151551</v>
      </c>
      <c r="D649" s="45"/>
    </row>
    <row r="650" spans="2:4" ht="16" thickBot="1" x14ac:dyDescent="0.25">
      <c r="B650" s="4">
        <v>645</v>
      </c>
      <c r="C650" s="4">
        <v>54.478299921471063</v>
      </c>
      <c r="D650" s="45"/>
    </row>
    <row r="651" spans="2:4" ht="16" thickBot="1" x14ac:dyDescent="0.25">
      <c r="B651" s="5">
        <v>646</v>
      </c>
      <c r="C651" s="5">
        <v>86.694535812704203</v>
      </c>
      <c r="D651" s="45"/>
    </row>
    <row r="652" spans="2:4" ht="16" thickBot="1" x14ac:dyDescent="0.25">
      <c r="B652" s="4">
        <v>647</v>
      </c>
      <c r="C652" s="4">
        <v>98.729619300955022</v>
      </c>
      <c r="D652" s="45"/>
    </row>
    <row r="653" spans="2:4" ht="16" thickBot="1" x14ac:dyDescent="0.25">
      <c r="B653" s="5">
        <v>648</v>
      </c>
      <c r="C653" s="5">
        <v>195.52438176067221</v>
      </c>
      <c r="D653" s="45"/>
    </row>
    <row r="654" spans="2:4" ht="16" thickBot="1" x14ac:dyDescent="0.25">
      <c r="B654" s="4">
        <v>649</v>
      </c>
      <c r="C654" s="4">
        <v>74.110343834291953</v>
      </c>
      <c r="D654" s="45"/>
    </row>
    <row r="655" spans="2:4" ht="16" thickBot="1" x14ac:dyDescent="0.25">
      <c r="B655" s="5">
        <v>650</v>
      </c>
      <c r="C655" s="5">
        <v>154.89733461577623</v>
      </c>
      <c r="D655" s="45"/>
    </row>
    <row r="656" spans="2:4" ht="16" thickBot="1" x14ac:dyDescent="0.25">
      <c r="B656" s="4">
        <v>651</v>
      </c>
      <c r="C656" s="4">
        <v>136.26520281233854</v>
      </c>
      <c r="D656" s="45"/>
    </row>
    <row r="657" spans="2:4" ht="16" thickBot="1" x14ac:dyDescent="0.25">
      <c r="B657" s="5">
        <v>652</v>
      </c>
      <c r="C657" s="5">
        <v>67.883230433032779</v>
      </c>
      <c r="D657" s="45"/>
    </row>
    <row r="658" spans="2:4" ht="16" thickBot="1" x14ac:dyDescent="0.25">
      <c r="B658" s="4">
        <v>653</v>
      </c>
      <c r="C658" s="4">
        <v>86.728204193461067</v>
      </c>
      <c r="D658" s="45"/>
    </row>
    <row r="659" spans="2:4" ht="16" thickBot="1" x14ac:dyDescent="0.25">
      <c r="B659" s="5">
        <v>654</v>
      </c>
      <c r="C659" s="5">
        <v>105.55603429103004</v>
      </c>
      <c r="D659" s="45"/>
    </row>
    <row r="660" spans="2:4" ht="16" thickBot="1" x14ac:dyDescent="0.25">
      <c r="B660" s="4">
        <v>655</v>
      </c>
      <c r="C660" s="4">
        <v>159.78669743143178</v>
      </c>
      <c r="D660" s="45"/>
    </row>
    <row r="661" spans="2:4" ht="16" thickBot="1" x14ac:dyDescent="0.25">
      <c r="B661" s="5">
        <v>656</v>
      </c>
      <c r="C661" s="5">
        <v>137.66909575748477</v>
      </c>
      <c r="D661" s="45"/>
    </row>
    <row r="662" spans="2:4" ht="16" thickBot="1" x14ac:dyDescent="0.25">
      <c r="B662" s="4">
        <v>657</v>
      </c>
      <c r="C662" s="4">
        <v>98.379706064892588</v>
      </c>
      <c r="D662" s="45"/>
    </row>
    <row r="663" spans="2:4" ht="16" thickBot="1" x14ac:dyDescent="0.25">
      <c r="B663" s="5">
        <v>658</v>
      </c>
      <c r="C663" s="5">
        <v>173.60629961950357</v>
      </c>
      <c r="D663" s="45"/>
    </row>
    <row r="664" spans="2:4" ht="16" thickBot="1" x14ac:dyDescent="0.25">
      <c r="B664" s="4">
        <v>659</v>
      </c>
      <c r="C664" s="4">
        <v>80.570752732730227</v>
      </c>
      <c r="D664" s="45"/>
    </row>
    <row r="665" spans="2:4" ht="16" thickBot="1" x14ac:dyDescent="0.25">
      <c r="B665" s="5">
        <v>660</v>
      </c>
      <c r="C665" s="5">
        <v>112.24842671722107</v>
      </c>
      <c r="D665" s="45"/>
    </row>
    <row r="666" spans="2:4" ht="16" thickBot="1" x14ac:dyDescent="0.25">
      <c r="B666" s="4">
        <v>661</v>
      </c>
      <c r="C666" s="4">
        <v>101.34724795242607</v>
      </c>
      <c r="D666" s="45"/>
    </row>
    <row r="667" spans="2:4" ht="16" thickBot="1" x14ac:dyDescent="0.25">
      <c r="B667" s="5">
        <v>662</v>
      </c>
      <c r="C667" s="5">
        <v>302.92040210169324</v>
      </c>
      <c r="D667" s="45"/>
    </row>
    <row r="668" spans="2:4" ht="16" thickBot="1" x14ac:dyDescent="0.25">
      <c r="B668" s="4">
        <v>663</v>
      </c>
      <c r="C668" s="4">
        <v>197.39783157068172</v>
      </c>
      <c r="D668" s="45"/>
    </row>
    <row r="669" spans="2:4" ht="16" thickBot="1" x14ac:dyDescent="0.25">
      <c r="B669" s="5">
        <v>664</v>
      </c>
      <c r="C669" s="5">
        <v>31.418530238095531</v>
      </c>
      <c r="D669" s="45"/>
    </row>
    <row r="670" spans="2:4" ht="16" thickBot="1" x14ac:dyDescent="0.25">
      <c r="B670" s="4">
        <v>665</v>
      </c>
      <c r="C670" s="4">
        <v>110.78524258430485</v>
      </c>
      <c r="D670" s="45"/>
    </row>
    <row r="671" spans="2:4" ht="16" thickBot="1" x14ac:dyDescent="0.25">
      <c r="B671" s="5">
        <v>666</v>
      </c>
      <c r="C671" s="5">
        <v>309.12049629016104</v>
      </c>
      <c r="D671" s="45"/>
    </row>
    <row r="672" spans="2:4" ht="16" thickBot="1" x14ac:dyDescent="0.25">
      <c r="B672" s="4">
        <v>667</v>
      </c>
      <c r="C672" s="4">
        <v>197.98989099294528</v>
      </c>
      <c r="D672" s="45"/>
    </row>
    <row r="673" spans="2:4" ht="16" thickBot="1" x14ac:dyDescent="0.25">
      <c r="B673" s="5">
        <v>668</v>
      </c>
      <c r="C673" s="5">
        <v>145.69237910853346</v>
      </c>
      <c r="D673" s="45"/>
    </row>
    <row r="674" spans="2:4" ht="16" thickBot="1" x14ac:dyDescent="0.25">
      <c r="B674" s="4">
        <v>669</v>
      </c>
      <c r="C674" s="4">
        <v>76.338773914653004</v>
      </c>
      <c r="D674" s="45"/>
    </row>
    <row r="675" spans="2:4" ht="16" thickBot="1" x14ac:dyDescent="0.25">
      <c r="B675" s="5">
        <v>670</v>
      </c>
      <c r="C675" s="5">
        <v>113.07598004351472</v>
      </c>
      <c r="D675" s="45"/>
    </row>
    <row r="676" spans="2:4" ht="16" thickBot="1" x14ac:dyDescent="0.25">
      <c r="B676" s="4">
        <v>671</v>
      </c>
      <c r="C676" s="4">
        <v>337.1008049126786</v>
      </c>
      <c r="D676" s="45"/>
    </row>
    <row r="677" spans="2:4" ht="16" thickBot="1" x14ac:dyDescent="0.25">
      <c r="B677" s="5">
        <v>672</v>
      </c>
      <c r="C677" s="5">
        <v>159.624292502342</v>
      </c>
      <c r="D677" s="45"/>
    </row>
    <row r="678" spans="2:4" ht="16" thickBot="1" x14ac:dyDescent="0.25">
      <c r="B678" s="4">
        <v>673</v>
      </c>
      <c r="C678" s="4">
        <v>141.30459439211177</v>
      </c>
      <c r="D678" s="45"/>
    </row>
    <row r="679" spans="2:4" ht="16" thickBot="1" x14ac:dyDescent="0.25">
      <c r="B679" s="5">
        <v>674</v>
      </c>
      <c r="C679" s="5">
        <v>163.36096617618892</v>
      </c>
      <c r="D679" s="45"/>
    </row>
    <row r="680" spans="2:4" ht="16" thickBot="1" x14ac:dyDescent="0.25">
      <c r="B680" s="4">
        <v>675</v>
      </c>
      <c r="C680" s="4">
        <v>338.7770661200783</v>
      </c>
      <c r="D680" s="45"/>
    </row>
    <row r="681" spans="2:4" ht="16" thickBot="1" x14ac:dyDescent="0.25">
      <c r="B681" s="5">
        <v>676</v>
      </c>
      <c r="C681" s="5">
        <v>224.53543945546011</v>
      </c>
      <c r="D681" s="45"/>
    </row>
    <row r="682" spans="2:4" ht="16" thickBot="1" x14ac:dyDescent="0.25">
      <c r="B682" s="4">
        <v>677</v>
      </c>
      <c r="C682" s="4">
        <v>92.516219116121164</v>
      </c>
      <c r="D682" s="45"/>
    </row>
    <row r="683" spans="2:4" ht="16" thickBot="1" x14ac:dyDescent="0.25">
      <c r="B683" s="5">
        <v>678</v>
      </c>
      <c r="C683" s="5">
        <v>123.57147829284047</v>
      </c>
      <c r="D683" s="45"/>
    </row>
    <row r="684" spans="2:4" ht="16" thickBot="1" x14ac:dyDescent="0.25">
      <c r="B684" s="4">
        <v>679</v>
      </c>
      <c r="C684" s="4">
        <v>276.95358696428269</v>
      </c>
      <c r="D684" s="45"/>
    </row>
    <row r="685" spans="2:4" ht="16" thickBot="1" x14ac:dyDescent="0.25">
      <c r="B685" s="5">
        <v>680</v>
      </c>
      <c r="C685" s="5">
        <v>301.12892428106045</v>
      </c>
      <c r="D685" s="45"/>
    </row>
    <row r="686" spans="2:4" ht="16" thickBot="1" x14ac:dyDescent="0.25">
      <c r="B686" s="4">
        <v>681</v>
      </c>
      <c r="C686" s="4">
        <v>83.241075530601648</v>
      </c>
      <c r="D686" s="45"/>
    </row>
    <row r="687" spans="2:4" ht="16" thickBot="1" x14ac:dyDescent="0.25">
      <c r="B687" s="5">
        <v>682</v>
      </c>
      <c r="C687" s="5">
        <v>140.24218386557658</v>
      </c>
      <c r="D687" s="45"/>
    </row>
    <row r="688" spans="2:4" ht="16" thickBot="1" x14ac:dyDescent="0.25">
      <c r="B688" s="4">
        <v>683</v>
      </c>
      <c r="C688" s="4">
        <v>244.30248366656255</v>
      </c>
      <c r="D688" s="45"/>
    </row>
    <row r="689" spans="2:4" ht="16" thickBot="1" x14ac:dyDescent="0.25">
      <c r="B689" s="5">
        <v>684</v>
      </c>
      <c r="C689" s="5">
        <v>137.3057492191422</v>
      </c>
      <c r="D689" s="45"/>
    </row>
    <row r="690" spans="2:4" ht="16" thickBot="1" x14ac:dyDescent="0.25">
      <c r="B690" s="4">
        <v>685</v>
      </c>
      <c r="C690" s="4">
        <v>67.993555378525372</v>
      </c>
      <c r="D690" s="45"/>
    </row>
    <row r="691" spans="2:4" ht="16" thickBot="1" x14ac:dyDescent="0.25">
      <c r="B691" s="5">
        <v>686</v>
      </c>
      <c r="C691" s="5">
        <v>127.05247099928414</v>
      </c>
      <c r="D691" s="45"/>
    </row>
    <row r="692" spans="2:4" ht="16" thickBot="1" x14ac:dyDescent="0.25">
      <c r="B692" s="4">
        <v>687</v>
      </c>
      <c r="C692" s="4">
        <v>273.1295787137521</v>
      </c>
      <c r="D692" s="45"/>
    </row>
    <row r="693" spans="2:4" ht="16" thickBot="1" x14ac:dyDescent="0.25">
      <c r="B693" s="5">
        <v>688</v>
      </c>
      <c r="C693" s="5">
        <v>298.19873204120779</v>
      </c>
      <c r="D693" s="45"/>
    </row>
    <row r="694" spans="2:4" ht="16" thickBot="1" x14ac:dyDescent="0.25">
      <c r="B694" s="4">
        <v>689</v>
      </c>
      <c r="C694" s="4">
        <v>182.45891367375319</v>
      </c>
      <c r="D694" s="45"/>
    </row>
    <row r="695" spans="2:4" ht="16" thickBot="1" x14ac:dyDescent="0.25">
      <c r="B695" s="5">
        <v>690</v>
      </c>
      <c r="C695" s="5">
        <v>141.06995319760713</v>
      </c>
      <c r="D695" s="45"/>
    </row>
    <row r="696" spans="2:4" ht="16" thickBot="1" x14ac:dyDescent="0.25">
      <c r="B696" s="4">
        <v>691</v>
      </c>
      <c r="C696" s="4">
        <v>138.52381212591666</v>
      </c>
      <c r="D696" s="45"/>
    </row>
    <row r="697" spans="2:4" ht="16" thickBot="1" x14ac:dyDescent="0.25">
      <c r="B697" s="5">
        <v>692</v>
      </c>
      <c r="C697" s="5">
        <v>58.224302646095524</v>
      </c>
      <c r="D697" s="45"/>
    </row>
    <row r="698" spans="2:4" ht="16" thickBot="1" x14ac:dyDescent="0.25">
      <c r="B698" s="4">
        <v>693</v>
      </c>
      <c r="C698" s="4">
        <v>327.92677687260704</v>
      </c>
      <c r="D698" s="45"/>
    </row>
    <row r="699" spans="2:4" ht="16" thickBot="1" x14ac:dyDescent="0.25">
      <c r="B699" s="5">
        <v>694</v>
      </c>
      <c r="C699" s="5">
        <v>280.96924251878522</v>
      </c>
      <c r="D699" s="45"/>
    </row>
    <row r="700" spans="2:4" ht="16" thickBot="1" x14ac:dyDescent="0.25">
      <c r="B700" s="4">
        <v>695</v>
      </c>
      <c r="C700" s="4">
        <v>65.11919467964897</v>
      </c>
      <c r="D700" s="45"/>
    </row>
    <row r="701" spans="2:4" ht="16" thickBot="1" x14ac:dyDescent="0.25">
      <c r="B701" s="5">
        <v>696</v>
      </c>
      <c r="C701" s="5">
        <v>158.4361937381085</v>
      </c>
      <c r="D701" s="45"/>
    </row>
    <row r="702" spans="2:4" ht="16" thickBot="1" x14ac:dyDescent="0.25">
      <c r="B702" s="4">
        <v>697</v>
      </c>
      <c r="C702" s="4">
        <v>269.61485151611402</v>
      </c>
      <c r="D702" s="45"/>
    </row>
    <row r="703" spans="2:4" ht="16" thickBot="1" x14ac:dyDescent="0.25">
      <c r="B703" s="5">
        <v>698</v>
      </c>
      <c r="C703" s="5">
        <v>365.08027366252219</v>
      </c>
      <c r="D703" s="45"/>
    </row>
    <row r="704" spans="2:4" ht="16" thickBot="1" x14ac:dyDescent="0.25">
      <c r="B704" s="4">
        <v>699</v>
      </c>
      <c r="C704" s="4">
        <v>305.11326831372435</v>
      </c>
      <c r="D704" s="45"/>
    </row>
    <row r="705" spans="2:4" ht="16" thickBot="1" x14ac:dyDescent="0.25">
      <c r="B705" s="5">
        <v>700</v>
      </c>
      <c r="C705" s="5">
        <v>242.73611172163885</v>
      </c>
      <c r="D705" s="45"/>
    </row>
    <row r="706" spans="2:4" ht="16" thickBot="1" x14ac:dyDescent="0.25">
      <c r="B706" s="4">
        <v>701</v>
      </c>
      <c r="C706" s="4">
        <v>102.82973170102274</v>
      </c>
      <c r="D706" s="45"/>
    </row>
    <row r="707" spans="2:4" ht="16" thickBot="1" x14ac:dyDescent="0.25">
      <c r="B707" s="5">
        <v>702</v>
      </c>
      <c r="C707" s="5">
        <v>114.79228389788373</v>
      </c>
      <c r="D707" s="45"/>
    </row>
    <row r="708" spans="2:4" ht="16" thickBot="1" x14ac:dyDescent="0.25">
      <c r="B708" s="4">
        <v>703</v>
      </c>
      <c r="C708" s="4">
        <v>145.52041910298061</v>
      </c>
      <c r="D708" s="45"/>
    </row>
    <row r="709" spans="2:4" ht="16" thickBot="1" x14ac:dyDescent="0.25">
      <c r="B709" s="5">
        <v>704</v>
      </c>
      <c r="C709" s="5">
        <v>126.7395088305194</v>
      </c>
      <c r="D709" s="45"/>
    </row>
    <row r="710" spans="2:4" ht="16" thickBot="1" x14ac:dyDescent="0.25">
      <c r="B710" s="4">
        <v>705</v>
      </c>
      <c r="C710" s="4">
        <v>62.309711559323254</v>
      </c>
      <c r="D710" s="45"/>
    </row>
    <row r="711" spans="2:4" ht="16" thickBot="1" x14ac:dyDescent="0.25">
      <c r="B711" s="5">
        <v>706</v>
      </c>
      <c r="C711" s="5">
        <v>215.18814752137348</v>
      </c>
      <c r="D711" s="45"/>
    </row>
    <row r="712" spans="2:4" ht="16" thickBot="1" x14ac:dyDescent="0.25">
      <c r="B712" s="4">
        <v>707</v>
      </c>
      <c r="C712" s="4">
        <v>69.326170103709018</v>
      </c>
      <c r="D712" s="45"/>
    </row>
    <row r="713" spans="2:4" ht="16" thickBot="1" x14ac:dyDescent="0.25">
      <c r="B713" s="5">
        <v>708</v>
      </c>
      <c r="C713" s="5">
        <v>368.20333503504236</v>
      </c>
      <c r="D713" s="45"/>
    </row>
    <row r="714" spans="2:4" ht="16" thickBot="1" x14ac:dyDescent="0.25">
      <c r="B714" s="4">
        <v>709</v>
      </c>
      <c r="C714" s="4">
        <v>164.78974012757655</v>
      </c>
      <c r="D714" s="45"/>
    </row>
    <row r="715" spans="2:4" ht="16" thickBot="1" x14ac:dyDescent="0.25">
      <c r="B715" s="5">
        <v>710</v>
      </c>
      <c r="C715" s="5">
        <v>213.39193611992707</v>
      </c>
      <c r="D715" s="45"/>
    </row>
    <row r="716" spans="2:4" ht="16" thickBot="1" x14ac:dyDescent="0.25">
      <c r="B716" s="4">
        <v>711</v>
      </c>
      <c r="C716" s="4">
        <v>110.9783995924593</v>
      </c>
      <c r="D716" s="45"/>
    </row>
    <row r="717" spans="2:4" ht="16" thickBot="1" x14ac:dyDescent="0.25">
      <c r="B717" s="5">
        <v>712</v>
      </c>
      <c r="C717" s="5">
        <v>343.49209577822455</v>
      </c>
      <c r="D717" s="45"/>
    </row>
    <row r="718" spans="2:4" ht="16" thickBot="1" x14ac:dyDescent="0.25">
      <c r="B718" s="4">
        <v>713</v>
      </c>
      <c r="C718" s="4">
        <v>79.748592474410884</v>
      </c>
      <c r="D718" s="45"/>
    </row>
    <row r="719" spans="2:4" ht="16" thickBot="1" x14ac:dyDescent="0.25">
      <c r="B719" s="5">
        <v>714</v>
      </c>
      <c r="C719" s="5">
        <v>82.122700024817604</v>
      </c>
      <c r="D719" s="45"/>
    </row>
    <row r="720" spans="2:4" ht="16" thickBot="1" x14ac:dyDescent="0.25">
      <c r="B720" s="4">
        <v>715</v>
      </c>
      <c r="C720" s="4">
        <v>133.9780211883853</v>
      </c>
      <c r="D720" s="45"/>
    </row>
    <row r="721" spans="2:4" ht="16" thickBot="1" x14ac:dyDescent="0.25">
      <c r="B721" s="5">
        <v>716</v>
      </c>
      <c r="C721" s="5">
        <v>466.86862301847816</v>
      </c>
      <c r="D721" s="45"/>
    </row>
    <row r="722" spans="2:4" ht="16" thickBot="1" x14ac:dyDescent="0.25">
      <c r="B722" s="4">
        <v>717</v>
      </c>
      <c r="C722" s="4">
        <v>179.73867488020943</v>
      </c>
      <c r="D722" s="45"/>
    </row>
    <row r="723" spans="2:4" ht="16" thickBot="1" x14ac:dyDescent="0.25">
      <c r="B723" s="5">
        <v>718</v>
      </c>
      <c r="C723" s="5">
        <v>66.23649287633971</v>
      </c>
      <c r="D723" s="45"/>
    </row>
    <row r="724" spans="2:4" ht="16" thickBot="1" x14ac:dyDescent="0.25">
      <c r="B724" s="4">
        <v>719</v>
      </c>
      <c r="C724" s="4">
        <v>272.65989353126054</v>
      </c>
      <c r="D724" s="45"/>
    </row>
    <row r="725" spans="2:4" ht="16" thickBot="1" x14ac:dyDescent="0.25">
      <c r="B725" s="5">
        <v>720</v>
      </c>
      <c r="C725" s="5">
        <v>70.259613509605103</v>
      </c>
      <c r="D725" s="45"/>
    </row>
    <row r="726" spans="2:4" ht="16" thickBot="1" x14ac:dyDescent="0.25">
      <c r="B726" s="4">
        <v>721</v>
      </c>
      <c r="C726" s="4">
        <v>111.99468293859263</v>
      </c>
      <c r="D726" s="45"/>
    </row>
    <row r="727" spans="2:4" ht="16" thickBot="1" x14ac:dyDescent="0.25">
      <c r="B727" s="5">
        <v>722</v>
      </c>
      <c r="C727" s="5">
        <v>145.35710573498278</v>
      </c>
      <c r="D727" s="45"/>
    </row>
    <row r="728" spans="2:4" ht="16" thickBot="1" x14ac:dyDescent="0.25">
      <c r="B728" s="4">
        <v>723</v>
      </c>
      <c r="C728" s="4">
        <v>247.49222780959852</v>
      </c>
      <c r="D728" s="45"/>
    </row>
    <row r="729" spans="2:4" ht="16" thickBot="1" x14ac:dyDescent="0.25">
      <c r="B729" s="5">
        <v>724</v>
      </c>
      <c r="C729" s="5">
        <v>100.04047441766028</v>
      </c>
      <c r="D729" s="45"/>
    </row>
    <row r="730" spans="2:4" ht="16" thickBot="1" x14ac:dyDescent="0.25">
      <c r="B730" s="4">
        <v>725</v>
      </c>
      <c r="C730" s="4">
        <v>98.362869151848415</v>
      </c>
      <c r="D730" s="45"/>
    </row>
    <row r="731" spans="2:4" ht="16" thickBot="1" x14ac:dyDescent="0.25">
      <c r="B731" s="5">
        <v>726</v>
      </c>
      <c r="C731" s="5">
        <v>122.94241917162246</v>
      </c>
      <c r="D731" s="45"/>
    </row>
    <row r="732" spans="2:4" ht="16" thickBot="1" x14ac:dyDescent="0.25">
      <c r="B732" s="4">
        <v>727</v>
      </c>
      <c r="C732" s="4">
        <v>117.35118131238393</v>
      </c>
      <c r="D732" s="45"/>
    </row>
    <row r="733" spans="2:4" ht="16" thickBot="1" x14ac:dyDescent="0.25">
      <c r="B733" s="5">
        <v>728</v>
      </c>
      <c r="C733" s="5">
        <v>215.45546569201977</v>
      </c>
      <c r="D733" s="45"/>
    </row>
    <row r="734" spans="2:4" ht="16" thickBot="1" x14ac:dyDescent="0.25">
      <c r="B734" s="4">
        <v>729</v>
      </c>
      <c r="C734" s="4">
        <v>173.05185806696446</v>
      </c>
      <c r="D734" s="45"/>
    </row>
    <row r="735" spans="2:4" ht="16" thickBot="1" x14ac:dyDescent="0.25">
      <c r="B735" s="5">
        <v>730</v>
      </c>
      <c r="C735" s="5">
        <v>106.06416984245973</v>
      </c>
      <c r="D735" s="45"/>
    </row>
    <row r="736" spans="2:4" ht="16" thickBot="1" x14ac:dyDescent="0.25">
      <c r="B736" s="4">
        <v>731</v>
      </c>
      <c r="C736" s="4">
        <v>202.39973635741575</v>
      </c>
      <c r="D736" s="45"/>
    </row>
    <row r="737" spans="2:4" ht="16" thickBot="1" x14ac:dyDescent="0.25">
      <c r="B737" s="5">
        <v>732</v>
      </c>
      <c r="C737" s="5">
        <v>178.68142561182893</v>
      </c>
      <c r="D737" s="45"/>
    </row>
    <row r="738" spans="2:4" ht="16" thickBot="1" x14ac:dyDescent="0.25">
      <c r="B738" s="4">
        <v>733</v>
      </c>
      <c r="C738" s="4">
        <v>178.23308552484036</v>
      </c>
      <c r="D738" s="45"/>
    </row>
    <row r="739" spans="2:4" ht="16" thickBot="1" x14ac:dyDescent="0.25">
      <c r="B739" s="5">
        <v>734</v>
      </c>
      <c r="C739" s="5">
        <v>73.643359400742938</v>
      </c>
      <c r="D739" s="45"/>
    </row>
    <row r="740" spans="2:4" ht="16" thickBot="1" x14ac:dyDescent="0.25">
      <c r="B740" s="4">
        <v>735</v>
      </c>
      <c r="C740" s="4">
        <v>176.54319227015625</v>
      </c>
      <c r="D740" s="45"/>
    </row>
    <row r="741" spans="2:4" ht="16" thickBot="1" x14ac:dyDescent="0.25">
      <c r="B741" s="5">
        <v>736</v>
      </c>
      <c r="C741" s="5">
        <v>464.67433235016546</v>
      </c>
      <c r="D741" s="45"/>
    </row>
    <row r="742" spans="2:4" ht="16" thickBot="1" x14ac:dyDescent="0.25">
      <c r="B742" s="4">
        <v>737</v>
      </c>
      <c r="C742" s="4">
        <v>149.47720888360672</v>
      </c>
      <c r="D742" s="45"/>
    </row>
    <row r="743" spans="2:4" ht="16" thickBot="1" x14ac:dyDescent="0.25">
      <c r="B743" s="5">
        <v>738</v>
      </c>
      <c r="C743" s="5">
        <v>221.39532648512557</v>
      </c>
      <c r="D743" s="45"/>
    </row>
    <row r="744" spans="2:4" ht="16" thickBot="1" x14ac:dyDescent="0.25">
      <c r="B744" s="4">
        <v>739</v>
      </c>
      <c r="C744" s="4">
        <v>73.426481347461774</v>
      </c>
      <c r="D744" s="45"/>
    </row>
    <row r="745" spans="2:4" ht="16" thickBot="1" x14ac:dyDescent="0.25">
      <c r="B745" s="5">
        <v>740</v>
      </c>
      <c r="C745" s="5">
        <v>110.9298200331029</v>
      </c>
      <c r="D745" s="45"/>
    </row>
    <row r="746" spans="2:4" ht="16" thickBot="1" x14ac:dyDescent="0.25">
      <c r="B746" s="4">
        <v>741</v>
      </c>
      <c r="C746" s="4">
        <v>194.0008169630174</v>
      </c>
      <c r="D746" s="45"/>
    </row>
    <row r="747" spans="2:4" ht="16" thickBot="1" x14ac:dyDescent="0.25">
      <c r="B747" s="5">
        <v>742</v>
      </c>
      <c r="C747" s="5">
        <v>109.20222566944712</v>
      </c>
      <c r="D747" s="45"/>
    </row>
    <row r="748" spans="2:4" ht="16" thickBot="1" x14ac:dyDescent="0.25">
      <c r="B748" s="4">
        <v>743</v>
      </c>
      <c r="C748" s="4">
        <v>128.06609169838504</v>
      </c>
      <c r="D748" s="45"/>
    </row>
    <row r="749" spans="2:4" ht="16" thickBot="1" x14ac:dyDescent="0.25">
      <c r="B749" s="5">
        <v>744</v>
      </c>
      <c r="C749" s="5">
        <v>84.03046009586707</v>
      </c>
      <c r="D749" s="45"/>
    </row>
    <row r="750" spans="2:4" ht="16" thickBot="1" x14ac:dyDescent="0.25">
      <c r="B750" s="4">
        <v>745</v>
      </c>
      <c r="C750" s="4">
        <v>181.48008509009361</v>
      </c>
      <c r="D750" s="45"/>
    </row>
    <row r="751" spans="2:4" ht="16" thickBot="1" x14ac:dyDescent="0.25">
      <c r="B751" s="5">
        <v>746</v>
      </c>
      <c r="C751" s="5">
        <v>121.79015878326591</v>
      </c>
      <c r="D751" s="45"/>
    </row>
    <row r="752" spans="2:4" ht="16" thickBot="1" x14ac:dyDescent="0.25">
      <c r="B752" s="4">
        <v>747</v>
      </c>
      <c r="C752" s="4">
        <v>235.75608009372701</v>
      </c>
      <c r="D752" s="45"/>
    </row>
    <row r="753" spans="2:4" ht="16" thickBot="1" x14ac:dyDescent="0.25">
      <c r="B753" s="5">
        <v>748</v>
      </c>
      <c r="C753" s="5">
        <v>47.575198713414899</v>
      </c>
      <c r="D753" s="45"/>
    </row>
    <row r="754" spans="2:4" ht="16" thickBot="1" x14ac:dyDescent="0.25">
      <c r="B754" s="4">
        <v>749</v>
      </c>
      <c r="C754" s="4">
        <v>202.05913501442896</v>
      </c>
      <c r="D754" s="45"/>
    </row>
    <row r="755" spans="2:4" ht="16" thickBot="1" x14ac:dyDescent="0.25">
      <c r="B755" s="5">
        <v>750</v>
      </c>
      <c r="C755" s="5">
        <v>319.32370796976898</v>
      </c>
      <c r="D755" s="45"/>
    </row>
    <row r="756" spans="2:4" ht="16" thickBot="1" x14ac:dyDescent="0.25">
      <c r="B756" s="4">
        <v>751</v>
      </c>
      <c r="C756" s="4">
        <v>85.23226524741716</v>
      </c>
      <c r="D756" s="45"/>
    </row>
    <row r="757" spans="2:4" ht="16" thickBot="1" x14ac:dyDescent="0.25">
      <c r="B757" s="5">
        <v>752</v>
      </c>
      <c r="C757" s="5">
        <v>189.10053942737221</v>
      </c>
      <c r="D757" s="45"/>
    </row>
    <row r="758" spans="2:4" ht="16" thickBot="1" x14ac:dyDescent="0.25">
      <c r="B758" s="4">
        <v>753</v>
      </c>
      <c r="C758" s="4">
        <v>117.17256678200332</v>
      </c>
      <c r="D758" s="45"/>
    </row>
    <row r="759" spans="2:4" ht="16" thickBot="1" x14ac:dyDescent="0.25">
      <c r="B759" s="5">
        <v>754</v>
      </c>
      <c r="C759" s="5">
        <v>158.10961530679415</v>
      </c>
      <c r="D759" s="45"/>
    </row>
    <row r="760" spans="2:4" ht="16" thickBot="1" x14ac:dyDescent="0.25">
      <c r="B760" s="4">
        <v>755</v>
      </c>
      <c r="C760" s="4">
        <v>100.1399426488542</v>
      </c>
      <c r="D760" s="45"/>
    </row>
    <row r="761" spans="2:4" ht="16" thickBot="1" x14ac:dyDescent="0.25">
      <c r="B761" s="5">
        <v>756</v>
      </c>
      <c r="C761" s="5">
        <v>88.664057199625802</v>
      </c>
      <c r="D761" s="45"/>
    </row>
    <row r="762" spans="2:4" ht="16" thickBot="1" x14ac:dyDescent="0.25">
      <c r="B762" s="4">
        <v>757</v>
      </c>
      <c r="C762" s="4">
        <v>243.10867443303414</v>
      </c>
      <c r="D762" s="45"/>
    </row>
    <row r="763" spans="2:4" ht="16" thickBot="1" x14ac:dyDescent="0.25">
      <c r="B763" s="5">
        <v>758</v>
      </c>
      <c r="C763" s="5">
        <v>71.863374197202475</v>
      </c>
      <c r="D763" s="45"/>
    </row>
    <row r="764" spans="2:4" ht="16" thickBot="1" x14ac:dyDescent="0.25">
      <c r="B764" s="4">
        <v>759</v>
      </c>
      <c r="C764" s="4">
        <v>250.26164675118773</v>
      </c>
      <c r="D764" s="45"/>
    </row>
    <row r="765" spans="2:4" ht="16" thickBot="1" x14ac:dyDescent="0.25">
      <c r="B765" s="5">
        <v>760</v>
      </c>
      <c r="C765" s="5">
        <v>161.8494501419043</v>
      </c>
      <c r="D765" s="45"/>
    </row>
    <row r="766" spans="2:4" ht="16" thickBot="1" x14ac:dyDescent="0.25">
      <c r="B766" s="4">
        <v>761</v>
      </c>
      <c r="C766" s="4">
        <v>271.27042800793015</v>
      </c>
      <c r="D766" s="45"/>
    </row>
    <row r="767" spans="2:4" ht="16" thickBot="1" x14ac:dyDescent="0.25">
      <c r="B767" s="5">
        <v>762</v>
      </c>
      <c r="C767" s="5">
        <v>111.37648536896043</v>
      </c>
      <c r="D767" s="45"/>
    </row>
    <row r="768" spans="2:4" ht="16" thickBot="1" x14ac:dyDescent="0.25">
      <c r="B768" s="4">
        <v>763</v>
      </c>
      <c r="C768" s="4">
        <v>152.8540534066656</v>
      </c>
      <c r="D768" s="45"/>
    </row>
    <row r="769" spans="2:4" ht="16" thickBot="1" x14ac:dyDescent="0.25">
      <c r="B769" s="5">
        <v>764</v>
      </c>
      <c r="C769" s="5">
        <v>143.53737462215582</v>
      </c>
      <c r="D769" s="45"/>
    </row>
    <row r="770" spans="2:4" ht="16" thickBot="1" x14ac:dyDescent="0.25">
      <c r="B770" s="4">
        <v>765</v>
      </c>
      <c r="C770" s="4">
        <v>146.42482229307674</v>
      </c>
      <c r="D770" s="45"/>
    </row>
    <row r="771" spans="2:4" ht="16" thickBot="1" x14ac:dyDescent="0.25">
      <c r="B771" s="5">
        <v>766</v>
      </c>
      <c r="C771" s="5">
        <v>83.757339598481593</v>
      </c>
      <c r="D771" s="45"/>
    </row>
    <row r="772" spans="2:4" ht="16" thickBot="1" x14ac:dyDescent="0.25">
      <c r="B772" s="4">
        <v>767</v>
      </c>
      <c r="C772" s="4">
        <v>67.660614903523694</v>
      </c>
      <c r="D772" s="45"/>
    </row>
    <row r="773" spans="2:4" ht="16" thickBot="1" x14ac:dyDescent="0.25">
      <c r="B773" s="5">
        <v>768</v>
      </c>
      <c r="C773" s="5">
        <v>125.10798582116412</v>
      </c>
      <c r="D773" s="45"/>
    </row>
    <row r="774" spans="2:4" ht="16" thickBot="1" x14ac:dyDescent="0.25">
      <c r="B774" s="4">
        <v>769</v>
      </c>
      <c r="C774" s="4">
        <v>273.406788909216</v>
      </c>
      <c r="D774" s="45"/>
    </row>
    <row r="775" spans="2:4" ht="16" thickBot="1" x14ac:dyDescent="0.25">
      <c r="B775" s="5">
        <v>770</v>
      </c>
      <c r="C775" s="5">
        <v>75.225155021413428</v>
      </c>
      <c r="D775" s="45"/>
    </row>
    <row r="776" spans="2:4" ht="16" thickBot="1" x14ac:dyDescent="0.25">
      <c r="B776" s="4">
        <v>771</v>
      </c>
      <c r="C776" s="4">
        <v>124.5562891289708</v>
      </c>
      <c r="D776" s="45"/>
    </row>
    <row r="777" spans="2:4" ht="16" thickBot="1" x14ac:dyDescent="0.25">
      <c r="B777" s="5">
        <v>772</v>
      </c>
      <c r="C777" s="5">
        <v>178.92472674456545</v>
      </c>
      <c r="D777" s="45"/>
    </row>
    <row r="778" spans="2:4" ht="16" thickBot="1" x14ac:dyDescent="0.25">
      <c r="B778" s="4">
        <v>773</v>
      </c>
      <c r="C778" s="4">
        <v>197.20440028988733</v>
      </c>
      <c r="D778" s="45"/>
    </row>
    <row r="779" spans="2:4" ht="16" thickBot="1" x14ac:dyDescent="0.25">
      <c r="B779" s="5">
        <v>774</v>
      </c>
      <c r="C779" s="5">
        <v>176.51778304938802</v>
      </c>
      <c r="D779" s="45"/>
    </row>
    <row r="780" spans="2:4" ht="16" thickBot="1" x14ac:dyDescent="0.25">
      <c r="B780" s="4">
        <v>775</v>
      </c>
      <c r="C780" s="4">
        <v>176.51070404782902</v>
      </c>
      <c r="D780" s="45"/>
    </row>
    <row r="781" spans="2:4" ht="16" thickBot="1" x14ac:dyDescent="0.25">
      <c r="B781" s="5">
        <v>776</v>
      </c>
      <c r="C781" s="5">
        <v>178.98672560865842</v>
      </c>
      <c r="D781" s="45"/>
    </row>
    <row r="782" spans="2:4" ht="16" thickBot="1" x14ac:dyDescent="0.25">
      <c r="B782" s="4">
        <v>777</v>
      </c>
      <c r="C782" s="4">
        <v>64.09111172634114</v>
      </c>
      <c r="D782" s="45"/>
    </row>
    <row r="783" spans="2:4" ht="16" thickBot="1" x14ac:dyDescent="0.25">
      <c r="B783" s="5">
        <v>778</v>
      </c>
      <c r="C783" s="5">
        <v>80.222581994825575</v>
      </c>
      <c r="D783" s="45"/>
    </row>
    <row r="784" spans="2:4" ht="16" thickBot="1" x14ac:dyDescent="0.25">
      <c r="B784" s="4">
        <v>779</v>
      </c>
      <c r="C784" s="4">
        <v>286.19145612164516</v>
      </c>
      <c r="D784" s="45"/>
    </row>
    <row r="785" spans="2:4" ht="16" thickBot="1" x14ac:dyDescent="0.25">
      <c r="B785" s="5">
        <v>780</v>
      </c>
      <c r="C785" s="5">
        <v>67.438525566124298</v>
      </c>
      <c r="D785" s="45"/>
    </row>
    <row r="786" spans="2:4" ht="16" thickBot="1" x14ac:dyDescent="0.25">
      <c r="B786" s="4">
        <v>781</v>
      </c>
      <c r="C786" s="4">
        <v>309.60040506327027</v>
      </c>
      <c r="D786" s="45"/>
    </row>
    <row r="787" spans="2:4" ht="16" thickBot="1" x14ac:dyDescent="0.25">
      <c r="B787" s="5">
        <v>782</v>
      </c>
      <c r="C787" s="5">
        <v>146.54118990482189</v>
      </c>
      <c r="D787" s="45"/>
    </row>
    <row r="788" spans="2:4" ht="16" thickBot="1" x14ac:dyDescent="0.25">
      <c r="B788" s="4">
        <v>783</v>
      </c>
      <c r="C788" s="4">
        <v>56.472144739803163</v>
      </c>
      <c r="D788" s="45"/>
    </row>
    <row r="789" spans="2:4" ht="16" thickBot="1" x14ac:dyDescent="0.25">
      <c r="B789" s="5">
        <v>784</v>
      </c>
      <c r="C789" s="5">
        <v>173.10230751204756</v>
      </c>
      <c r="D789" s="45"/>
    </row>
    <row r="790" spans="2:4" ht="16" thickBot="1" x14ac:dyDescent="0.25">
      <c r="B790" s="4">
        <v>785</v>
      </c>
      <c r="C790" s="4">
        <v>125.31421312588449</v>
      </c>
      <c r="D790" s="45"/>
    </row>
    <row r="791" spans="2:4" ht="16" thickBot="1" x14ac:dyDescent="0.25">
      <c r="B791" s="5">
        <v>786</v>
      </c>
      <c r="C791" s="5">
        <v>84.669172986217049</v>
      </c>
      <c r="D791" s="45"/>
    </row>
    <row r="792" spans="2:4" ht="16" thickBot="1" x14ac:dyDescent="0.25">
      <c r="B792" s="4">
        <v>787</v>
      </c>
      <c r="C792" s="4">
        <v>214.86037520597455</v>
      </c>
      <c r="D792" s="45"/>
    </row>
    <row r="793" spans="2:4" ht="16" thickBot="1" x14ac:dyDescent="0.25">
      <c r="B793" s="5">
        <v>788</v>
      </c>
      <c r="C793" s="5">
        <v>119.77682242509455</v>
      </c>
      <c r="D793" s="45"/>
    </row>
    <row r="794" spans="2:4" ht="16" thickBot="1" x14ac:dyDescent="0.25">
      <c r="B794" s="4">
        <v>789</v>
      </c>
      <c r="C794" s="4">
        <v>151.48984674708549</v>
      </c>
      <c r="D794" s="45"/>
    </row>
    <row r="795" spans="2:4" ht="16" thickBot="1" x14ac:dyDescent="0.25">
      <c r="B795" s="5">
        <v>790</v>
      </c>
      <c r="C795" s="5">
        <v>241.17013539705258</v>
      </c>
      <c r="D795" s="45"/>
    </row>
    <row r="796" spans="2:4" ht="16" thickBot="1" x14ac:dyDescent="0.25">
      <c r="B796" s="4">
        <v>791</v>
      </c>
      <c r="C796" s="4">
        <v>208.06801015616358</v>
      </c>
      <c r="D796" s="45"/>
    </row>
    <row r="797" spans="2:4" ht="16" thickBot="1" x14ac:dyDescent="0.25">
      <c r="B797" s="5">
        <v>792</v>
      </c>
      <c r="C797" s="5">
        <v>120.08563808022575</v>
      </c>
      <c r="D797" s="45"/>
    </row>
    <row r="798" spans="2:4" ht="16" thickBot="1" x14ac:dyDescent="0.25">
      <c r="B798" s="4">
        <v>793</v>
      </c>
      <c r="C798" s="4">
        <v>240.38537580640684</v>
      </c>
      <c r="D798" s="45"/>
    </row>
    <row r="799" spans="2:4" ht="16" thickBot="1" x14ac:dyDescent="0.25">
      <c r="B799" s="5">
        <v>794</v>
      </c>
      <c r="C799" s="5">
        <v>197.9756213668237</v>
      </c>
      <c r="D799" s="45"/>
    </row>
    <row r="800" spans="2:4" ht="16" thickBot="1" x14ac:dyDescent="0.25">
      <c r="B800" s="4">
        <v>795</v>
      </c>
      <c r="C800" s="4">
        <v>62.401628736961456</v>
      </c>
      <c r="D800" s="45"/>
    </row>
    <row r="801" spans="2:4" ht="16" thickBot="1" x14ac:dyDescent="0.25">
      <c r="B801" s="5">
        <v>796</v>
      </c>
      <c r="C801" s="5">
        <v>81.181397721723627</v>
      </c>
      <c r="D801" s="45"/>
    </row>
    <row r="802" spans="2:4" ht="16" thickBot="1" x14ac:dyDescent="0.25">
      <c r="B802" s="4">
        <v>797</v>
      </c>
      <c r="C802" s="4">
        <v>179.84374890113412</v>
      </c>
      <c r="D802" s="45"/>
    </row>
    <row r="803" spans="2:4" ht="16" thickBot="1" x14ac:dyDescent="0.25">
      <c r="B803" s="5">
        <v>798</v>
      </c>
      <c r="C803" s="5">
        <v>102.46493795887304</v>
      </c>
      <c r="D803" s="45"/>
    </row>
    <row r="804" spans="2:4" ht="16" thickBot="1" x14ac:dyDescent="0.25">
      <c r="B804" s="4">
        <v>799</v>
      </c>
      <c r="C804" s="4">
        <v>144.85510265117605</v>
      </c>
      <c r="D804" s="45"/>
    </row>
    <row r="805" spans="2:4" ht="16" thickBot="1" x14ac:dyDescent="0.25">
      <c r="B805" s="5">
        <v>800</v>
      </c>
      <c r="C805" s="5">
        <v>224.16511306147484</v>
      </c>
      <c r="D805" s="45"/>
    </row>
    <row r="806" spans="2:4" ht="16" thickBot="1" x14ac:dyDescent="0.25">
      <c r="B806" s="4">
        <v>801</v>
      </c>
      <c r="C806" s="4">
        <v>252.54926426450822</v>
      </c>
      <c r="D806" s="45"/>
    </row>
    <row r="807" spans="2:4" ht="16" thickBot="1" x14ac:dyDescent="0.25">
      <c r="B807" s="5">
        <v>802</v>
      </c>
      <c r="C807" s="5">
        <v>131.74340250740352</v>
      </c>
      <c r="D807" s="45"/>
    </row>
    <row r="808" spans="2:4" ht="16" thickBot="1" x14ac:dyDescent="0.25">
      <c r="B808" s="4">
        <v>803</v>
      </c>
      <c r="C808" s="4">
        <v>136.57567247275418</v>
      </c>
      <c r="D808" s="45"/>
    </row>
    <row r="809" spans="2:4" ht="16" thickBot="1" x14ac:dyDescent="0.25">
      <c r="B809" s="5">
        <v>804</v>
      </c>
      <c r="C809" s="5">
        <v>231.08566898484784</v>
      </c>
      <c r="D809" s="45"/>
    </row>
    <row r="810" spans="2:4" ht="16" thickBot="1" x14ac:dyDescent="0.25">
      <c r="B810" s="4">
        <v>805</v>
      </c>
      <c r="C810" s="4">
        <v>163.41662197349012</v>
      </c>
      <c r="D810" s="45"/>
    </row>
    <row r="811" spans="2:4" ht="16" thickBot="1" x14ac:dyDescent="0.25">
      <c r="B811" s="5">
        <v>806</v>
      </c>
      <c r="C811" s="5">
        <v>314.34574057156357</v>
      </c>
      <c r="D811" s="45"/>
    </row>
    <row r="812" spans="2:4" ht="16" thickBot="1" x14ac:dyDescent="0.25">
      <c r="B812" s="4">
        <v>807</v>
      </c>
      <c r="C812" s="4">
        <v>138.36621787320408</v>
      </c>
      <c r="D812" s="45"/>
    </row>
    <row r="813" spans="2:4" ht="16" thickBot="1" x14ac:dyDescent="0.25">
      <c r="B813" s="5">
        <v>808</v>
      </c>
      <c r="C813" s="5">
        <v>353.36846916850186</v>
      </c>
      <c r="D813" s="45"/>
    </row>
    <row r="814" spans="2:4" ht="16" thickBot="1" x14ac:dyDescent="0.25">
      <c r="B814" s="4">
        <v>809</v>
      </c>
      <c r="C814" s="4">
        <v>140.12390465158836</v>
      </c>
      <c r="D814" s="45"/>
    </row>
    <row r="815" spans="2:4" ht="16" thickBot="1" x14ac:dyDescent="0.25">
      <c r="B815" s="5">
        <v>810</v>
      </c>
      <c r="C815" s="5">
        <v>141.31613356219518</v>
      </c>
      <c r="D815" s="45"/>
    </row>
    <row r="816" spans="2:4" ht="16" thickBot="1" x14ac:dyDescent="0.25">
      <c r="B816" s="4">
        <v>811</v>
      </c>
      <c r="C816" s="4">
        <v>85.883880126343669</v>
      </c>
      <c r="D816" s="45"/>
    </row>
    <row r="817" spans="2:4" ht="16" thickBot="1" x14ac:dyDescent="0.25">
      <c r="B817" s="5">
        <v>812</v>
      </c>
      <c r="C817" s="5">
        <v>99.72893169326322</v>
      </c>
      <c r="D817" s="45"/>
    </row>
    <row r="818" spans="2:4" ht="16" thickBot="1" x14ac:dyDescent="0.25">
      <c r="B818" s="4">
        <v>813</v>
      </c>
      <c r="C818" s="4">
        <v>102.50358893730093</v>
      </c>
      <c r="D818" s="45"/>
    </row>
    <row r="819" spans="2:4" ht="16" thickBot="1" x14ac:dyDescent="0.25">
      <c r="B819" s="5">
        <v>814</v>
      </c>
      <c r="C819" s="5">
        <v>200.11220924603288</v>
      </c>
      <c r="D819" s="45"/>
    </row>
    <row r="820" spans="2:4" ht="16" thickBot="1" x14ac:dyDescent="0.25">
      <c r="B820" s="4">
        <v>815</v>
      </c>
      <c r="C820" s="4">
        <v>173.18888903059991</v>
      </c>
      <c r="D820" s="45"/>
    </row>
    <row r="821" spans="2:4" ht="16" thickBot="1" x14ac:dyDescent="0.25">
      <c r="B821" s="5">
        <v>816</v>
      </c>
      <c r="C821" s="5">
        <v>82.987681167981066</v>
      </c>
      <c r="D821" s="45"/>
    </row>
    <row r="822" spans="2:4" ht="16" thickBot="1" x14ac:dyDescent="0.25">
      <c r="B822" s="4">
        <v>817</v>
      </c>
      <c r="C822" s="4">
        <v>98.214535870615393</v>
      </c>
      <c r="D822" s="45"/>
    </row>
    <row r="823" spans="2:4" ht="16" thickBot="1" x14ac:dyDescent="0.25">
      <c r="B823" s="5">
        <v>818</v>
      </c>
      <c r="C823" s="5">
        <v>51.070478479159412</v>
      </c>
      <c r="D823" s="45"/>
    </row>
    <row r="824" spans="2:4" ht="16" thickBot="1" x14ac:dyDescent="0.25">
      <c r="B824" s="4">
        <v>819</v>
      </c>
      <c r="C824" s="4">
        <v>135.76005217064551</v>
      </c>
      <c r="D824" s="45"/>
    </row>
    <row r="825" spans="2:4" ht="16" thickBot="1" x14ac:dyDescent="0.25">
      <c r="B825" s="5">
        <v>820</v>
      </c>
      <c r="C825" s="5">
        <v>130.58458658092204</v>
      </c>
      <c r="D825" s="45"/>
    </row>
    <row r="826" spans="2:4" ht="16" thickBot="1" x14ac:dyDescent="0.25">
      <c r="B826" s="4">
        <v>821</v>
      </c>
      <c r="C826" s="4">
        <v>68.406313078044533</v>
      </c>
      <c r="D826" s="45"/>
    </row>
    <row r="827" spans="2:4" ht="16" thickBot="1" x14ac:dyDescent="0.25">
      <c r="B827" s="5">
        <v>822</v>
      </c>
      <c r="C827" s="5">
        <v>115.10236359243098</v>
      </c>
      <c r="D827" s="45"/>
    </row>
    <row r="828" spans="2:4" ht="16" thickBot="1" x14ac:dyDescent="0.25">
      <c r="B828" s="4">
        <v>823</v>
      </c>
      <c r="C828" s="4">
        <v>139.25333689658743</v>
      </c>
      <c r="D828" s="45"/>
    </row>
    <row r="829" spans="2:4" ht="16" thickBot="1" x14ac:dyDescent="0.25">
      <c r="B829" s="5">
        <v>824</v>
      </c>
      <c r="C829" s="5">
        <v>168.46668377671986</v>
      </c>
      <c r="D829" s="45"/>
    </row>
    <row r="830" spans="2:4" ht="16" thickBot="1" x14ac:dyDescent="0.25">
      <c r="B830" s="4">
        <v>825</v>
      </c>
      <c r="C830" s="4">
        <v>375.53839905678086</v>
      </c>
      <c r="D830" s="45"/>
    </row>
    <row r="831" spans="2:4" ht="16" thickBot="1" x14ac:dyDescent="0.25">
      <c r="B831" s="5">
        <v>826</v>
      </c>
      <c r="C831" s="5">
        <v>199.0948392348111</v>
      </c>
      <c r="D831" s="45"/>
    </row>
    <row r="832" spans="2:4" ht="16" thickBot="1" x14ac:dyDescent="0.25">
      <c r="B832" s="4">
        <v>827</v>
      </c>
      <c r="C832" s="4">
        <v>216.67298293861225</v>
      </c>
      <c r="D832" s="45"/>
    </row>
    <row r="833" spans="2:4" ht="16" thickBot="1" x14ac:dyDescent="0.25">
      <c r="B833" s="5">
        <v>828</v>
      </c>
      <c r="C833" s="5">
        <v>75.308663397680206</v>
      </c>
      <c r="D833" s="45"/>
    </row>
    <row r="834" spans="2:4" ht="16" thickBot="1" x14ac:dyDescent="0.25">
      <c r="B834" s="4">
        <v>829</v>
      </c>
      <c r="C834" s="4">
        <v>206.15971968752191</v>
      </c>
      <c r="D834" s="45"/>
    </row>
    <row r="835" spans="2:4" ht="16" thickBot="1" x14ac:dyDescent="0.25">
      <c r="B835" s="5">
        <v>830</v>
      </c>
      <c r="C835" s="5">
        <v>123.37697518569328</v>
      </c>
      <c r="D835" s="45"/>
    </row>
    <row r="836" spans="2:4" ht="16" thickBot="1" x14ac:dyDescent="0.25">
      <c r="B836" s="4">
        <v>831</v>
      </c>
      <c r="C836" s="4">
        <v>185.05995487055193</v>
      </c>
      <c r="D836" s="45"/>
    </row>
    <row r="837" spans="2:4" ht="16" thickBot="1" x14ac:dyDescent="0.25">
      <c r="B837" s="5">
        <v>832</v>
      </c>
      <c r="C837" s="5">
        <v>150.95448499667231</v>
      </c>
      <c r="D837" s="45"/>
    </row>
    <row r="838" spans="2:4" ht="16" thickBot="1" x14ac:dyDescent="0.25">
      <c r="B838" s="4">
        <v>833</v>
      </c>
      <c r="C838" s="4">
        <v>174.67782544507716</v>
      </c>
      <c r="D838" s="45"/>
    </row>
    <row r="839" spans="2:4" ht="16" thickBot="1" x14ac:dyDescent="0.25">
      <c r="B839" s="5">
        <v>834</v>
      </c>
      <c r="C839" s="5">
        <v>97.419587952424848</v>
      </c>
      <c r="D839" s="45"/>
    </row>
    <row r="840" spans="2:4" ht="16" thickBot="1" x14ac:dyDescent="0.25">
      <c r="B840" s="4">
        <v>835</v>
      </c>
      <c r="C840" s="4">
        <v>96.80298913145603</v>
      </c>
      <c r="D840" s="45"/>
    </row>
    <row r="841" spans="2:4" ht="16" thickBot="1" x14ac:dyDescent="0.25">
      <c r="B841" s="5">
        <v>836</v>
      </c>
      <c r="C841" s="5">
        <v>71.428388817986232</v>
      </c>
      <c r="D841" s="45"/>
    </row>
    <row r="842" spans="2:4" ht="16" thickBot="1" x14ac:dyDescent="0.25">
      <c r="B842" s="4">
        <v>837</v>
      </c>
      <c r="C842" s="4">
        <v>213.77842418404677</v>
      </c>
      <c r="D842" s="45"/>
    </row>
    <row r="843" spans="2:4" ht="16" thickBot="1" x14ac:dyDescent="0.25">
      <c r="B843" s="5">
        <v>838</v>
      </c>
      <c r="C843" s="5">
        <v>101.21337769469184</v>
      </c>
      <c r="D843" s="45"/>
    </row>
    <row r="844" spans="2:4" ht="16" thickBot="1" x14ac:dyDescent="0.25">
      <c r="B844" s="4">
        <v>839</v>
      </c>
      <c r="C844" s="4">
        <v>181.76927925287933</v>
      </c>
      <c r="D844" s="45"/>
    </row>
    <row r="845" spans="2:4" ht="16" thickBot="1" x14ac:dyDescent="0.25">
      <c r="B845" s="5">
        <v>840</v>
      </c>
      <c r="C845" s="5">
        <v>208.02614221010563</v>
      </c>
      <c r="D845" s="45"/>
    </row>
    <row r="846" spans="2:4" ht="16" thickBot="1" x14ac:dyDescent="0.25">
      <c r="B846" s="4">
        <v>841</v>
      </c>
      <c r="C846" s="4">
        <v>106.11217372747028</v>
      </c>
      <c r="D846" s="45"/>
    </row>
    <row r="847" spans="2:4" ht="16" thickBot="1" x14ac:dyDescent="0.25">
      <c r="B847" s="5">
        <v>842</v>
      </c>
      <c r="C847" s="5">
        <v>135.02963849156254</v>
      </c>
      <c r="D847" s="45"/>
    </row>
    <row r="848" spans="2:4" ht="16" thickBot="1" x14ac:dyDescent="0.25">
      <c r="B848" s="4">
        <v>843</v>
      </c>
      <c r="C848" s="4">
        <v>196.14351835532668</v>
      </c>
      <c r="D848" s="45"/>
    </row>
    <row r="849" spans="2:4" ht="16" thickBot="1" x14ac:dyDescent="0.25">
      <c r="B849" s="5">
        <v>844</v>
      </c>
      <c r="C849" s="5">
        <v>113.67069441369772</v>
      </c>
      <c r="D849" s="45"/>
    </row>
    <row r="850" spans="2:4" ht="16" thickBot="1" x14ac:dyDescent="0.25">
      <c r="B850" s="4">
        <v>845</v>
      </c>
      <c r="C850" s="4">
        <v>381.33063223275923</v>
      </c>
      <c r="D850" s="45"/>
    </row>
    <row r="851" spans="2:4" ht="16" thickBot="1" x14ac:dyDescent="0.25">
      <c r="B851" s="5">
        <v>846</v>
      </c>
      <c r="C851" s="5">
        <v>127.2138100079096</v>
      </c>
      <c r="D851" s="45"/>
    </row>
    <row r="852" spans="2:4" ht="16" thickBot="1" x14ac:dyDescent="0.25">
      <c r="B852" s="4">
        <v>847</v>
      </c>
      <c r="C852" s="4">
        <v>114.24494459348477</v>
      </c>
      <c r="D852" s="45"/>
    </row>
    <row r="853" spans="2:4" ht="16" thickBot="1" x14ac:dyDescent="0.25">
      <c r="B853" s="5">
        <v>848</v>
      </c>
      <c r="C853" s="5">
        <v>267.19160206212518</v>
      </c>
      <c r="D853" s="45"/>
    </row>
    <row r="854" spans="2:4" ht="16" thickBot="1" x14ac:dyDescent="0.25">
      <c r="B854" s="4">
        <v>849</v>
      </c>
      <c r="C854" s="4">
        <v>125.89434030398098</v>
      </c>
      <c r="D854" s="45"/>
    </row>
    <row r="855" spans="2:4" ht="16" thickBot="1" x14ac:dyDescent="0.25">
      <c r="B855" s="5">
        <v>850</v>
      </c>
      <c r="C855" s="5">
        <v>202.93466710438315</v>
      </c>
      <c r="D855" s="45"/>
    </row>
    <row r="856" spans="2:4" ht="16" thickBot="1" x14ac:dyDescent="0.25">
      <c r="B856" s="4">
        <v>851</v>
      </c>
      <c r="C856" s="4">
        <v>52.237796466461823</v>
      </c>
      <c r="D856" s="45"/>
    </row>
    <row r="857" spans="2:4" ht="16" thickBot="1" x14ac:dyDescent="0.25">
      <c r="B857" s="5">
        <v>852</v>
      </c>
      <c r="C857" s="5">
        <v>213.18098027675529</v>
      </c>
      <c r="D857" s="45"/>
    </row>
    <row r="858" spans="2:4" ht="16" thickBot="1" x14ac:dyDescent="0.25">
      <c r="B858" s="4">
        <v>853</v>
      </c>
      <c r="C858" s="4">
        <v>82.817810441973919</v>
      </c>
      <c r="D858" s="45"/>
    </row>
    <row r="859" spans="2:4" ht="16" thickBot="1" x14ac:dyDescent="0.25">
      <c r="B859" s="5">
        <v>854</v>
      </c>
      <c r="C859" s="5">
        <v>174.46046819735506</v>
      </c>
      <c r="D859" s="45"/>
    </row>
    <row r="860" spans="2:4" ht="16" thickBot="1" x14ac:dyDescent="0.25">
      <c r="B860" s="4">
        <v>855</v>
      </c>
      <c r="C860" s="4">
        <v>66.999415811948523</v>
      </c>
      <c r="D860" s="45"/>
    </row>
    <row r="861" spans="2:4" ht="16" thickBot="1" x14ac:dyDescent="0.25">
      <c r="B861" s="5">
        <v>856</v>
      </c>
      <c r="C861" s="5">
        <v>162.62434570354301</v>
      </c>
      <c r="D861" s="45"/>
    </row>
    <row r="862" spans="2:4" ht="16" thickBot="1" x14ac:dyDescent="0.25">
      <c r="B862" s="4">
        <v>857</v>
      </c>
      <c r="C862" s="4">
        <v>395.41188435066118</v>
      </c>
      <c r="D862" s="45"/>
    </row>
    <row r="863" spans="2:4" ht="16" thickBot="1" x14ac:dyDescent="0.25">
      <c r="B863" s="5">
        <v>858</v>
      </c>
      <c r="C863" s="5">
        <v>183.23474318637059</v>
      </c>
      <c r="D863" s="45"/>
    </row>
    <row r="864" spans="2:4" ht="16" thickBot="1" x14ac:dyDescent="0.25">
      <c r="B864" s="4">
        <v>859</v>
      </c>
      <c r="C864" s="4">
        <v>241.4475510422246</v>
      </c>
      <c r="D864" s="45"/>
    </row>
    <row r="865" spans="2:4" ht="16" thickBot="1" x14ac:dyDescent="0.25">
      <c r="B865" s="5">
        <v>860</v>
      </c>
      <c r="C865" s="5">
        <v>187.91158287204635</v>
      </c>
      <c r="D865" s="45"/>
    </row>
    <row r="866" spans="2:4" ht="16" thickBot="1" x14ac:dyDescent="0.25">
      <c r="B866" s="4">
        <v>861</v>
      </c>
      <c r="C866" s="4">
        <v>147.83533498848223</v>
      </c>
      <c r="D866" s="45"/>
    </row>
    <row r="867" spans="2:4" ht="16" thickBot="1" x14ac:dyDescent="0.25">
      <c r="B867" s="5">
        <v>862</v>
      </c>
      <c r="C867" s="5">
        <v>202.29373571100999</v>
      </c>
      <c r="D867" s="45"/>
    </row>
    <row r="868" spans="2:4" ht="16" thickBot="1" x14ac:dyDescent="0.25">
      <c r="B868" s="4">
        <v>863</v>
      </c>
      <c r="C868" s="4">
        <v>80.056827818550744</v>
      </c>
      <c r="D868" s="45"/>
    </row>
    <row r="869" spans="2:4" ht="16" thickBot="1" x14ac:dyDescent="0.25">
      <c r="B869" s="5">
        <v>864</v>
      </c>
      <c r="C869" s="5">
        <v>102.64230369258634</v>
      </c>
      <c r="D869" s="45"/>
    </row>
    <row r="870" spans="2:4" ht="16" thickBot="1" x14ac:dyDescent="0.25">
      <c r="B870" s="4">
        <v>865</v>
      </c>
      <c r="C870" s="4">
        <v>180.78772059330535</v>
      </c>
      <c r="D870" s="45"/>
    </row>
    <row r="871" spans="2:4" ht="16" thickBot="1" x14ac:dyDescent="0.25">
      <c r="B871" s="5">
        <v>866</v>
      </c>
      <c r="C871" s="5">
        <v>82.886569524601526</v>
      </c>
      <c r="D871" s="45"/>
    </row>
    <row r="872" spans="2:4" ht="16" thickBot="1" x14ac:dyDescent="0.25">
      <c r="B872" s="4">
        <v>867</v>
      </c>
      <c r="C872" s="4">
        <v>169.77954714731811</v>
      </c>
      <c r="D872" s="45"/>
    </row>
    <row r="873" spans="2:4" ht="16" thickBot="1" x14ac:dyDescent="0.25">
      <c r="B873" s="5">
        <v>868</v>
      </c>
      <c r="C873" s="5">
        <v>142.77362249193277</v>
      </c>
      <c r="D873" s="45"/>
    </row>
    <row r="874" spans="2:4" ht="16" thickBot="1" x14ac:dyDescent="0.25">
      <c r="B874" s="4">
        <v>869</v>
      </c>
      <c r="C874" s="4">
        <v>182.82918435913174</v>
      </c>
      <c r="D874" s="45"/>
    </row>
    <row r="875" spans="2:4" ht="16" thickBot="1" x14ac:dyDescent="0.25">
      <c r="B875" s="5">
        <v>870</v>
      </c>
      <c r="C875" s="5">
        <v>119.73473088372023</v>
      </c>
      <c r="D875" s="45"/>
    </row>
    <row r="876" spans="2:4" ht="16" thickBot="1" x14ac:dyDescent="0.25">
      <c r="B876" s="4">
        <v>871</v>
      </c>
      <c r="C876" s="4">
        <v>162.50526149105738</v>
      </c>
      <c r="D876" s="45"/>
    </row>
    <row r="877" spans="2:4" ht="16" thickBot="1" x14ac:dyDescent="0.25">
      <c r="B877" s="5">
        <v>872</v>
      </c>
      <c r="C877" s="5">
        <v>423.61204231464393</v>
      </c>
      <c r="D877" s="45"/>
    </row>
    <row r="878" spans="2:4" ht="16" thickBot="1" x14ac:dyDescent="0.25">
      <c r="B878" s="4">
        <v>873</v>
      </c>
      <c r="C878" s="4">
        <v>85.790936688057428</v>
      </c>
      <c r="D878" s="45"/>
    </row>
    <row r="879" spans="2:4" ht="16" thickBot="1" x14ac:dyDescent="0.25">
      <c r="B879" s="5">
        <v>874</v>
      </c>
      <c r="C879" s="5">
        <v>383.92797215057379</v>
      </c>
      <c r="D879" s="45"/>
    </row>
    <row r="880" spans="2:4" ht="16" thickBot="1" x14ac:dyDescent="0.25">
      <c r="B880" s="4">
        <v>875</v>
      </c>
      <c r="C880" s="4">
        <v>110.3520228687042</v>
      </c>
      <c r="D880" s="45"/>
    </row>
    <row r="881" spans="2:4" ht="16" thickBot="1" x14ac:dyDescent="0.25">
      <c r="B881" s="5">
        <v>876</v>
      </c>
      <c r="C881" s="5">
        <v>181.06320512898617</v>
      </c>
      <c r="D881" s="45"/>
    </row>
    <row r="882" spans="2:4" ht="16" thickBot="1" x14ac:dyDescent="0.25">
      <c r="B882" s="4">
        <v>877</v>
      </c>
      <c r="C882" s="4">
        <v>131.64280246614319</v>
      </c>
      <c r="D882" s="45"/>
    </row>
    <row r="883" spans="2:4" ht="16" thickBot="1" x14ac:dyDescent="0.25">
      <c r="B883" s="5">
        <v>878</v>
      </c>
      <c r="C883" s="5">
        <v>282.13727598771504</v>
      </c>
      <c r="D883" s="45"/>
    </row>
    <row r="884" spans="2:4" ht="16" thickBot="1" x14ac:dyDescent="0.25">
      <c r="B884" s="4">
        <v>879</v>
      </c>
      <c r="C884" s="4">
        <v>146.37435335509181</v>
      </c>
      <c r="D884" s="45"/>
    </row>
    <row r="885" spans="2:4" ht="16" thickBot="1" x14ac:dyDescent="0.25">
      <c r="B885" s="5">
        <v>880</v>
      </c>
      <c r="C885" s="5">
        <v>130.91087891934578</v>
      </c>
      <c r="D885" s="45"/>
    </row>
    <row r="886" spans="2:4" ht="16" thickBot="1" x14ac:dyDescent="0.25">
      <c r="B886" s="4">
        <v>881</v>
      </c>
      <c r="C886" s="4">
        <v>62.138870102834645</v>
      </c>
      <c r="D886" s="45"/>
    </row>
    <row r="887" spans="2:4" ht="16" thickBot="1" x14ac:dyDescent="0.25">
      <c r="B887" s="5">
        <v>882</v>
      </c>
      <c r="C887" s="5">
        <v>148.99138983893135</v>
      </c>
      <c r="D887" s="45"/>
    </row>
    <row r="888" spans="2:4" ht="16" thickBot="1" x14ac:dyDescent="0.25">
      <c r="B888" s="4">
        <v>883</v>
      </c>
      <c r="C888" s="4">
        <v>194.97948129938482</v>
      </c>
      <c r="D888" s="45"/>
    </row>
    <row r="889" spans="2:4" ht="16" thickBot="1" x14ac:dyDescent="0.25">
      <c r="B889" s="5">
        <v>884</v>
      </c>
      <c r="C889" s="5">
        <v>207.78144000277598</v>
      </c>
      <c r="D889" s="45"/>
    </row>
    <row r="890" spans="2:4" ht="16" thickBot="1" x14ac:dyDescent="0.25">
      <c r="B890" s="4">
        <v>885</v>
      </c>
      <c r="C890" s="4">
        <v>98.223095145544505</v>
      </c>
      <c r="D890" s="45"/>
    </row>
    <row r="891" spans="2:4" ht="16" thickBot="1" x14ac:dyDescent="0.25">
      <c r="B891" s="5">
        <v>886</v>
      </c>
      <c r="C891" s="5">
        <v>114.7045881150659</v>
      </c>
      <c r="D891" s="45"/>
    </row>
    <row r="892" spans="2:4" ht="16" thickBot="1" x14ac:dyDescent="0.25">
      <c r="B892" s="4">
        <v>887</v>
      </c>
      <c r="C892" s="4">
        <v>311.19148135140222</v>
      </c>
      <c r="D892" s="45"/>
    </row>
    <row r="893" spans="2:4" ht="16" thickBot="1" x14ac:dyDescent="0.25">
      <c r="B893" s="5">
        <v>888</v>
      </c>
      <c r="C893" s="5">
        <v>109.89559555004915</v>
      </c>
      <c r="D893" s="45"/>
    </row>
    <row r="894" spans="2:4" ht="16" thickBot="1" x14ac:dyDescent="0.25">
      <c r="B894" s="4">
        <v>889</v>
      </c>
      <c r="C894" s="4">
        <v>137.28747074634822</v>
      </c>
      <c r="D894" s="45"/>
    </row>
    <row r="895" spans="2:4" ht="16" thickBot="1" x14ac:dyDescent="0.25">
      <c r="B895" s="5">
        <v>890</v>
      </c>
      <c r="C895" s="5">
        <v>235.64669680262202</v>
      </c>
      <c r="D895" s="45"/>
    </row>
    <row r="896" spans="2:4" ht="16" thickBot="1" x14ac:dyDescent="0.25">
      <c r="B896" s="4">
        <v>891</v>
      </c>
      <c r="C896" s="4">
        <v>123.84028595267827</v>
      </c>
      <c r="D896" s="45"/>
    </row>
    <row r="897" spans="2:4" ht="16" thickBot="1" x14ac:dyDescent="0.25">
      <c r="B897" s="5">
        <v>892</v>
      </c>
      <c r="C897" s="5">
        <v>361.62864648641226</v>
      </c>
      <c r="D897" s="45"/>
    </row>
    <row r="898" spans="2:4" ht="16" thickBot="1" x14ac:dyDescent="0.25">
      <c r="B898" s="4">
        <v>893</v>
      </c>
      <c r="C898" s="4">
        <v>332.01909385277389</v>
      </c>
      <c r="D898" s="45"/>
    </row>
    <row r="899" spans="2:4" ht="16" thickBot="1" x14ac:dyDescent="0.25">
      <c r="B899" s="5">
        <v>894</v>
      </c>
      <c r="C899" s="5">
        <v>243.24759817124786</v>
      </c>
      <c r="D899" s="45"/>
    </row>
    <row r="900" spans="2:4" ht="16" thickBot="1" x14ac:dyDescent="0.25">
      <c r="B900" s="4">
        <v>895</v>
      </c>
      <c r="C900" s="4">
        <v>213.11808117587901</v>
      </c>
      <c r="D900" s="45"/>
    </row>
    <row r="901" spans="2:4" ht="16" thickBot="1" x14ac:dyDescent="0.25">
      <c r="B901" s="5">
        <v>896</v>
      </c>
      <c r="C901" s="5">
        <v>131.28849741252378</v>
      </c>
      <c r="D901" s="45"/>
    </row>
    <row r="902" spans="2:4" ht="16" thickBot="1" x14ac:dyDescent="0.25">
      <c r="B902" s="4">
        <v>897</v>
      </c>
      <c r="C902" s="4">
        <v>71.552847663093075</v>
      </c>
      <c r="D902" s="45"/>
    </row>
    <row r="903" spans="2:4" ht="16" thickBot="1" x14ac:dyDescent="0.25">
      <c r="B903" s="5">
        <v>898</v>
      </c>
      <c r="C903" s="5">
        <v>128.72663594027722</v>
      </c>
      <c r="D903" s="45"/>
    </row>
    <row r="904" spans="2:4" ht="16" thickBot="1" x14ac:dyDescent="0.25">
      <c r="B904" s="4">
        <v>899</v>
      </c>
      <c r="C904" s="4">
        <v>144.27504560022612</v>
      </c>
      <c r="D904" s="45"/>
    </row>
    <row r="905" spans="2:4" ht="16" thickBot="1" x14ac:dyDescent="0.25">
      <c r="B905" s="5">
        <v>900</v>
      </c>
      <c r="C905" s="5">
        <v>127.9814389927222</v>
      </c>
      <c r="D905" s="45"/>
    </row>
    <row r="906" spans="2:4" ht="16" thickBot="1" x14ac:dyDescent="0.25">
      <c r="B906" s="4">
        <v>901</v>
      </c>
      <c r="C906" s="4">
        <v>101.97356410768744</v>
      </c>
      <c r="D906" s="45"/>
    </row>
    <row r="907" spans="2:4" ht="16" thickBot="1" x14ac:dyDescent="0.25">
      <c r="B907" s="5">
        <v>902</v>
      </c>
      <c r="C907" s="5">
        <v>371.31056865475142</v>
      </c>
      <c r="D907" s="45"/>
    </row>
    <row r="908" spans="2:4" ht="16" thickBot="1" x14ac:dyDescent="0.25">
      <c r="B908" s="4">
        <v>903</v>
      </c>
      <c r="C908" s="4">
        <v>78.63155673570256</v>
      </c>
      <c r="D908" s="45"/>
    </row>
    <row r="909" spans="2:4" ht="16" thickBot="1" x14ac:dyDescent="0.25">
      <c r="B909" s="5">
        <v>904</v>
      </c>
      <c r="C909" s="5">
        <v>185.96750592705757</v>
      </c>
      <c r="D909" s="45"/>
    </row>
    <row r="910" spans="2:4" ht="16" thickBot="1" x14ac:dyDescent="0.25">
      <c r="B910" s="4">
        <v>905</v>
      </c>
      <c r="C910" s="4">
        <v>125.85943315382897</v>
      </c>
      <c r="D910" s="45"/>
    </row>
    <row r="911" spans="2:4" ht="16" thickBot="1" x14ac:dyDescent="0.25">
      <c r="B911" s="5">
        <v>906</v>
      </c>
      <c r="C911" s="5">
        <v>122.57942613428604</v>
      </c>
      <c r="D911" s="45"/>
    </row>
    <row r="912" spans="2:4" ht="16" thickBot="1" x14ac:dyDescent="0.25">
      <c r="B912" s="4">
        <v>907</v>
      </c>
      <c r="C912" s="4">
        <v>168.16570641525664</v>
      </c>
      <c r="D912" s="45"/>
    </row>
    <row r="913" spans="2:4" ht="16" thickBot="1" x14ac:dyDescent="0.25">
      <c r="B913" s="5">
        <v>908</v>
      </c>
      <c r="C913" s="5">
        <v>339.61333292476792</v>
      </c>
      <c r="D913" s="45"/>
    </row>
    <row r="914" spans="2:4" ht="16" thickBot="1" x14ac:dyDescent="0.25">
      <c r="B914" s="4">
        <v>909</v>
      </c>
      <c r="C914" s="4">
        <v>176.15299791899989</v>
      </c>
      <c r="D914" s="45"/>
    </row>
    <row r="915" spans="2:4" ht="16" thickBot="1" x14ac:dyDescent="0.25">
      <c r="B915" s="5">
        <v>910</v>
      </c>
      <c r="C915" s="5">
        <v>125.52203686263353</v>
      </c>
      <c r="D915" s="45"/>
    </row>
    <row r="916" spans="2:4" ht="16" thickBot="1" x14ac:dyDescent="0.25">
      <c r="B916" s="4">
        <v>911</v>
      </c>
      <c r="C916" s="4">
        <v>246.88627256381747</v>
      </c>
      <c r="D916" s="45"/>
    </row>
    <row r="917" spans="2:4" ht="16" thickBot="1" x14ac:dyDescent="0.25">
      <c r="B917" s="5">
        <v>912</v>
      </c>
      <c r="C917" s="5">
        <v>185.43367828825558</v>
      </c>
      <c r="D917" s="45"/>
    </row>
    <row r="918" spans="2:4" ht="16" thickBot="1" x14ac:dyDescent="0.25">
      <c r="B918" s="4">
        <v>913</v>
      </c>
      <c r="C918" s="4">
        <v>154.42799896239293</v>
      </c>
      <c r="D918" s="45"/>
    </row>
    <row r="919" spans="2:4" ht="16" thickBot="1" x14ac:dyDescent="0.25">
      <c r="B919" s="5">
        <v>914</v>
      </c>
      <c r="C919" s="5">
        <v>195.30542042616975</v>
      </c>
      <c r="D919" s="45"/>
    </row>
    <row r="920" spans="2:4" ht="16" thickBot="1" x14ac:dyDescent="0.25">
      <c r="B920" s="4">
        <v>915</v>
      </c>
      <c r="C920" s="4">
        <v>120.33868156377251</v>
      </c>
      <c r="D920" s="45"/>
    </row>
    <row r="921" spans="2:4" ht="16" thickBot="1" x14ac:dyDescent="0.25">
      <c r="B921" s="5">
        <v>916</v>
      </c>
      <c r="C921" s="5">
        <v>67.132800619794139</v>
      </c>
      <c r="D921" s="45"/>
    </row>
    <row r="922" spans="2:4" ht="16" thickBot="1" x14ac:dyDescent="0.25">
      <c r="B922" s="4">
        <v>917</v>
      </c>
      <c r="C922" s="4">
        <v>146.25831939914914</v>
      </c>
      <c r="D922" s="45"/>
    </row>
    <row r="923" spans="2:4" ht="16" thickBot="1" x14ac:dyDescent="0.25">
      <c r="B923" s="5">
        <v>918</v>
      </c>
      <c r="C923" s="5">
        <v>90.873695513959191</v>
      </c>
      <c r="D923" s="45"/>
    </row>
    <row r="924" spans="2:4" ht="16" thickBot="1" x14ac:dyDescent="0.25">
      <c r="B924" s="4">
        <v>919</v>
      </c>
      <c r="C924" s="4">
        <v>219.36494148890944</v>
      </c>
      <c r="D924" s="45"/>
    </row>
    <row r="925" spans="2:4" ht="16" thickBot="1" x14ac:dyDescent="0.25">
      <c r="B925" s="5">
        <v>920</v>
      </c>
      <c r="C925" s="5">
        <v>215.39404037204949</v>
      </c>
      <c r="D925" s="45"/>
    </row>
    <row r="926" spans="2:4" ht="16" thickBot="1" x14ac:dyDescent="0.25">
      <c r="B926" s="4">
        <v>921</v>
      </c>
      <c r="C926" s="4">
        <v>221.06988142061252</v>
      </c>
      <c r="D926" s="45"/>
    </row>
    <row r="927" spans="2:4" ht="16" thickBot="1" x14ac:dyDescent="0.25">
      <c r="B927" s="5">
        <v>922</v>
      </c>
      <c r="C927" s="5">
        <v>59.900328901316783</v>
      </c>
      <c r="D927" s="45"/>
    </row>
    <row r="928" spans="2:4" ht="16" thickBot="1" x14ac:dyDescent="0.25">
      <c r="B928" s="4">
        <v>923</v>
      </c>
      <c r="C928" s="4">
        <v>48.107966881035644</v>
      </c>
      <c r="D928" s="45"/>
    </row>
    <row r="929" spans="2:4" ht="16" thickBot="1" x14ac:dyDescent="0.25">
      <c r="B929" s="5">
        <v>924</v>
      </c>
      <c r="C929" s="5">
        <v>102.95518900120653</v>
      </c>
      <c r="D929" s="45"/>
    </row>
    <row r="930" spans="2:4" ht="16" thickBot="1" x14ac:dyDescent="0.25">
      <c r="B930" s="4">
        <v>925</v>
      </c>
      <c r="C930" s="4">
        <v>223.60685497007768</v>
      </c>
      <c r="D930" s="45"/>
    </row>
    <row r="931" spans="2:4" ht="16" thickBot="1" x14ac:dyDescent="0.25">
      <c r="B931" s="5">
        <v>926</v>
      </c>
      <c r="C931" s="5">
        <v>244.00061440777523</v>
      </c>
      <c r="D931" s="45"/>
    </row>
    <row r="932" spans="2:4" ht="16" thickBot="1" x14ac:dyDescent="0.25">
      <c r="B932" s="4">
        <v>927</v>
      </c>
      <c r="C932" s="4">
        <v>143.76245759031096</v>
      </c>
      <c r="D932" s="45"/>
    </row>
    <row r="933" spans="2:4" ht="16" thickBot="1" x14ac:dyDescent="0.25">
      <c r="B933" s="5">
        <v>928</v>
      </c>
      <c r="C933" s="5">
        <v>75.860261322747164</v>
      </c>
      <c r="D933" s="45"/>
    </row>
    <row r="934" spans="2:4" ht="16" thickBot="1" x14ac:dyDescent="0.25">
      <c r="B934" s="4">
        <v>929</v>
      </c>
      <c r="C934" s="4">
        <v>323.13560818968188</v>
      </c>
      <c r="D934" s="45"/>
    </row>
    <row r="935" spans="2:4" ht="16" thickBot="1" x14ac:dyDescent="0.25">
      <c r="B935" s="5">
        <v>930</v>
      </c>
      <c r="C935" s="5">
        <v>78.458683029861575</v>
      </c>
      <c r="D935" s="45"/>
    </row>
    <row r="936" spans="2:4" ht="16" thickBot="1" x14ac:dyDescent="0.25">
      <c r="B936" s="4">
        <v>931</v>
      </c>
      <c r="C936" s="4">
        <v>172.36977692786007</v>
      </c>
      <c r="D936" s="45"/>
    </row>
    <row r="937" spans="2:4" ht="16" thickBot="1" x14ac:dyDescent="0.25">
      <c r="B937" s="5">
        <v>932</v>
      </c>
      <c r="C937" s="5">
        <v>103.42960951736318</v>
      </c>
      <c r="D937" s="45"/>
    </row>
    <row r="938" spans="2:4" ht="16" thickBot="1" x14ac:dyDescent="0.25">
      <c r="B938" s="4">
        <v>933</v>
      </c>
      <c r="C938" s="4">
        <v>61.158490010436907</v>
      </c>
      <c r="D938" s="45"/>
    </row>
    <row r="939" spans="2:4" ht="16" thickBot="1" x14ac:dyDescent="0.25">
      <c r="B939" s="5">
        <v>934</v>
      </c>
      <c r="C939" s="5">
        <v>249.34236593893903</v>
      </c>
      <c r="D939" s="45"/>
    </row>
    <row r="940" spans="2:4" ht="16" thickBot="1" x14ac:dyDescent="0.25">
      <c r="B940" s="4">
        <v>935</v>
      </c>
      <c r="C940" s="4">
        <v>174.83950066319431</v>
      </c>
      <c r="D940" s="45"/>
    </row>
    <row r="941" spans="2:4" ht="16" thickBot="1" x14ac:dyDescent="0.25">
      <c r="B941" s="5">
        <v>936</v>
      </c>
      <c r="C941" s="5">
        <v>63.091447582721294</v>
      </c>
      <c r="D941" s="45"/>
    </row>
    <row r="942" spans="2:4" ht="16" thickBot="1" x14ac:dyDescent="0.25">
      <c r="B942" s="4">
        <v>937</v>
      </c>
      <c r="C942" s="4">
        <v>130.25132673862359</v>
      </c>
      <c r="D942" s="45"/>
    </row>
    <row r="943" spans="2:4" ht="16" thickBot="1" x14ac:dyDescent="0.25">
      <c r="B943" s="5">
        <v>938</v>
      </c>
      <c r="C943" s="5">
        <v>450.58205278310612</v>
      </c>
      <c r="D943" s="45"/>
    </row>
    <row r="944" spans="2:4" ht="16" thickBot="1" x14ac:dyDescent="0.25">
      <c r="B944" s="4">
        <v>939</v>
      </c>
      <c r="C944" s="4">
        <v>164.65733443536439</v>
      </c>
      <c r="D944" s="45"/>
    </row>
    <row r="945" spans="2:4" ht="16" thickBot="1" x14ac:dyDescent="0.25">
      <c r="B945" s="5">
        <v>940</v>
      </c>
      <c r="C945" s="5">
        <v>83.438194373618558</v>
      </c>
      <c r="D945" s="45"/>
    </row>
    <row r="946" spans="2:4" ht="16" thickBot="1" x14ac:dyDescent="0.25">
      <c r="B946" s="4">
        <v>941</v>
      </c>
      <c r="C946" s="4">
        <v>55.049917530966646</v>
      </c>
      <c r="D946" s="45"/>
    </row>
    <row r="947" spans="2:4" ht="16" thickBot="1" x14ac:dyDescent="0.25">
      <c r="B947" s="5">
        <v>942</v>
      </c>
      <c r="C947" s="5">
        <v>206.24493490784201</v>
      </c>
      <c r="D947" s="45"/>
    </row>
    <row r="948" spans="2:4" ht="16" thickBot="1" x14ac:dyDescent="0.25">
      <c r="B948" s="4">
        <v>943</v>
      </c>
      <c r="C948" s="4">
        <v>209.8360203614651</v>
      </c>
      <c r="D948" s="45"/>
    </row>
    <row r="949" spans="2:4" ht="16" thickBot="1" x14ac:dyDescent="0.25">
      <c r="B949" s="5">
        <v>944</v>
      </c>
      <c r="C949" s="5">
        <v>153.17414973182147</v>
      </c>
      <c r="D949" s="45"/>
    </row>
    <row r="950" spans="2:4" ht="16" thickBot="1" x14ac:dyDescent="0.25">
      <c r="B950" s="4">
        <v>945</v>
      </c>
      <c r="C950" s="4">
        <v>114.88022089712925</v>
      </c>
      <c r="D950" s="45"/>
    </row>
    <row r="951" spans="2:4" ht="16" thickBot="1" x14ac:dyDescent="0.25">
      <c r="B951" s="5">
        <v>946</v>
      </c>
      <c r="C951" s="5">
        <v>182.32334707857021</v>
      </c>
      <c r="D951" s="45"/>
    </row>
    <row r="952" spans="2:4" ht="16" thickBot="1" x14ac:dyDescent="0.25">
      <c r="B952" s="4">
        <v>947</v>
      </c>
      <c r="C952" s="4">
        <v>189.39982665617146</v>
      </c>
      <c r="D952" s="45"/>
    </row>
    <row r="953" spans="2:4" ht="16" thickBot="1" x14ac:dyDescent="0.25">
      <c r="B953" s="5">
        <v>948</v>
      </c>
      <c r="C953" s="5">
        <v>84.512988626291715</v>
      </c>
      <c r="D953" s="45"/>
    </row>
    <row r="954" spans="2:4" ht="16" thickBot="1" x14ac:dyDescent="0.25">
      <c r="B954" s="4">
        <v>949</v>
      </c>
      <c r="C954" s="4">
        <v>101.88288872996851</v>
      </c>
      <c r="D954" s="45"/>
    </row>
    <row r="955" spans="2:4" ht="16" thickBot="1" x14ac:dyDescent="0.25">
      <c r="B955" s="5">
        <v>950</v>
      </c>
      <c r="C955" s="5">
        <v>131.95297870740782</v>
      </c>
      <c r="D955" s="45"/>
    </row>
    <row r="956" spans="2:4" ht="16" thickBot="1" x14ac:dyDescent="0.25">
      <c r="B956" s="4">
        <v>951</v>
      </c>
      <c r="C956" s="4">
        <v>191.64749762520219</v>
      </c>
      <c r="D956" s="45"/>
    </row>
    <row r="957" spans="2:4" ht="16" thickBot="1" x14ac:dyDescent="0.25">
      <c r="B957" s="5">
        <v>952</v>
      </c>
      <c r="C957" s="5">
        <v>224.06188119663702</v>
      </c>
      <c r="D957" s="45"/>
    </row>
    <row r="958" spans="2:4" ht="16" thickBot="1" x14ac:dyDescent="0.25">
      <c r="B958" s="4">
        <v>953</v>
      </c>
      <c r="C958" s="4">
        <v>121.69718564676965</v>
      </c>
      <c r="D958" s="45"/>
    </row>
    <row r="959" spans="2:4" ht="16" thickBot="1" x14ac:dyDescent="0.25">
      <c r="B959" s="5">
        <v>954</v>
      </c>
      <c r="C959" s="5">
        <v>108.90991310069153</v>
      </c>
      <c r="D959" s="45"/>
    </row>
    <row r="960" spans="2:4" ht="16" thickBot="1" x14ac:dyDescent="0.25">
      <c r="B960" s="4">
        <v>955</v>
      </c>
      <c r="C960" s="4">
        <v>486.9415852005925</v>
      </c>
      <c r="D960" s="45"/>
    </row>
    <row r="961" spans="2:4" ht="16" thickBot="1" x14ac:dyDescent="0.25">
      <c r="B961" s="5">
        <v>956</v>
      </c>
      <c r="C961" s="5">
        <v>216.88625620177223</v>
      </c>
      <c r="D961" s="45"/>
    </row>
    <row r="962" spans="2:4" ht="16" thickBot="1" x14ac:dyDescent="0.25">
      <c r="B962" s="4">
        <v>957</v>
      </c>
      <c r="C962" s="4">
        <v>191.08817178499706</v>
      </c>
      <c r="D962" s="45"/>
    </row>
    <row r="963" spans="2:4" ht="16" thickBot="1" x14ac:dyDescent="0.25">
      <c r="B963" s="5">
        <v>958</v>
      </c>
      <c r="C963" s="5">
        <v>332.86064161175545</v>
      </c>
      <c r="D963" s="45"/>
    </row>
    <row r="964" spans="2:4" ht="16" thickBot="1" x14ac:dyDescent="0.25">
      <c r="B964" s="4">
        <v>959</v>
      </c>
      <c r="C964" s="4">
        <v>91.76992737604175</v>
      </c>
      <c r="D964" s="45"/>
    </row>
    <row r="965" spans="2:4" ht="16" thickBot="1" x14ac:dyDescent="0.25">
      <c r="B965" s="5">
        <v>960</v>
      </c>
      <c r="C965" s="5">
        <v>424.90551791508568</v>
      </c>
      <c r="D965" s="45"/>
    </row>
    <row r="966" spans="2:4" ht="16" thickBot="1" x14ac:dyDescent="0.25">
      <c r="B966" s="4">
        <v>961</v>
      </c>
      <c r="C966" s="4">
        <v>195.98507494090686</v>
      </c>
      <c r="D966" s="45"/>
    </row>
    <row r="967" spans="2:4" ht="16" thickBot="1" x14ac:dyDescent="0.25">
      <c r="B967" s="5">
        <v>962</v>
      </c>
      <c r="C967" s="5">
        <v>110.51126423795785</v>
      </c>
      <c r="D967" s="45"/>
    </row>
    <row r="968" spans="2:4" ht="16" thickBot="1" x14ac:dyDescent="0.25">
      <c r="B968" s="4">
        <v>963</v>
      </c>
      <c r="C968" s="4">
        <v>183.85140119477393</v>
      </c>
      <c r="D968" s="45"/>
    </row>
    <row r="969" spans="2:4" ht="16" thickBot="1" x14ac:dyDescent="0.25">
      <c r="B969" s="5">
        <v>964</v>
      </c>
      <c r="C969" s="5">
        <v>288.89390188815963</v>
      </c>
      <c r="D969" s="45"/>
    </row>
    <row r="970" spans="2:4" ht="16" thickBot="1" x14ac:dyDescent="0.25">
      <c r="B970" s="4">
        <v>965</v>
      </c>
      <c r="C970" s="4">
        <v>111.86735064187515</v>
      </c>
      <c r="D970" s="45"/>
    </row>
    <row r="971" spans="2:4" ht="16" thickBot="1" x14ac:dyDescent="0.25">
      <c r="B971" s="5">
        <v>966</v>
      </c>
      <c r="C971" s="5">
        <v>264.77645135620179</v>
      </c>
      <c r="D971" s="45"/>
    </row>
    <row r="972" spans="2:4" ht="16" thickBot="1" x14ac:dyDescent="0.25">
      <c r="B972" s="4">
        <v>967</v>
      </c>
      <c r="C972" s="4">
        <v>152.13094287181607</v>
      </c>
      <c r="D972" s="45"/>
    </row>
    <row r="973" spans="2:4" ht="16" thickBot="1" x14ac:dyDescent="0.25">
      <c r="B973" s="5">
        <v>968</v>
      </c>
      <c r="C973" s="5">
        <v>182.62093419899645</v>
      </c>
      <c r="D973" s="45"/>
    </row>
    <row r="974" spans="2:4" ht="16" thickBot="1" x14ac:dyDescent="0.25">
      <c r="B974" s="4">
        <v>969</v>
      </c>
      <c r="C974" s="4">
        <v>121.34102246589242</v>
      </c>
      <c r="D974" s="45"/>
    </row>
    <row r="975" spans="2:4" ht="16" thickBot="1" x14ac:dyDescent="0.25">
      <c r="B975" s="5">
        <v>970</v>
      </c>
      <c r="C975" s="5">
        <v>66.845155388168877</v>
      </c>
      <c r="D975" s="45"/>
    </row>
    <row r="976" spans="2:4" ht="16" thickBot="1" x14ac:dyDescent="0.25">
      <c r="B976" s="4">
        <v>971</v>
      </c>
      <c r="C976" s="4">
        <v>152.8582242359889</v>
      </c>
      <c r="D976" s="45"/>
    </row>
    <row r="977" spans="2:4" ht="16" thickBot="1" x14ac:dyDescent="0.25">
      <c r="B977" s="5">
        <v>972</v>
      </c>
      <c r="C977" s="5">
        <v>334.85490935544641</v>
      </c>
      <c r="D977" s="45"/>
    </row>
    <row r="978" spans="2:4" ht="16" thickBot="1" x14ac:dyDescent="0.25">
      <c r="B978" s="4">
        <v>973</v>
      </c>
      <c r="C978" s="4">
        <v>157.72378588043361</v>
      </c>
      <c r="D978" s="45"/>
    </row>
    <row r="979" spans="2:4" ht="16" thickBot="1" x14ac:dyDescent="0.25">
      <c r="B979" s="5">
        <v>974</v>
      </c>
      <c r="C979" s="5">
        <v>348.59331512498073</v>
      </c>
      <c r="D979" s="45"/>
    </row>
    <row r="980" spans="2:4" ht="16" thickBot="1" x14ac:dyDescent="0.25">
      <c r="B980" s="4">
        <v>975</v>
      </c>
      <c r="C980" s="4">
        <v>203.48004164172755</v>
      </c>
      <c r="D980" s="45"/>
    </row>
    <row r="981" spans="2:4" ht="16" thickBot="1" x14ac:dyDescent="0.25">
      <c r="B981" s="5">
        <v>976</v>
      </c>
      <c r="C981" s="5">
        <v>112.4265700519299</v>
      </c>
      <c r="D981" s="45"/>
    </row>
    <row r="982" spans="2:4" ht="16" thickBot="1" x14ac:dyDescent="0.25">
      <c r="B982" s="4">
        <v>977</v>
      </c>
      <c r="C982" s="4">
        <v>239.30819121568251</v>
      </c>
      <c r="D982" s="45"/>
    </row>
    <row r="983" spans="2:4" ht="16" thickBot="1" x14ac:dyDescent="0.25">
      <c r="B983" s="5">
        <v>978</v>
      </c>
      <c r="C983" s="5">
        <v>305.5557704764629</v>
      </c>
      <c r="D983" s="45"/>
    </row>
    <row r="984" spans="2:4" ht="16" thickBot="1" x14ac:dyDescent="0.25">
      <c r="B984" s="4">
        <v>979</v>
      </c>
      <c r="C984" s="4">
        <v>112.77981974579887</v>
      </c>
      <c r="D984" s="45"/>
    </row>
    <row r="985" spans="2:4" ht="16" thickBot="1" x14ac:dyDescent="0.25">
      <c r="B985" s="5">
        <v>980</v>
      </c>
      <c r="C985" s="5">
        <v>333.95686861674909</v>
      </c>
      <c r="D985" s="45"/>
    </row>
    <row r="986" spans="2:4" ht="16" thickBot="1" x14ac:dyDescent="0.25">
      <c r="B986" s="4">
        <v>981</v>
      </c>
      <c r="C986" s="4">
        <v>88.244139061405306</v>
      </c>
      <c r="D986" s="45"/>
    </row>
    <row r="987" spans="2:4" ht="16" thickBot="1" x14ac:dyDescent="0.25">
      <c r="B987" s="5">
        <v>982</v>
      </c>
      <c r="C987" s="5">
        <v>223.22983271508576</v>
      </c>
      <c r="D987" s="45"/>
    </row>
    <row r="988" spans="2:4" ht="16" thickBot="1" x14ac:dyDescent="0.25">
      <c r="B988" s="4">
        <v>983</v>
      </c>
      <c r="C988" s="4">
        <v>458.69863610403314</v>
      </c>
      <c r="D988" s="45"/>
    </row>
    <row r="989" spans="2:4" ht="16" thickBot="1" x14ac:dyDescent="0.25">
      <c r="B989" s="5">
        <v>984</v>
      </c>
      <c r="C989" s="5">
        <v>62.145651190251634</v>
      </c>
      <c r="D989" s="45"/>
    </row>
    <row r="990" spans="2:4" ht="16" thickBot="1" x14ac:dyDescent="0.25">
      <c r="B990" s="4">
        <v>985</v>
      </c>
      <c r="C990" s="4">
        <v>220.02026951189259</v>
      </c>
      <c r="D990" s="45"/>
    </row>
    <row r="991" spans="2:4" ht="16" thickBot="1" x14ac:dyDescent="0.25">
      <c r="B991" s="5">
        <v>986</v>
      </c>
      <c r="C991" s="5">
        <v>85.963026764265791</v>
      </c>
      <c r="D991" s="45"/>
    </row>
    <row r="992" spans="2:4" ht="16" thickBot="1" x14ac:dyDescent="0.25">
      <c r="B992" s="4">
        <v>987</v>
      </c>
      <c r="C992" s="4">
        <v>89.494542455358697</v>
      </c>
      <c r="D992" s="45"/>
    </row>
    <row r="993" spans="2:4" ht="16" thickBot="1" x14ac:dyDescent="0.25">
      <c r="B993" s="5">
        <v>988</v>
      </c>
      <c r="C993" s="5">
        <v>160.96897939520917</v>
      </c>
      <c r="D993" s="45"/>
    </row>
    <row r="994" spans="2:4" ht="16" thickBot="1" x14ac:dyDescent="0.25">
      <c r="B994" s="4">
        <v>989</v>
      </c>
      <c r="C994" s="4">
        <v>71.099985176659985</v>
      </c>
      <c r="D994" s="45"/>
    </row>
    <row r="995" spans="2:4" ht="16" thickBot="1" x14ac:dyDescent="0.25">
      <c r="B995" s="5">
        <v>990</v>
      </c>
      <c r="C995" s="5">
        <v>115.5757853311849</v>
      </c>
      <c r="D995" s="45"/>
    </row>
    <row r="996" spans="2:4" ht="16" thickBot="1" x14ac:dyDescent="0.25">
      <c r="B996" s="4">
        <v>991</v>
      </c>
      <c r="C996" s="4">
        <v>164.22078836734485</v>
      </c>
      <c r="D996" s="45"/>
    </row>
    <row r="997" spans="2:4" ht="16" thickBot="1" x14ac:dyDescent="0.25">
      <c r="B997" s="5">
        <v>992</v>
      </c>
      <c r="C997" s="5">
        <v>101.7406698784893</v>
      </c>
      <c r="D997" s="45"/>
    </row>
    <row r="998" spans="2:4" ht="16" thickBot="1" x14ac:dyDescent="0.25">
      <c r="B998" s="4">
        <v>993</v>
      </c>
      <c r="C998" s="4">
        <v>418.6865443865031</v>
      </c>
      <c r="D998" s="45"/>
    </row>
    <row r="999" spans="2:4" ht="16" thickBot="1" x14ac:dyDescent="0.25">
      <c r="B999" s="5">
        <v>994</v>
      </c>
      <c r="C999" s="5">
        <v>133.26060321798113</v>
      </c>
      <c r="D999" s="45"/>
    </row>
    <row r="1000" spans="2:4" ht="16" thickBot="1" x14ac:dyDescent="0.25">
      <c r="B1000" s="4">
        <v>995</v>
      </c>
      <c r="C1000" s="4">
        <v>183.02183107930486</v>
      </c>
      <c r="D1000" s="45"/>
    </row>
    <row r="1001" spans="2:4" ht="16" thickBot="1" x14ac:dyDescent="0.25">
      <c r="B1001" s="5">
        <v>996</v>
      </c>
      <c r="C1001" s="5">
        <v>50.466849079513452</v>
      </c>
      <c r="D1001" s="45"/>
    </row>
    <row r="1002" spans="2:4" ht="16" thickBot="1" x14ac:dyDescent="0.25">
      <c r="B1002" s="4">
        <v>997</v>
      </c>
      <c r="C1002" s="4">
        <v>219.10529219321549</v>
      </c>
      <c r="D1002" s="45"/>
    </row>
    <row r="1003" spans="2:4" ht="16" thickBot="1" x14ac:dyDescent="0.25">
      <c r="B1003" s="5">
        <v>998</v>
      </c>
      <c r="C1003" s="5">
        <v>144.46784821306065</v>
      </c>
      <c r="D1003" s="45"/>
    </row>
    <row r="1004" spans="2:4" ht="16" thickBot="1" x14ac:dyDescent="0.25">
      <c r="B1004" s="4">
        <v>999</v>
      </c>
      <c r="C1004" s="4">
        <v>321.81045612189052</v>
      </c>
      <c r="D1004" s="45"/>
    </row>
    <row r="1005" spans="2:4" ht="16" thickBot="1" x14ac:dyDescent="0.25">
      <c r="B1005" s="5">
        <v>1000</v>
      </c>
      <c r="C1005" s="5">
        <v>148.45634206963564</v>
      </c>
      <c r="D1005" s="45"/>
    </row>
    <row r="1006" spans="2:4" ht="16" thickBot="1" x14ac:dyDescent="0.25">
      <c r="B1006" s="4">
        <v>1001</v>
      </c>
      <c r="C1006" s="4">
        <v>132.19555909777233</v>
      </c>
      <c r="D1006" s="45"/>
    </row>
    <row r="1007" spans="2:4" ht="16" thickBot="1" x14ac:dyDescent="0.25">
      <c r="B1007" s="5">
        <v>1002</v>
      </c>
      <c r="C1007" s="5">
        <v>213.12516518083243</v>
      </c>
      <c r="D1007" s="45"/>
    </row>
    <row r="1008" spans="2:4" ht="16" thickBot="1" x14ac:dyDescent="0.25">
      <c r="B1008" s="4">
        <v>1003</v>
      </c>
      <c r="C1008" s="4">
        <v>312.65772305538411</v>
      </c>
      <c r="D1008" s="45"/>
    </row>
    <row r="1009" spans="2:4" ht="16" thickBot="1" x14ac:dyDescent="0.25">
      <c r="B1009" s="5">
        <v>1004</v>
      </c>
      <c r="C1009" s="5">
        <v>270.1009114837525</v>
      </c>
      <c r="D1009" s="45"/>
    </row>
    <row r="1010" spans="2:4" ht="16" thickBot="1" x14ac:dyDescent="0.25">
      <c r="B1010" s="4">
        <v>1005</v>
      </c>
      <c r="C1010" s="4">
        <v>257.09215318230366</v>
      </c>
      <c r="D1010" s="45"/>
    </row>
    <row r="1011" spans="2:4" ht="16" thickBot="1" x14ac:dyDescent="0.25">
      <c r="B1011" s="5">
        <v>1006</v>
      </c>
      <c r="C1011" s="5">
        <v>317.1419952388589</v>
      </c>
      <c r="D1011" s="45"/>
    </row>
    <row r="1012" spans="2:4" ht="16" thickBot="1" x14ac:dyDescent="0.25">
      <c r="B1012" s="4">
        <v>1007</v>
      </c>
      <c r="C1012" s="4">
        <v>235.16334333355084</v>
      </c>
      <c r="D1012" s="45"/>
    </row>
    <row r="1013" spans="2:4" ht="16" thickBot="1" x14ac:dyDescent="0.25">
      <c r="B1013" s="5">
        <v>1008</v>
      </c>
      <c r="C1013" s="5">
        <v>92.219255555097533</v>
      </c>
      <c r="D1013" s="45"/>
    </row>
    <row r="1014" spans="2:4" ht="16" thickBot="1" x14ac:dyDescent="0.25">
      <c r="B1014" s="4">
        <v>1009</v>
      </c>
      <c r="C1014" s="4">
        <v>154.59949192468824</v>
      </c>
      <c r="D1014" s="45"/>
    </row>
    <row r="1015" spans="2:4" ht="16" thickBot="1" x14ac:dyDescent="0.25">
      <c r="B1015" s="5">
        <v>1010</v>
      </c>
      <c r="C1015" s="5">
        <v>130.6325478003827</v>
      </c>
      <c r="D1015" s="45"/>
    </row>
    <row r="1016" spans="2:4" ht="16" thickBot="1" x14ac:dyDescent="0.25">
      <c r="B1016" s="4">
        <v>1011</v>
      </c>
      <c r="C1016" s="4">
        <v>189.88659399511624</v>
      </c>
      <c r="D1016" s="45"/>
    </row>
    <row r="1017" spans="2:4" ht="16" thickBot="1" x14ac:dyDescent="0.25">
      <c r="B1017" s="5">
        <v>1012</v>
      </c>
      <c r="C1017" s="5">
        <v>277.8072543503306</v>
      </c>
      <c r="D1017" s="45"/>
    </row>
    <row r="1018" spans="2:4" ht="16" thickBot="1" x14ac:dyDescent="0.25">
      <c r="B1018" s="4">
        <v>1013</v>
      </c>
      <c r="C1018" s="4">
        <v>135.1344874770077</v>
      </c>
      <c r="D1018" s="45"/>
    </row>
    <row r="1019" spans="2:4" ht="16" thickBot="1" x14ac:dyDescent="0.25">
      <c r="B1019" s="5">
        <v>1014</v>
      </c>
      <c r="C1019" s="5">
        <v>164.40164624855936</v>
      </c>
      <c r="D1019" s="45"/>
    </row>
    <row r="1020" spans="2:4" ht="16" thickBot="1" x14ac:dyDescent="0.25">
      <c r="B1020" s="4">
        <v>1015</v>
      </c>
      <c r="C1020" s="4">
        <v>116.3602975516892</v>
      </c>
      <c r="D1020" s="45"/>
    </row>
    <row r="1021" spans="2:4" ht="16" thickBot="1" x14ac:dyDescent="0.25">
      <c r="B1021" s="5">
        <v>1016</v>
      </c>
      <c r="C1021" s="5">
        <v>119.37069827108292</v>
      </c>
      <c r="D1021" s="45"/>
    </row>
    <row r="1022" spans="2:4" ht="16" thickBot="1" x14ac:dyDescent="0.25">
      <c r="B1022" s="4">
        <v>1017</v>
      </c>
      <c r="C1022" s="4">
        <v>222.64122403620004</v>
      </c>
      <c r="D1022" s="45"/>
    </row>
    <row r="1023" spans="2:4" ht="16" thickBot="1" x14ac:dyDescent="0.25">
      <c r="B1023" s="5">
        <v>1018</v>
      </c>
      <c r="C1023" s="5">
        <v>104.56041798391308</v>
      </c>
      <c r="D1023" s="45"/>
    </row>
    <row r="1024" spans="2:4" ht="16" thickBot="1" x14ac:dyDescent="0.25">
      <c r="B1024" s="4">
        <v>1019</v>
      </c>
      <c r="C1024" s="4">
        <v>166.5887004517007</v>
      </c>
      <c r="D1024" s="45"/>
    </row>
    <row r="1025" spans="2:4" ht="16" thickBot="1" x14ac:dyDescent="0.25">
      <c r="B1025" s="5">
        <v>1020</v>
      </c>
      <c r="C1025" s="5">
        <v>124.05454132543642</v>
      </c>
      <c r="D1025" s="45"/>
    </row>
    <row r="1026" spans="2:4" ht="16" thickBot="1" x14ac:dyDescent="0.25">
      <c r="B1026" s="4">
        <v>1021</v>
      </c>
      <c r="C1026" s="4">
        <v>288.98226797140165</v>
      </c>
      <c r="D1026" s="45"/>
    </row>
    <row r="1027" spans="2:4" ht="16" thickBot="1" x14ac:dyDescent="0.25">
      <c r="B1027" s="5">
        <v>1022</v>
      </c>
      <c r="C1027" s="5">
        <v>90.35409302115275</v>
      </c>
      <c r="D1027" s="45"/>
    </row>
    <row r="1028" spans="2:4" ht="16" thickBot="1" x14ac:dyDescent="0.25">
      <c r="B1028" s="4">
        <v>1023</v>
      </c>
      <c r="C1028" s="4">
        <v>97.231765987140122</v>
      </c>
      <c r="D1028" s="45"/>
    </row>
    <row r="1029" spans="2:4" ht="16" thickBot="1" x14ac:dyDescent="0.25">
      <c r="B1029" s="5">
        <v>1024</v>
      </c>
      <c r="C1029" s="5">
        <v>56.491730265902028</v>
      </c>
      <c r="D1029" s="45"/>
    </row>
    <row r="1030" spans="2:4" ht="16" thickBot="1" x14ac:dyDescent="0.25">
      <c r="B1030" s="4">
        <v>1025</v>
      </c>
      <c r="C1030" s="4">
        <v>115.44788874350631</v>
      </c>
      <c r="D1030" s="45"/>
    </row>
    <row r="1031" spans="2:4" ht="16" thickBot="1" x14ac:dyDescent="0.25">
      <c r="B1031" s="5">
        <v>1026</v>
      </c>
      <c r="C1031" s="5">
        <v>104.00656022038662</v>
      </c>
      <c r="D1031" s="45"/>
    </row>
    <row r="1032" spans="2:4" ht="16" thickBot="1" x14ac:dyDescent="0.25">
      <c r="B1032" s="4">
        <v>1027</v>
      </c>
      <c r="C1032" s="4">
        <v>81.952704314163839</v>
      </c>
      <c r="D1032" s="45"/>
    </row>
    <row r="1033" spans="2:4" ht="16" thickBot="1" x14ac:dyDescent="0.25">
      <c r="B1033" s="5">
        <v>1028</v>
      </c>
      <c r="C1033" s="5">
        <v>71.178414093505395</v>
      </c>
      <c r="D1033" s="45"/>
    </row>
    <row r="1034" spans="2:4" ht="16" thickBot="1" x14ac:dyDescent="0.25">
      <c r="B1034" s="4">
        <v>1029</v>
      </c>
      <c r="C1034" s="4">
        <v>90.498262992514512</v>
      </c>
      <c r="D1034" s="45"/>
    </row>
    <row r="1035" spans="2:4" ht="16" thickBot="1" x14ac:dyDescent="0.25">
      <c r="B1035" s="5">
        <v>1030</v>
      </c>
      <c r="C1035" s="5">
        <v>96.992440810885967</v>
      </c>
      <c r="D1035" s="45"/>
    </row>
    <row r="1036" spans="2:4" ht="16" thickBot="1" x14ac:dyDescent="0.25">
      <c r="B1036" s="4">
        <v>1031</v>
      </c>
      <c r="C1036" s="4">
        <v>204.0265549938552</v>
      </c>
      <c r="D1036" s="45"/>
    </row>
    <row r="1037" spans="2:4" ht="16" thickBot="1" x14ac:dyDescent="0.25">
      <c r="B1037" s="5">
        <v>1032</v>
      </c>
      <c r="C1037" s="5">
        <v>293.55423937822758</v>
      </c>
      <c r="D1037" s="45"/>
    </row>
    <row r="1038" spans="2:4" ht="16" thickBot="1" x14ac:dyDescent="0.25">
      <c r="B1038" s="4">
        <v>1033</v>
      </c>
      <c r="C1038" s="4">
        <v>89.79701890401833</v>
      </c>
      <c r="D1038" s="45"/>
    </row>
    <row r="1039" spans="2:4" ht="16" thickBot="1" x14ac:dyDescent="0.25">
      <c r="B1039" s="5">
        <v>1034</v>
      </c>
      <c r="C1039" s="5">
        <v>77.399174855038027</v>
      </c>
      <c r="D1039" s="45"/>
    </row>
    <row r="1040" spans="2:4" ht="16" thickBot="1" x14ac:dyDescent="0.25">
      <c r="B1040" s="4">
        <v>1035</v>
      </c>
      <c r="C1040" s="4">
        <v>141.61916230159858</v>
      </c>
      <c r="D1040" s="45"/>
    </row>
    <row r="1041" spans="2:4" ht="16" thickBot="1" x14ac:dyDescent="0.25">
      <c r="B1041" s="5">
        <v>1036</v>
      </c>
      <c r="C1041" s="5">
        <v>161.44443991412888</v>
      </c>
      <c r="D1041" s="45"/>
    </row>
    <row r="1042" spans="2:4" ht="16" thickBot="1" x14ac:dyDescent="0.25">
      <c r="B1042" s="4">
        <v>1037</v>
      </c>
      <c r="C1042" s="4">
        <v>175.7779889471108</v>
      </c>
      <c r="D1042" s="45"/>
    </row>
    <row r="1043" spans="2:4" ht="16" thickBot="1" x14ac:dyDescent="0.25">
      <c r="B1043" s="5">
        <v>1038</v>
      </c>
      <c r="C1043" s="5">
        <v>40.092152275299668</v>
      </c>
      <c r="D1043" s="45"/>
    </row>
    <row r="1044" spans="2:4" ht="16" thickBot="1" x14ac:dyDescent="0.25">
      <c r="B1044" s="4">
        <v>1039</v>
      </c>
      <c r="C1044" s="4">
        <v>152.46038955167427</v>
      </c>
      <c r="D1044" s="45"/>
    </row>
    <row r="1045" spans="2:4" ht="16" thickBot="1" x14ac:dyDescent="0.25">
      <c r="B1045" s="5">
        <v>1040</v>
      </c>
      <c r="C1045" s="5">
        <v>122.36831970941785</v>
      </c>
      <c r="D1045" s="45"/>
    </row>
    <row r="1046" spans="2:4" ht="16" thickBot="1" x14ac:dyDescent="0.25">
      <c r="B1046" s="4">
        <v>1041</v>
      </c>
      <c r="C1046" s="4">
        <v>61.795031188758443</v>
      </c>
      <c r="D1046" s="45"/>
    </row>
    <row r="1047" spans="2:4" ht="16" thickBot="1" x14ac:dyDescent="0.25">
      <c r="B1047" s="5">
        <v>1042</v>
      </c>
      <c r="C1047" s="5">
        <v>254.64862737296849</v>
      </c>
      <c r="D1047" s="45"/>
    </row>
    <row r="1048" spans="2:4" ht="16" thickBot="1" x14ac:dyDescent="0.25">
      <c r="B1048" s="4">
        <v>1043</v>
      </c>
      <c r="C1048" s="4">
        <v>188.84556640790612</v>
      </c>
      <c r="D1048" s="45"/>
    </row>
    <row r="1049" spans="2:4" ht="16" thickBot="1" x14ac:dyDescent="0.25">
      <c r="B1049" s="5">
        <v>1044</v>
      </c>
      <c r="C1049" s="5">
        <v>108.69415731112267</v>
      </c>
      <c r="D1049" s="45"/>
    </row>
    <row r="1050" spans="2:4" ht="16" thickBot="1" x14ac:dyDescent="0.25">
      <c r="B1050" s="4">
        <v>1045</v>
      </c>
      <c r="C1050" s="4">
        <v>291.30578500361719</v>
      </c>
      <c r="D1050" s="45"/>
    </row>
    <row r="1051" spans="2:4" ht="16" thickBot="1" x14ac:dyDescent="0.25">
      <c r="B1051" s="5">
        <v>1046</v>
      </c>
      <c r="C1051" s="5">
        <v>57.2276738736605</v>
      </c>
      <c r="D1051" s="45"/>
    </row>
    <row r="1052" spans="2:4" ht="16" thickBot="1" x14ac:dyDescent="0.25">
      <c r="B1052" s="4">
        <v>1047</v>
      </c>
      <c r="C1052" s="4">
        <v>124.04502964555488</v>
      </c>
      <c r="D1052" s="45"/>
    </row>
    <row r="1053" spans="2:4" ht="16" thickBot="1" x14ac:dyDescent="0.25">
      <c r="B1053" s="5">
        <v>1048</v>
      </c>
      <c r="C1053" s="5">
        <v>269.90613294222908</v>
      </c>
      <c r="D1053" s="45"/>
    </row>
    <row r="1054" spans="2:4" ht="16" thickBot="1" x14ac:dyDescent="0.25">
      <c r="B1054" s="4">
        <v>1049</v>
      </c>
      <c r="C1054" s="4">
        <v>83.178805259905218</v>
      </c>
      <c r="D1054" s="45"/>
    </row>
    <row r="1055" spans="2:4" ht="16" thickBot="1" x14ac:dyDescent="0.25">
      <c r="B1055" s="5">
        <v>1050</v>
      </c>
      <c r="C1055" s="5">
        <v>163.89540073325753</v>
      </c>
      <c r="D1055" s="45"/>
    </row>
    <row r="1056" spans="2:4" ht="16" thickBot="1" x14ac:dyDescent="0.25">
      <c r="B1056" s="4">
        <v>1051</v>
      </c>
      <c r="C1056" s="4">
        <v>440.82911957653374</v>
      </c>
      <c r="D1056" s="45"/>
    </row>
    <row r="1057" spans="2:4" ht="16" thickBot="1" x14ac:dyDescent="0.25">
      <c r="B1057" s="5">
        <v>1052</v>
      </c>
      <c r="C1057" s="5">
        <v>225.95956786716928</v>
      </c>
      <c r="D1057" s="45"/>
    </row>
    <row r="1058" spans="2:4" ht="16" thickBot="1" x14ac:dyDescent="0.25">
      <c r="B1058" s="4">
        <v>1053</v>
      </c>
      <c r="C1058" s="4">
        <v>313.18734565209508</v>
      </c>
      <c r="D1058" s="45"/>
    </row>
    <row r="1059" spans="2:4" ht="16" thickBot="1" x14ac:dyDescent="0.25">
      <c r="B1059" s="5">
        <v>1054</v>
      </c>
      <c r="C1059" s="5">
        <v>421.2934201294463</v>
      </c>
      <c r="D1059" s="45"/>
    </row>
    <row r="1060" spans="2:4" ht="16" thickBot="1" x14ac:dyDescent="0.25">
      <c r="B1060" s="4">
        <v>1055</v>
      </c>
      <c r="C1060" s="4">
        <v>199.64812800626973</v>
      </c>
      <c r="D1060" s="45"/>
    </row>
    <row r="1061" spans="2:4" ht="16" thickBot="1" x14ac:dyDescent="0.25">
      <c r="B1061" s="5">
        <v>1056</v>
      </c>
      <c r="C1061" s="5">
        <v>180.02755059886999</v>
      </c>
      <c r="D1061" s="45"/>
    </row>
    <row r="1062" spans="2:4" ht="16" thickBot="1" x14ac:dyDescent="0.25">
      <c r="B1062" s="4">
        <v>1057</v>
      </c>
      <c r="C1062" s="4">
        <v>231.09136731003116</v>
      </c>
      <c r="D1062" s="45"/>
    </row>
    <row r="1063" spans="2:4" ht="16" thickBot="1" x14ac:dyDescent="0.25">
      <c r="B1063" s="5">
        <v>1058</v>
      </c>
      <c r="C1063" s="5">
        <v>152.47191039839623</v>
      </c>
      <c r="D1063" s="45"/>
    </row>
    <row r="1064" spans="2:4" ht="16" thickBot="1" x14ac:dyDescent="0.25">
      <c r="B1064" s="4">
        <v>1059</v>
      </c>
      <c r="C1064" s="4">
        <v>223.61300669576181</v>
      </c>
      <c r="D1064" s="45"/>
    </row>
    <row r="1065" spans="2:4" ht="16" thickBot="1" x14ac:dyDescent="0.25">
      <c r="B1065" s="5">
        <v>1060</v>
      </c>
      <c r="C1065" s="5">
        <v>65.459560236626373</v>
      </c>
      <c r="D1065" s="45"/>
    </row>
    <row r="1066" spans="2:4" ht="16" thickBot="1" x14ac:dyDescent="0.25">
      <c r="B1066" s="4">
        <v>1061</v>
      </c>
      <c r="C1066" s="4">
        <v>239.64147150610313</v>
      </c>
      <c r="D1066" s="45"/>
    </row>
    <row r="1067" spans="2:4" ht="16" thickBot="1" x14ac:dyDescent="0.25">
      <c r="B1067" s="5">
        <v>1062</v>
      </c>
      <c r="C1067" s="5">
        <v>144.280780865526</v>
      </c>
      <c r="D1067" s="45"/>
    </row>
    <row r="1068" spans="2:4" ht="16" thickBot="1" x14ac:dyDescent="0.25">
      <c r="B1068" s="4">
        <v>1063</v>
      </c>
      <c r="C1068" s="4">
        <v>254.96805197297996</v>
      </c>
      <c r="D1068" s="45"/>
    </row>
    <row r="1069" spans="2:4" ht="16" thickBot="1" x14ac:dyDescent="0.25">
      <c r="B1069" s="5">
        <v>1064</v>
      </c>
      <c r="C1069" s="5">
        <v>81.894408162134766</v>
      </c>
      <c r="D1069" s="45"/>
    </row>
    <row r="1070" spans="2:4" ht="16" thickBot="1" x14ac:dyDescent="0.25">
      <c r="B1070" s="4">
        <v>1065</v>
      </c>
      <c r="C1070" s="4">
        <v>87.369194260536645</v>
      </c>
      <c r="D1070" s="45"/>
    </row>
    <row r="1071" spans="2:4" ht="16" thickBot="1" x14ac:dyDescent="0.25">
      <c r="B1071" s="5">
        <v>1066</v>
      </c>
      <c r="C1071" s="5">
        <v>213.94105228230907</v>
      </c>
      <c r="D1071" s="45"/>
    </row>
    <row r="1072" spans="2:4" ht="16" thickBot="1" x14ac:dyDescent="0.25">
      <c r="B1072" s="4">
        <v>1067</v>
      </c>
      <c r="C1072" s="4">
        <v>270.45120896223642</v>
      </c>
      <c r="D1072" s="45"/>
    </row>
    <row r="1073" spans="2:4" ht="16" thickBot="1" x14ac:dyDescent="0.25">
      <c r="B1073" s="5">
        <v>1068</v>
      </c>
      <c r="C1073" s="5">
        <v>50.181224966323654</v>
      </c>
      <c r="D1073" s="45"/>
    </row>
    <row r="1074" spans="2:4" ht="16" thickBot="1" x14ac:dyDescent="0.25">
      <c r="B1074" s="4">
        <v>1069</v>
      </c>
      <c r="C1074" s="4">
        <v>167.12823048326626</v>
      </c>
      <c r="D1074" s="45"/>
    </row>
    <row r="1075" spans="2:4" ht="16" thickBot="1" x14ac:dyDescent="0.25">
      <c r="B1075" s="5">
        <v>1070</v>
      </c>
      <c r="C1075" s="5">
        <v>132.40522938015616</v>
      </c>
      <c r="D1075" s="45"/>
    </row>
    <row r="1076" spans="2:4" ht="16" thickBot="1" x14ac:dyDescent="0.25">
      <c r="B1076" s="4">
        <v>1071</v>
      </c>
      <c r="C1076" s="4">
        <v>292.58915940718055</v>
      </c>
      <c r="D1076" s="45"/>
    </row>
    <row r="1077" spans="2:4" ht="16" thickBot="1" x14ac:dyDescent="0.25">
      <c r="B1077" s="5">
        <v>1072</v>
      </c>
      <c r="C1077" s="5">
        <v>175.7082136334287</v>
      </c>
      <c r="D1077" s="45"/>
    </row>
    <row r="1078" spans="2:4" ht="16" thickBot="1" x14ac:dyDescent="0.25">
      <c r="B1078" s="4">
        <v>1073</v>
      </c>
      <c r="C1078" s="4">
        <v>136.30056108855376</v>
      </c>
      <c r="D1078" s="45"/>
    </row>
    <row r="1079" spans="2:4" ht="16" thickBot="1" x14ac:dyDescent="0.25">
      <c r="B1079" s="5">
        <v>1074</v>
      </c>
      <c r="C1079" s="5">
        <v>166.63542833207885</v>
      </c>
      <c r="D1079" s="45"/>
    </row>
    <row r="1080" spans="2:4" ht="16" thickBot="1" x14ac:dyDescent="0.25">
      <c r="B1080" s="4">
        <v>1075</v>
      </c>
      <c r="C1080" s="4">
        <v>191.30446903774813</v>
      </c>
      <c r="D1080" s="45"/>
    </row>
    <row r="1081" spans="2:4" ht="16" thickBot="1" x14ac:dyDescent="0.25">
      <c r="B1081" s="5">
        <v>1076</v>
      </c>
      <c r="C1081" s="5">
        <v>305.12343640795984</v>
      </c>
      <c r="D1081" s="45"/>
    </row>
    <row r="1082" spans="2:4" ht="16" thickBot="1" x14ac:dyDescent="0.25">
      <c r="B1082" s="4">
        <v>1077</v>
      </c>
      <c r="C1082" s="4">
        <v>101.56055903586507</v>
      </c>
      <c r="D1082" s="45"/>
    </row>
    <row r="1083" spans="2:4" ht="16" thickBot="1" x14ac:dyDescent="0.25">
      <c r="B1083" s="5">
        <v>1078</v>
      </c>
      <c r="C1083" s="5">
        <v>134.15431061188161</v>
      </c>
      <c r="D1083" s="45"/>
    </row>
    <row r="1084" spans="2:4" ht="16" thickBot="1" x14ac:dyDescent="0.25">
      <c r="B1084" s="4">
        <v>1079</v>
      </c>
      <c r="C1084" s="4">
        <v>249.55531661738488</v>
      </c>
      <c r="D1084" s="45"/>
    </row>
    <row r="1085" spans="2:4" ht="16" thickBot="1" x14ac:dyDescent="0.25">
      <c r="B1085" s="5">
        <v>1080</v>
      </c>
      <c r="C1085" s="5">
        <v>145.10350750752653</v>
      </c>
      <c r="D1085" s="45"/>
    </row>
    <row r="1086" spans="2:4" ht="16" thickBot="1" x14ac:dyDescent="0.25">
      <c r="B1086" s="4">
        <v>1081</v>
      </c>
      <c r="C1086" s="4">
        <v>117.2609404015153</v>
      </c>
      <c r="D1086" s="45"/>
    </row>
    <row r="1087" spans="2:4" ht="16" thickBot="1" x14ac:dyDescent="0.25">
      <c r="B1087" s="5">
        <v>1082</v>
      </c>
      <c r="C1087" s="5">
        <v>73.846277296776478</v>
      </c>
      <c r="D1087" s="45"/>
    </row>
    <row r="1088" spans="2:4" ht="16" thickBot="1" x14ac:dyDescent="0.25">
      <c r="B1088" s="4">
        <v>1083</v>
      </c>
      <c r="C1088" s="4">
        <v>463.66390434801747</v>
      </c>
      <c r="D1088" s="45"/>
    </row>
    <row r="1089" spans="2:4" ht="16" thickBot="1" x14ac:dyDescent="0.25">
      <c r="B1089" s="5">
        <v>1084</v>
      </c>
      <c r="C1089" s="5">
        <v>297.56419704792893</v>
      </c>
      <c r="D1089" s="45"/>
    </row>
    <row r="1090" spans="2:4" ht="16" thickBot="1" x14ac:dyDescent="0.25">
      <c r="B1090" s="4">
        <v>1085</v>
      </c>
      <c r="C1090" s="4">
        <v>71.474917635024866</v>
      </c>
      <c r="D1090" s="45"/>
    </row>
    <row r="1091" spans="2:4" ht="16" thickBot="1" x14ac:dyDescent="0.25">
      <c r="B1091" s="5">
        <v>1086</v>
      </c>
      <c r="C1091" s="5">
        <v>158.89335181325191</v>
      </c>
      <c r="D1091" s="45"/>
    </row>
    <row r="1092" spans="2:4" ht="16" thickBot="1" x14ac:dyDescent="0.25">
      <c r="B1092" s="4">
        <v>1087</v>
      </c>
      <c r="C1092" s="4">
        <v>174.12037434030304</v>
      </c>
      <c r="D1092" s="45"/>
    </row>
    <row r="1093" spans="2:4" ht="16" thickBot="1" x14ac:dyDescent="0.25">
      <c r="B1093" s="5">
        <v>1088</v>
      </c>
      <c r="C1093" s="5">
        <v>80.840563608124228</v>
      </c>
      <c r="D1093" s="45"/>
    </row>
    <row r="1094" spans="2:4" ht="16" thickBot="1" x14ac:dyDescent="0.25">
      <c r="B1094" s="4">
        <v>1089</v>
      </c>
      <c r="C1094" s="4">
        <v>188.77645226065886</v>
      </c>
      <c r="D1094" s="45"/>
    </row>
    <row r="1095" spans="2:4" ht="16" thickBot="1" x14ac:dyDescent="0.25">
      <c r="B1095" s="5">
        <v>1090</v>
      </c>
      <c r="C1095" s="5">
        <v>68.065340526723489</v>
      </c>
      <c r="D1095" s="45"/>
    </row>
    <row r="1096" spans="2:4" ht="16" thickBot="1" x14ac:dyDescent="0.25">
      <c r="B1096" s="4">
        <v>1091</v>
      </c>
      <c r="C1096" s="4">
        <v>156.71486043634391</v>
      </c>
      <c r="D1096" s="45"/>
    </row>
    <row r="1097" spans="2:4" ht="16" thickBot="1" x14ac:dyDescent="0.25">
      <c r="B1097" s="5">
        <v>1092</v>
      </c>
      <c r="C1097" s="5">
        <v>150.1418139469846</v>
      </c>
      <c r="D1097" s="45"/>
    </row>
    <row r="1098" spans="2:4" ht="16" thickBot="1" x14ac:dyDescent="0.25">
      <c r="B1098" s="4">
        <v>1093</v>
      </c>
      <c r="C1098" s="4">
        <v>363.33079060114687</v>
      </c>
      <c r="D1098" s="45"/>
    </row>
    <row r="1099" spans="2:4" ht="16" thickBot="1" x14ac:dyDescent="0.25">
      <c r="B1099" s="5">
        <v>1094</v>
      </c>
      <c r="C1099" s="5">
        <v>162.31317312919268</v>
      </c>
      <c r="D1099" s="45"/>
    </row>
    <row r="1100" spans="2:4" ht="16" thickBot="1" x14ac:dyDescent="0.25">
      <c r="B1100" s="4">
        <v>1095</v>
      </c>
      <c r="C1100" s="4">
        <v>334.35493713012841</v>
      </c>
      <c r="D1100" s="45"/>
    </row>
    <row r="1101" spans="2:4" ht="16" thickBot="1" x14ac:dyDescent="0.25">
      <c r="B1101" s="5">
        <v>1096</v>
      </c>
      <c r="C1101" s="5">
        <v>111.85351172516765</v>
      </c>
      <c r="D1101" s="45"/>
    </row>
    <row r="1102" spans="2:4" ht="16" thickBot="1" x14ac:dyDescent="0.25">
      <c r="B1102" s="4">
        <v>1097</v>
      </c>
      <c r="C1102" s="4">
        <v>271.58274578213815</v>
      </c>
      <c r="D1102" s="45"/>
    </row>
    <row r="1103" spans="2:4" ht="16" thickBot="1" x14ac:dyDescent="0.25">
      <c r="B1103" s="5">
        <v>1098</v>
      </c>
      <c r="C1103" s="5">
        <v>188.18191594756988</v>
      </c>
      <c r="D1103" s="45"/>
    </row>
    <row r="1104" spans="2:4" ht="16" thickBot="1" x14ac:dyDescent="0.25">
      <c r="B1104" s="4">
        <v>1099</v>
      </c>
      <c r="C1104" s="4">
        <v>112.69200113366243</v>
      </c>
      <c r="D1104" s="45"/>
    </row>
    <row r="1105" spans="2:4" ht="16" thickBot="1" x14ac:dyDescent="0.25">
      <c r="B1105" s="5">
        <v>1100</v>
      </c>
      <c r="C1105" s="5">
        <v>122.91604751543467</v>
      </c>
      <c r="D1105" s="45"/>
    </row>
    <row r="1106" spans="2:4" ht="16" thickBot="1" x14ac:dyDescent="0.25">
      <c r="B1106" s="4">
        <v>1101</v>
      </c>
      <c r="C1106" s="4">
        <v>205.0306552525422</v>
      </c>
      <c r="D1106" s="45"/>
    </row>
    <row r="1107" spans="2:4" ht="16" thickBot="1" x14ac:dyDescent="0.25">
      <c r="B1107" s="5">
        <v>1102</v>
      </c>
      <c r="C1107" s="5">
        <v>153.82153100258168</v>
      </c>
      <c r="D1107" s="45"/>
    </row>
    <row r="1108" spans="2:4" ht="16" thickBot="1" x14ac:dyDescent="0.25">
      <c r="B1108" s="4">
        <v>1103</v>
      </c>
      <c r="C1108" s="4">
        <v>50.433163942270561</v>
      </c>
      <c r="D1108" s="45"/>
    </row>
    <row r="1109" spans="2:4" ht="16" thickBot="1" x14ac:dyDescent="0.25">
      <c r="B1109" s="5">
        <v>1104</v>
      </c>
      <c r="C1109" s="5">
        <v>57.409738155774463</v>
      </c>
      <c r="D1109" s="45"/>
    </row>
    <row r="1110" spans="2:4" ht="16" thickBot="1" x14ac:dyDescent="0.25">
      <c r="B1110" s="4">
        <v>1105</v>
      </c>
      <c r="C1110" s="4">
        <v>162.7210573099004</v>
      </c>
      <c r="D1110" s="45"/>
    </row>
    <row r="1111" spans="2:4" ht="16" thickBot="1" x14ac:dyDescent="0.25">
      <c r="B1111" s="5">
        <v>1106</v>
      </c>
      <c r="C1111" s="5">
        <v>335.87333713104852</v>
      </c>
      <c r="D1111" s="45"/>
    </row>
    <row r="1112" spans="2:4" ht="16" thickBot="1" x14ac:dyDescent="0.25">
      <c r="B1112" s="4">
        <v>1107</v>
      </c>
      <c r="C1112" s="4">
        <v>66.354513106286348</v>
      </c>
      <c r="D1112" s="45"/>
    </row>
    <row r="1113" spans="2:4" ht="16" thickBot="1" x14ac:dyDescent="0.25">
      <c r="B1113" s="5">
        <v>1108</v>
      </c>
      <c r="C1113" s="5">
        <v>126.20460279715985</v>
      </c>
      <c r="D1113" s="45"/>
    </row>
    <row r="1114" spans="2:4" ht="16" thickBot="1" x14ac:dyDescent="0.25">
      <c r="B1114" s="4">
        <v>1109</v>
      </c>
      <c r="C1114" s="4">
        <v>173.0311147545689</v>
      </c>
      <c r="D1114" s="45"/>
    </row>
    <row r="1115" spans="2:4" ht="16" thickBot="1" x14ac:dyDescent="0.25">
      <c r="B1115" s="5">
        <v>1110</v>
      </c>
      <c r="C1115" s="5">
        <v>84.214527056485409</v>
      </c>
      <c r="D1115" s="45"/>
    </row>
    <row r="1116" spans="2:4" ht="16" thickBot="1" x14ac:dyDescent="0.25">
      <c r="B1116" s="4">
        <v>1111</v>
      </c>
      <c r="C1116" s="4">
        <v>76.822366239599887</v>
      </c>
      <c r="D1116" s="45"/>
    </row>
    <row r="1117" spans="2:4" ht="16" thickBot="1" x14ac:dyDescent="0.25">
      <c r="B1117" s="5">
        <v>1112</v>
      </c>
      <c r="C1117" s="5">
        <v>93.378697279694109</v>
      </c>
      <c r="D1117" s="45"/>
    </row>
    <row r="1118" spans="2:4" ht="16" thickBot="1" x14ac:dyDescent="0.25">
      <c r="B1118" s="4">
        <v>1113</v>
      </c>
      <c r="C1118" s="4">
        <v>210.92637557601444</v>
      </c>
      <c r="D1118" s="45"/>
    </row>
    <row r="1119" spans="2:4" ht="16" thickBot="1" x14ac:dyDescent="0.25">
      <c r="B1119" s="5">
        <v>1114</v>
      </c>
      <c r="C1119" s="5">
        <v>135.72199197795155</v>
      </c>
      <c r="D1119" s="45"/>
    </row>
    <row r="1120" spans="2:4" ht="16" thickBot="1" x14ac:dyDescent="0.25">
      <c r="B1120" s="4">
        <v>1115</v>
      </c>
      <c r="C1120" s="4">
        <v>168.09461581152866</v>
      </c>
      <c r="D1120" s="45"/>
    </row>
    <row r="1121" spans="2:4" ht="16" thickBot="1" x14ac:dyDescent="0.25">
      <c r="B1121" s="5">
        <v>1116</v>
      </c>
      <c r="C1121" s="5">
        <v>98.056646733089622</v>
      </c>
      <c r="D1121" s="45"/>
    </row>
    <row r="1122" spans="2:4" ht="16" thickBot="1" x14ac:dyDescent="0.25">
      <c r="B1122" s="4">
        <v>1117</v>
      </c>
      <c r="C1122" s="4">
        <v>59.239479996610164</v>
      </c>
      <c r="D1122" s="45"/>
    </row>
    <row r="1123" spans="2:4" ht="16" thickBot="1" x14ac:dyDescent="0.25">
      <c r="B1123" s="5">
        <v>1118</v>
      </c>
      <c r="C1123" s="5">
        <v>247.65043644087098</v>
      </c>
      <c r="D1123" s="45"/>
    </row>
    <row r="1124" spans="2:4" ht="16" thickBot="1" x14ac:dyDescent="0.25">
      <c r="B1124" s="4">
        <v>1119</v>
      </c>
      <c r="C1124" s="4">
        <v>121.45697481818256</v>
      </c>
      <c r="D1124" s="45"/>
    </row>
    <row r="1125" spans="2:4" ht="16" thickBot="1" x14ac:dyDescent="0.25">
      <c r="B1125" s="5">
        <v>1120</v>
      </c>
      <c r="C1125" s="5">
        <v>85.280443746557978</v>
      </c>
      <c r="D1125" s="45"/>
    </row>
    <row r="1126" spans="2:4" ht="16" thickBot="1" x14ac:dyDescent="0.25">
      <c r="B1126" s="4">
        <v>1121</v>
      </c>
      <c r="C1126" s="4">
        <v>110.5947839952164</v>
      </c>
      <c r="D1126" s="45"/>
    </row>
    <row r="1127" spans="2:4" ht="16" thickBot="1" x14ac:dyDescent="0.25">
      <c r="B1127" s="5">
        <v>1122</v>
      </c>
      <c r="C1127" s="5">
        <v>309.67647446731519</v>
      </c>
      <c r="D1127" s="45"/>
    </row>
    <row r="1128" spans="2:4" ht="16" thickBot="1" x14ac:dyDescent="0.25">
      <c r="B1128" s="4">
        <v>1123</v>
      </c>
      <c r="C1128" s="4">
        <v>130.71964956613633</v>
      </c>
      <c r="D1128" s="45"/>
    </row>
    <row r="1129" spans="2:4" ht="16" thickBot="1" x14ac:dyDescent="0.25">
      <c r="B1129" s="5">
        <v>1124</v>
      </c>
      <c r="C1129" s="5">
        <v>107.86925397534203</v>
      </c>
      <c r="D1129" s="45"/>
    </row>
    <row r="1130" spans="2:4" ht="16" thickBot="1" x14ac:dyDescent="0.25">
      <c r="B1130" s="4">
        <v>1125</v>
      </c>
      <c r="C1130" s="4">
        <v>102.61660733652903</v>
      </c>
      <c r="D1130" s="45"/>
    </row>
    <row r="1131" spans="2:4" ht="16" thickBot="1" x14ac:dyDescent="0.25">
      <c r="B1131" s="5">
        <v>1126</v>
      </c>
      <c r="C1131" s="5">
        <v>130.13970435991351</v>
      </c>
      <c r="D1131" s="45"/>
    </row>
    <row r="1132" spans="2:4" ht="16" thickBot="1" x14ac:dyDescent="0.25">
      <c r="B1132" s="4">
        <v>1127</v>
      </c>
      <c r="C1132" s="4">
        <v>122.00336104981264</v>
      </c>
      <c r="D1132" s="45"/>
    </row>
    <row r="1133" spans="2:4" ht="16" thickBot="1" x14ac:dyDescent="0.25">
      <c r="B1133" s="5">
        <v>1128</v>
      </c>
      <c r="C1133" s="5">
        <v>121.37041140623543</v>
      </c>
      <c r="D1133" s="45"/>
    </row>
    <row r="1134" spans="2:4" ht="16" thickBot="1" x14ac:dyDescent="0.25">
      <c r="B1134" s="4">
        <v>1129</v>
      </c>
      <c r="C1134" s="4">
        <v>504.17864193165906</v>
      </c>
      <c r="D1134" s="45"/>
    </row>
    <row r="1135" spans="2:4" ht="16" thickBot="1" x14ac:dyDescent="0.25">
      <c r="B1135" s="5">
        <v>1130</v>
      </c>
      <c r="C1135" s="5">
        <v>183.19618384949021</v>
      </c>
      <c r="D1135" s="45"/>
    </row>
    <row r="1136" spans="2:4" ht="16" thickBot="1" x14ac:dyDescent="0.25">
      <c r="B1136" s="4">
        <v>1131</v>
      </c>
      <c r="C1136" s="4">
        <v>188.46887240003284</v>
      </c>
      <c r="D1136" s="45"/>
    </row>
    <row r="1137" spans="2:4" ht="16" thickBot="1" x14ac:dyDescent="0.25">
      <c r="B1137" s="5">
        <v>1132</v>
      </c>
      <c r="C1137" s="5">
        <v>118.80284249130331</v>
      </c>
      <c r="D1137" s="45"/>
    </row>
    <row r="1138" spans="2:4" ht="16" thickBot="1" x14ac:dyDescent="0.25">
      <c r="B1138" s="4">
        <v>1133</v>
      </c>
      <c r="C1138" s="4">
        <v>82.104442494373885</v>
      </c>
      <c r="D1138" s="45"/>
    </row>
    <row r="1139" spans="2:4" ht="16" thickBot="1" x14ac:dyDescent="0.25">
      <c r="B1139" s="5">
        <v>1134</v>
      </c>
      <c r="C1139" s="5">
        <v>59.650699382148133</v>
      </c>
      <c r="D1139" s="45"/>
    </row>
    <row r="1140" spans="2:4" ht="16" thickBot="1" x14ac:dyDescent="0.25">
      <c r="B1140" s="4">
        <v>1135</v>
      </c>
      <c r="C1140" s="4">
        <v>177.43969549034941</v>
      </c>
      <c r="D1140" s="45"/>
    </row>
    <row r="1141" spans="2:4" ht="16" thickBot="1" x14ac:dyDescent="0.25">
      <c r="B1141" s="5">
        <v>1136</v>
      </c>
      <c r="C1141" s="5">
        <v>140.3951502847668</v>
      </c>
      <c r="D1141" s="45"/>
    </row>
    <row r="1142" spans="2:4" ht="16" thickBot="1" x14ac:dyDescent="0.25">
      <c r="B1142" s="4">
        <v>1137</v>
      </c>
      <c r="C1142" s="4">
        <v>253.24740671978356</v>
      </c>
      <c r="D1142" s="45"/>
    </row>
    <row r="1143" spans="2:4" ht="16" thickBot="1" x14ac:dyDescent="0.25">
      <c r="B1143" s="5">
        <v>1138</v>
      </c>
      <c r="C1143" s="5">
        <v>80.920672801574355</v>
      </c>
      <c r="D1143" s="45"/>
    </row>
    <row r="1144" spans="2:4" ht="16" thickBot="1" x14ac:dyDescent="0.25">
      <c r="B1144" s="4">
        <v>1139</v>
      </c>
      <c r="C1144" s="4">
        <v>105.96749366543075</v>
      </c>
      <c r="D1144" s="45"/>
    </row>
    <row r="1145" spans="2:4" ht="16" thickBot="1" x14ac:dyDescent="0.25">
      <c r="B1145" s="5">
        <v>1140</v>
      </c>
      <c r="C1145" s="5">
        <v>126.93227841438429</v>
      </c>
      <c r="D1145" s="45"/>
    </row>
    <row r="1146" spans="2:4" ht="16" thickBot="1" x14ac:dyDescent="0.25">
      <c r="B1146" s="4">
        <v>1141</v>
      </c>
      <c r="C1146" s="4">
        <v>79.334746441970807</v>
      </c>
      <c r="D1146" s="45"/>
    </row>
    <row r="1147" spans="2:4" ht="16" thickBot="1" x14ac:dyDescent="0.25">
      <c r="B1147" s="5">
        <v>1142</v>
      </c>
      <c r="C1147" s="5">
        <v>212.90427271519891</v>
      </c>
      <c r="D1147" s="45"/>
    </row>
    <row r="1148" spans="2:4" ht="16" thickBot="1" x14ac:dyDescent="0.25">
      <c r="B1148" s="4">
        <v>1143</v>
      </c>
      <c r="C1148" s="4">
        <v>125.58485838655822</v>
      </c>
      <c r="D1148" s="45"/>
    </row>
    <row r="1149" spans="2:4" ht="16" thickBot="1" x14ac:dyDescent="0.25">
      <c r="B1149" s="5">
        <v>1144</v>
      </c>
      <c r="C1149" s="5">
        <v>122.72236421246588</v>
      </c>
      <c r="D1149" s="45"/>
    </row>
    <row r="1150" spans="2:4" ht="16" thickBot="1" x14ac:dyDescent="0.25">
      <c r="B1150" s="4">
        <v>1145</v>
      </c>
      <c r="C1150" s="4">
        <v>94.389129960041203</v>
      </c>
      <c r="D1150" s="45"/>
    </row>
    <row r="1151" spans="2:4" ht="16" thickBot="1" x14ac:dyDescent="0.25">
      <c r="B1151" s="5">
        <v>1146</v>
      </c>
      <c r="C1151" s="5">
        <v>135.18463485668863</v>
      </c>
      <c r="D1151" s="45"/>
    </row>
    <row r="1152" spans="2:4" ht="16" thickBot="1" x14ac:dyDescent="0.25">
      <c r="B1152" s="4">
        <v>1147</v>
      </c>
      <c r="C1152" s="4">
        <v>110.56909145461987</v>
      </c>
      <c r="D1152" s="45"/>
    </row>
    <row r="1153" spans="2:4" ht="16" thickBot="1" x14ac:dyDescent="0.25">
      <c r="B1153" s="5">
        <v>1148</v>
      </c>
      <c r="C1153" s="5">
        <v>119.63188392780533</v>
      </c>
      <c r="D1153" s="45"/>
    </row>
    <row r="1154" spans="2:4" ht="16" thickBot="1" x14ac:dyDescent="0.25">
      <c r="B1154" s="4">
        <v>1149</v>
      </c>
      <c r="C1154" s="4">
        <v>71.983729064148363</v>
      </c>
      <c r="D1154" s="45"/>
    </row>
    <row r="1155" spans="2:4" ht="16" thickBot="1" x14ac:dyDescent="0.25">
      <c r="B1155" s="5">
        <v>1150</v>
      </c>
      <c r="C1155" s="5">
        <v>60.171270096307254</v>
      </c>
      <c r="D1155" s="45"/>
    </row>
    <row r="1156" spans="2:4" ht="16" thickBot="1" x14ac:dyDescent="0.25">
      <c r="B1156" s="4">
        <v>1151</v>
      </c>
      <c r="C1156" s="4">
        <v>357.06283151228376</v>
      </c>
      <c r="D1156" s="45"/>
    </row>
    <row r="1157" spans="2:4" ht="16" thickBot="1" x14ac:dyDescent="0.25">
      <c r="B1157" s="5">
        <v>1152</v>
      </c>
      <c r="C1157" s="5">
        <v>95.306264545693168</v>
      </c>
      <c r="D1157" s="45"/>
    </row>
    <row r="1158" spans="2:4" ht="16" thickBot="1" x14ac:dyDescent="0.25">
      <c r="B1158" s="4">
        <v>1153</v>
      </c>
      <c r="C1158" s="4">
        <v>134.3084803843048</v>
      </c>
      <c r="D1158" s="45"/>
    </row>
    <row r="1159" spans="2:4" ht="16" thickBot="1" x14ac:dyDescent="0.25">
      <c r="B1159" s="5">
        <v>1154</v>
      </c>
      <c r="C1159" s="5">
        <v>112.52519570480277</v>
      </c>
      <c r="D1159" s="45"/>
    </row>
    <row r="1160" spans="2:4" ht="16" thickBot="1" x14ac:dyDescent="0.25">
      <c r="B1160" s="4">
        <v>1155</v>
      </c>
      <c r="C1160" s="4">
        <v>351.09992557006507</v>
      </c>
      <c r="D1160" s="45"/>
    </row>
    <row r="1161" spans="2:4" ht="16" thickBot="1" x14ac:dyDescent="0.25">
      <c r="B1161" s="5">
        <v>1156</v>
      </c>
      <c r="C1161" s="5">
        <v>203.01013188759234</v>
      </c>
      <c r="D1161" s="45"/>
    </row>
    <row r="1162" spans="2:4" ht="16" thickBot="1" x14ac:dyDescent="0.25">
      <c r="B1162" s="4">
        <v>1157</v>
      </c>
      <c r="C1162" s="4">
        <v>456.3628209420267</v>
      </c>
      <c r="D1162" s="45"/>
    </row>
    <row r="1163" spans="2:4" ht="16" thickBot="1" x14ac:dyDescent="0.25">
      <c r="B1163" s="5">
        <v>1158</v>
      </c>
      <c r="C1163" s="5">
        <v>55.7527640196327</v>
      </c>
      <c r="D1163" s="45"/>
    </row>
    <row r="1164" spans="2:4" ht="16" thickBot="1" x14ac:dyDescent="0.25">
      <c r="B1164" s="4">
        <v>1159</v>
      </c>
      <c r="C1164" s="4">
        <v>123.72431586483803</v>
      </c>
      <c r="D1164" s="45"/>
    </row>
    <row r="1165" spans="2:4" ht="16" thickBot="1" x14ac:dyDescent="0.25">
      <c r="B1165" s="5">
        <v>1160</v>
      </c>
      <c r="C1165" s="5">
        <v>184.24252102944448</v>
      </c>
      <c r="D1165" s="45"/>
    </row>
    <row r="1166" spans="2:4" ht="16" thickBot="1" x14ac:dyDescent="0.25">
      <c r="B1166" s="4">
        <v>1161</v>
      </c>
      <c r="C1166" s="4">
        <v>97.874457126837839</v>
      </c>
      <c r="D1166" s="45"/>
    </row>
    <row r="1167" spans="2:4" ht="16" thickBot="1" x14ac:dyDescent="0.25">
      <c r="B1167" s="5">
        <v>1162</v>
      </c>
      <c r="C1167" s="5">
        <v>107.94332807597566</v>
      </c>
      <c r="D1167" s="45"/>
    </row>
    <row r="1168" spans="2:4" ht="16" thickBot="1" x14ac:dyDescent="0.25">
      <c r="B1168" s="4">
        <v>1163</v>
      </c>
      <c r="C1168" s="4">
        <v>82.322415076121359</v>
      </c>
      <c r="D1168" s="45"/>
    </row>
    <row r="1169" spans="2:4" ht="16" thickBot="1" x14ac:dyDescent="0.25">
      <c r="B1169" s="5">
        <v>1164</v>
      </c>
      <c r="C1169" s="5">
        <v>153.2176247037961</v>
      </c>
      <c r="D1169" s="45"/>
    </row>
    <row r="1170" spans="2:4" ht="16" thickBot="1" x14ac:dyDescent="0.25">
      <c r="B1170" s="4">
        <v>1165</v>
      </c>
      <c r="C1170" s="4">
        <v>367.94510983026663</v>
      </c>
      <c r="D1170" s="45"/>
    </row>
    <row r="1171" spans="2:4" ht="16" thickBot="1" x14ac:dyDescent="0.25">
      <c r="B1171" s="5">
        <v>1166</v>
      </c>
      <c r="C1171" s="5">
        <v>72.285457688818298</v>
      </c>
      <c r="D1171" s="45"/>
    </row>
    <row r="1172" spans="2:4" ht="16" thickBot="1" x14ac:dyDescent="0.25">
      <c r="B1172" s="4">
        <v>1167</v>
      </c>
      <c r="C1172" s="4">
        <v>64.235501889369161</v>
      </c>
      <c r="D1172" s="45"/>
    </row>
    <row r="1173" spans="2:4" ht="16" thickBot="1" x14ac:dyDescent="0.25">
      <c r="B1173" s="5">
        <v>1168</v>
      </c>
      <c r="C1173" s="5">
        <v>323.19372409815378</v>
      </c>
      <c r="D1173" s="45"/>
    </row>
    <row r="1174" spans="2:4" ht="16" thickBot="1" x14ac:dyDescent="0.25">
      <c r="B1174" s="4">
        <v>1169</v>
      </c>
      <c r="C1174" s="4">
        <v>169.67754587157475</v>
      </c>
      <c r="D1174" s="45"/>
    </row>
    <row r="1175" spans="2:4" ht="16" thickBot="1" x14ac:dyDescent="0.25">
      <c r="B1175" s="5">
        <v>1170</v>
      </c>
      <c r="C1175" s="5">
        <v>75.60588157301126</v>
      </c>
      <c r="D1175" s="45"/>
    </row>
    <row r="1176" spans="2:4" ht="16" thickBot="1" x14ac:dyDescent="0.25">
      <c r="B1176" s="4">
        <v>1171</v>
      </c>
      <c r="C1176" s="4">
        <v>139.11158626621736</v>
      </c>
      <c r="D1176" s="45"/>
    </row>
    <row r="1177" spans="2:4" ht="16" thickBot="1" x14ac:dyDescent="0.25">
      <c r="B1177" s="5">
        <v>1172</v>
      </c>
      <c r="C1177" s="5">
        <v>139.15615958829738</v>
      </c>
      <c r="D1177" s="45"/>
    </row>
    <row r="1178" spans="2:4" ht="16" thickBot="1" x14ac:dyDescent="0.25">
      <c r="B1178" s="4">
        <v>1173</v>
      </c>
      <c r="C1178" s="4">
        <v>199.56118697694507</v>
      </c>
      <c r="D1178" s="45"/>
    </row>
    <row r="1179" spans="2:4" ht="16" thickBot="1" x14ac:dyDescent="0.25">
      <c r="B1179" s="5">
        <v>1174</v>
      </c>
      <c r="C1179" s="5">
        <v>250.0020993237645</v>
      </c>
      <c r="D1179" s="45"/>
    </row>
    <row r="1180" spans="2:4" ht="16" thickBot="1" x14ac:dyDescent="0.25">
      <c r="B1180" s="4">
        <v>1175</v>
      </c>
      <c r="C1180" s="4">
        <v>245.94711120601468</v>
      </c>
      <c r="D1180" s="45"/>
    </row>
    <row r="1181" spans="2:4" ht="16" thickBot="1" x14ac:dyDescent="0.25">
      <c r="B1181" s="5">
        <v>1176</v>
      </c>
      <c r="C1181" s="5">
        <v>231.73069310681566</v>
      </c>
      <c r="D1181" s="45"/>
    </row>
    <row r="1182" spans="2:4" ht="16" thickBot="1" x14ac:dyDescent="0.25">
      <c r="B1182" s="4">
        <v>1177</v>
      </c>
      <c r="C1182" s="4">
        <v>111.103037095736</v>
      </c>
      <c r="D1182" s="45"/>
    </row>
    <row r="1183" spans="2:4" ht="16" thickBot="1" x14ac:dyDescent="0.25">
      <c r="B1183" s="5">
        <v>1178</v>
      </c>
      <c r="C1183" s="5">
        <v>174.83709973262057</v>
      </c>
      <c r="D1183" s="45"/>
    </row>
    <row r="1184" spans="2:4" ht="16" thickBot="1" x14ac:dyDescent="0.25">
      <c r="B1184" s="4">
        <v>1179</v>
      </c>
      <c r="C1184" s="4">
        <v>185.20416769639161</v>
      </c>
      <c r="D1184" s="45"/>
    </row>
    <row r="1185" spans="2:4" ht="16" thickBot="1" x14ac:dyDescent="0.25">
      <c r="B1185" s="5">
        <v>1180</v>
      </c>
      <c r="C1185" s="5">
        <v>97.798105681105156</v>
      </c>
      <c r="D1185" s="45"/>
    </row>
    <row r="1186" spans="2:4" ht="16" thickBot="1" x14ac:dyDescent="0.25">
      <c r="B1186" s="4">
        <v>1181</v>
      </c>
      <c r="C1186" s="4">
        <v>113.86997071305927</v>
      </c>
      <c r="D1186" s="45"/>
    </row>
    <row r="1187" spans="2:4" ht="16" thickBot="1" x14ac:dyDescent="0.25">
      <c r="B1187" s="5">
        <v>1182</v>
      </c>
      <c r="C1187" s="5">
        <v>198.55201728147864</v>
      </c>
      <c r="D1187" s="45"/>
    </row>
    <row r="1188" spans="2:4" ht="16" thickBot="1" x14ac:dyDescent="0.25">
      <c r="B1188" s="4">
        <v>1183</v>
      </c>
      <c r="C1188" s="4">
        <v>185.850278714746</v>
      </c>
      <c r="D1188" s="45"/>
    </row>
    <row r="1189" spans="2:4" ht="16" thickBot="1" x14ac:dyDescent="0.25">
      <c r="B1189" s="5">
        <v>1184</v>
      </c>
      <c r="C1189" s="5">
        <v>117.62029304849727</v>
      </c>
      <c r="D1189" s="45"/>
    </row>
    <row r="1190" spans="2:4" ht="16" thickBot="1" x14ac:dyDescent="0.25">
      <c r="B1190" s="4">
        <v>1185</v>
      </c>
      <c r="C1190" s="4">
        <v>100.47401324704101</v>
      </c>
      <c r="D1190" s="45"/>
    </row>
    <row r="1191" spans="2:4" ht="16" thickBot="1" x14ac:dyDescent="0.25">
      <c r="B1191" s="5">
        <v>1186</v>
      </c>
      <c r="C1191" s="5">
        <v>211.34802546514567</v>
      </c>
      <c r="D1191" s="45"/>
    </row>
    <row r="1192" spans="2:4" ht="16" thickBot="1" x14ac:dyDescent="0.25">
      <c r="B1192" s="4">
        <v>1187</v>
      </c>
      <c r="C1192" s="4">
        <v>72.206432942950741</v>
      </c>
      <c r="D1192" s="45"/>
    </row>
    <row r="1193" spans="2:4" ht="16" thickBot="1" x14ac:dyDescent="0.25">
      <c r="B1193" s="5">
        <v>1188</v>
      </c>
      <c r="C1193" s="5">
        <v>388.23436307119897</v>
      </c>
      <c r="D1193" s="45"/>
    </row>
    <row r="1194" spans="2:4" ht="16" thickBot="1" x14ac:dyDescent="0.25">
      <c r="B1194" s="4">
        <v>1189</v>
      </c>
      <c r="C1194" s="4">
        <v>171.93257705463014</v>
      </c>
      <c r="D1194" s="45"/>
    </row>
    <row r="1195" spans="2:4" ht="16" thickBot="1" x14ac:dyDescent="0.25">
      <c r="B1195" s="5">
        <v>1190</v>
      </c>
      <c r="C1195" s="5">
        <v>109.87574718581024</v>
      </c>
      <c r="D1195" s="45"/>
    </row>
    <row r="1196" spans="2:4" ht="16" thickBot="1" x14ac:dyDescent="0.25">
      <c r="B1196" s="4">
        <v>1191</v>
      </c>
      <c r="C1196" s="4">
        <v>98.962206629951609</v>
      </c>
      <c r="D1196" s="45"/>
    </row>
    <row r="1197" spans="2:4" ht="16" thickBot="1" x14ac:dyDescent="0.25">
      <c r="B1197" s="5">
        <v>1192</v>
      </c>
      <c r="C1197" s="5">
        <v>221.46485474339764</v>
      </c>
      <c r="D1197" s="45"/>
    </row>
    <row r="1198" spans="2:4" ht="16" thickBot="1" x14ac:dyDescent="0.25">
      <c r="B1198" s="4">
        <v>1193</v>
      </c>
      <c r="C1198" s="4">
        <v>124.76176947968229</v>
      </c>
      <c r="D1198" s="45"/>
    </row>
    <row r="1199" spans="2:4" ht="16" thickBot="1" x14ac:dyDescent="0.25">
      <c r="B1199" s="5">
        <v>1194</v>
      </c>
      <c r="C1199" s="5">
        <v>143.35835518233677</v>
      </c>
      <c r="D1199" s="45"/>
    </row>
    <row r="1200" spans="2:4" ht="16" thickBot="1" x14ac:dyDescent="0.25">
      <c r="B1200" s="4">
        <v>1195</v>
      </c>
      <c r="C1200" s="4">
        <v>134.9732191274621</v>
      </c>
      <c r="D1200" s="45"/>
    </row>
    <row r="1201" spans="2:4" ht="16" thickBot="1" x14ac:dyDescent="0.25">
      <c r="B1201" s="5">
        <v>1196</v>
      </c>
      <c r="C1201" s="5">
        <v>126.00772608808845</v>
      </c>
      <c r="D1201" s="45"/>
    </row>
    <row r="1202" spans="2:4" ht="16" thickBot="1" x14ac:dyDescent="0.25">
      <c r="B1202" s="4">
        <v>1197</v>
      </c>
      <c r="C1202" s="4">
        <v>111.49262446770899</v>
      </c>
      <c r="D1202" s="45"/>
    </row>
    <row r="1203" spans="2:4" ht="16" thickBot="1" x14ac:dyDescent="0.25">
      <c r="B1203" s="5">
        <v>1198</v>
      </c>
      <c r="C1203" s="5">
        <v>183.12163415625992</v>
      </c>
      <c r="D1203" s="45"/>
    </row>
    <row r="1204" spans="2:4" ht="16" thickBot="1" x14ac:dyDescent="0.25">
      <c r="B1204" s="4">
        <v>1199</v>
      </c>
      <c r="C1204" s="4">
        <v>182.12522105334671</v>
      </c>
      <c r="D1204" s="45"/>
    </row>
    <row r="1205" spans="2:4" ht="16" thickBot="1" x14ac:dyDescent="0.25">
      <c r="B1205" s="5">
        <v>1200</v>
      </c>
      <c r="C1205" s="5">
        <v>121.76185691555374</v>
      </c>
      <c r="D1205" s="45"/>
    </row>
    <row r="1206" spans="2:4" ht="16" thickBot="1" x14ac:dyDescent="0.25">
      <c r="B1206" s="4">
        <v>1201</v>
      </c>
      <c r="C1206" s="4">
        <v>293.67697608423254</v>
      </c>
      <c r="D1206" s="45"/>
    </row>
    <row r="1207" spans="2:4" ht="16" thickBot="1" x14ac:dyDescent="0.25">
      <c r="B1207" s="5">
        <v>1202</v>
      </c>
      <c r="C1207" s="5">
        <v>161.92655022160838</v>
      </c>
      <c r="D1207" s="45"/>
    </row>
    <row r="1208" spans="2:4" ht="16" thickBot="1" x14ac:dyDescent="0.25">
      <c r="B1208" s="4">
        <v>1203</v>
      </c>
      <c r="C1208" s="4">
        <v>148.88362229851901</v>
      </c>
      <c r="D1208" s="45"/>
    </row>
    <row r="1209" spans="2:4" ht="16" thickBot="1" x14ac:dyDescent="0.25">
      <c r="B1209" s="5">
        <v>1204</v>
      </c>
      <c r="C1209" s="5">
        <v>141.51557305094749</v>
      </c>
      <c r="D1209" s="45"/>
    </row>
    <row r="1210" spans="2:4" ht="16" thickBot="1" x14ac:dyDescent="0.25">
      <c r="B1210" s="4">
        <v>1205</v>
      </c>
      <c r="C1210" s="4">
        <v>162.69003748279559</v>
      </c>
      <c r="D1210" s="45"/>
    </row>
    <row r="1211" spans="2:4" ht="16" thickBot="1" x14ac:dyDescent="0.25">
      <c r="B1211" s="5">
        <v>1206</v>
      </c>
      <c r="C1211" s="5">
        <v>159.21924764952502</v>
      </c>
      <c r="D1211" s="45"/>
    </row>
    <row r="1212" spans="2:4" ht="16" thickBot="1" x14ac:dyDescent="0.25">
      <c r="B1212" s="4">
        <v>1207</v>
      </c>
      <c r="C1212" s="4">
        <v>210.89380961853621</v>
      </c>
      <c r="D1212" s="45"/>
    </row>
    <row r="1213" spans="2:4" ht="16" thickBot="1" x14ac:dyDescent="0.25">
      <c r="B1213" s="5">
        <v>1208</v>
      </c>
      <c r="C1213" s="5">
        <v>218.48589506122343</v>
      </c>
      <c r="D1213" s="45"/>
    </row>
    <row r="1214" spans="2:4" ht="16" thickBot="1" x14ac:dyDescent="0.25">
      <c r="B1214" s="4">
        <v>1209</v>
      </c>
      <c r="C1214" s="4">
        <v>55.377442794913094</v>
      </c>
      <c r="D1214" s="45"/>
    </row>
    <row r="1215" spans="2:4" ht="16" thickBot="1" x14ac:dyDescent="0.25">
      <c r="B1215" s="5">
        <v>1210</v>
      </c>
      <c r="C1215" s="5">
        <v>124.76122811521343</v>
      </c>
      <c r="D1215" s="45"/>
    </row>
    <row r="1216" spans="2:4" ht="16" thickBot="1" x14ac:dyDescent="0.25">
      <c r="B1216" s="4">
        <v>1211</v>
      </c>
      <c r="C1216" s="4">
        <v>114.24437116705228</v>
      </c>
      <c r="D1216" s="45"/>
    </row>
    <row r="1217" spans="2:4" ht="16" thickBot="1" x14ac:dyDescent="0.25">
      <c r="B1217" s="5">
        <v>1212</v>
      </c>
      <c r="C1217" s="5">
        <v>225.28516771429688</v>
      </c>
      <c r="D1217" s="45"/>
    </row>
    <row r="1218" spans="2:4" ht="16" thickBot="1" x14ac:dyDescent="0.25">
      <c r="B1218" s="4">
        <v>1213</v>
      </c>
      <c r="C1218" s="4">
        <v>65.147735302107819</v>
      </c>
      <c r="D1218" s="45"/>
    </row>
    <row r="1219" spans="2:4" ht="16" thickBot="1" x14ac:dyDescent="0.25">
      <c r="B1219" s="5">
        <v>1214</v>
      </c>
      <c r="C1219" s="5">
        <v>79.083372406890675</v>
      </c>
      <c r="D1219" s="45"/>
    </row>
    <row r="1220" spans="2:4" ht="16" thickBot="1" x14ac:dyDescent="0.25">
      <c r="B1220" s="4">
        <v>1215</v>
      </c>
      <c r="C1220" s="4">
        <v>72.109988293224788</v>
      </c>
      <c r="D1220" s="45"/>
    </row>
    <row r="1221" spans="2:4" ht="16" thickBot="1" x14ac:dyDescent="0.25">
      <c r="B1221" s="5">
        <v>1216</v>
      </c>
      <c r="C1221" s="5">
        <v>85.060506067483331</v>
      </c>
      <c r="D1221" s="45"/>
    </row>
    <row r="1222" spans="2:4" ht="16" thickBot="1" x14ac:dyDescent="0.25">
      <c r="B1222" s="4">
        <v>1217</v>
      </c>
      <c r="C1222" s="4">
        <v>127.39187370816187</v>
      </c>
      <c r="D1222" s="45"/>
    </row>
    <row r="1223" spans="2:4" ht="16" thickBot="1" x14ac:dyDescent="0.25">
      <c r="B1223" s="5">
        <v>1218</v>
      </c>
      <c r="C1223" s="5">
        <v>175.26100614712632</v>
      </c>
      <c r="D1223" s="45"/>
    </row>
    <row r="1224" spans="2:4" ht="16" thickBot="1" x14ac:dyDescent="0.25">
      <c r="B1224" s="4">
        <v>1219</v>
      </c>
      <c r="C1224" s="4">
        <v>132.50892987537637</v>
      </c>
      <c r="D1224" s="45"/>
    </row>
    <row r="1225" spans="2:4" ht="16" thickBot="1" x14ac:dyDescent="0.25">
      <c r="B1225" s="5">
        <v>1220</v>
      </c>
      <c r="C1225" s="5">
        <v>104.00693700235752</v>
      </c>
      <c r="D1225" s="45"/>
    </row>
    <row r="1226" spans="2:4" ht="16" thickBot="1" x14ac:dyDescent="0.25">
      <c r="B1226" s="4">
        <v>1221</v>
      </c>
      <c r="C1226" s="4">
        <v>125.01558707366716</v>
      </c>
      <c r="D1226" s="45"/>
    </row>
    <row r="1227" spans="2:4" ht="16" thickBot="1" x14ac:dyDescent="0.25">
      <c r="B1227" s="5">
        <v>1222</v>
      </c>
      <c r="C1227" s="5">
        <v>161.96495049546931</v>
      </c>
      <c r="D1227" s="45"/>
    </row>
    <row r="1228" spans="2:4" ht="16" thickBot="1" x14ac:dyDescent="0.25">
      <c r="B1228" s="4">
        <v>1223</v>
      </c>
      <c r="C1228" s="4">
        <v>247.39450827693909</v>
      </c>
      <c r="D1228" s="45"/>
    </row>
    <row r="1229" spans="2:4" ht="16" thickBot="1" x14ac:dyDescent="0.25">
      <c r="B1229" s="5">
        <v>1224</v>
      </c>
      <c r="C1229" s="5">
        <v>186.34928015456907</v>
      </c>
      <c r="D1229" s="45"/>
    </row>
    <row r="1230" spans="2:4" ht="16" thickBot="1" x14ac:dyDescent="0.25">
      <c r="B1230" s="4">
        <v>1225</v>
      </c>
      <c r="C1230" s="4">
        <v>107.50259859505356</v>
      </c>
      <c r="D1230" s="45"/>
    </row>
    <row r="1231" spans="2:4" ht="16" thickBot="1" x14ac:dyDescent="0.25">
      <c r="B1231" s="5">
        <v>1226</v>
      </c>
      <c r="C1231" s="5">
        <v>143.33839462601534</v>
      </c>
      <c r="D1231" s="45"/>
    </row>
    <row r="1232" spans="2:4" ht="16" thickBot="1" x14ac:dyDescent="0.25">
      <c r="B1232" s="4">
        <v>1227</v>
      </c>
      <c r="C1232" s="4">
        <v>95.969441555685847</v>
      </c>
      <c r="D1232" s="45"/>
    </row>
    <row r="1233" spans="2:4" ht="16" thickBot="1" x14ac:dyDescent="0.25">
      <c r="B1233" s="5">
        <v>1228</v>
      </c>
      <c r="C1233" s="5">
        <v>257.95129714494828</v>
      </c>
      <c r="D1233" s="45"/>
    </row>
    <row r="1234" spans="2:4" ht="16" thickBot="1" x14ac:dyDescent="0.25">
      <c r="B1234" s="4">
        <v>1229</v>
      </c>
      <c r="C1234" s="4">
        <v>241.23125061825124</v>
      </c>
      <c r="D1234" s="45"/>
    </row>
    <row r="1235" spans="2:4" ht="16" thickBot="1" x14ac:dyDescent="0.25">
      <c r="B1235" s="5">
        <v>1230</v>
      </c>
      <c r="C1235" s="5">
        <v>46.67321602065082</v>
      </c>
      <c r="D1235" s="45"/>
    </row>
    <row r="1236" spans="2:4" ht="16" thickBot="1" x14ac:dyDescent="0.25">
      <c r="B1236" s="4">
        <v>1231</v>
      </c>
      <c r="C1236" s="4">
        <v>83.95269949092382</v>
      </c>
      <c r="D1236" s="45"/>
    </row>
    <row r="1237" spans="2:4" ht="16" thickBot="1" x14ac:dyDescent="0.25">
      <c r="B1237" s="5">
        <v>1232</v>
      </c>
      <c r="C1237" s="5">
        <v>195.46237377603117</v>
      </c>
      <c r="D1237" s="45"/>
    </row>
    <row r="1238" spans="2:4" ht="16" thickBot="1" x14ac:dyDescent="0.25">
      <c r="B1238" s="4">
        <v>1233</v>
      </c>
      <c r="C1238" s="4">
        <v>220.67773877968503</v>
      </c>
      <c r="D1238" s="45"/>
    </row>
    <row r="1239" spans="2:4" ht="16" thickBot="1" x14ac:dyDescent="0.25">
      <c r="B1239" s="5">
        <v>1234</v>
      </c>
      <c r="C1239" s="5">
        <v>176.54308724397592</v>
      </c>
      <c r="D1239" s="45"/>
    </row>
    <row r="1240" spans="2:4" ht="16" thickBot="1" x14ac:dyDescent="0.25">
      <c r="B1240" s="4">
        <v>1235</v>
      </c>
      <c r="C1240" s="4">
        <v>488.81689662941233</v>
      </c>
      <c r="D1240" s="45"/>
    </row>
    <row r="1241" spans="2:4" ht="16" thickBot="1" x14ac:dyDescent="0.25">
      <c r="B1241" s="5">
        <v>1236</v>
      </c>
      <c r="C1241" s="5">
        <v>79.443986323723749</v>
      </c>
      <c r="D1241" s="45"/>
    </row>
    <row r="1242" spans="2:4" ht="16" thickBot="1" x14ac:dyDescent="0.25">
      <c r="B1242" s="4">
        <v>1237</v>
      </c>
      <c r="C1242" s="4">
        <v>152.63728141330688</v>
      </c>
      <c r="D1242" s="45"/>
    </row>
    <row r="1243" spans="2:4" ht="16" thickBot="1" x14ac:dyDescent="0.25">
      <c r="B1243" s="5">
        <v>1238</v>
      </c>
      <c r="C1243" s="5">
        <v>237.62527719029106</v>
      </c>
      <c r="D1243" s="45"/>
    </row>
    <row r="1244" spans="2:4" ht="16" thickBot="1" x14ac:dyDescent="0.25">
      <c r="B1244" s="4">
        <v>1239</v>
      </c>
      <c r="C1244" s="4">
        <v>90.474617843209117</v>
      </c>
      <c r="D1244" s="45"/>
    </row>
    <row r="1245" spans="2:4" ht="16" thickBot="1" x14ac:dyDescent="0.25">
      <c r="B1245" s="5">
        <v>1240</v>
      </c>
      <c r="C1245" s="5">
        <v>86.384003219136929</v>
      </c>
      <c r="D1245" s="45"/>
    </row>
    <row r="1246" spans="2:4" ht="16" thickBot="1" x14ac:dyDescent="0.25">
      <c r="B1246" s="4">
        <v>1241</v>
      </c>
      <c r="C1246" s="4">
        <v>192.26939630921191</v>
      </c>
      <c r="D1246" s="45"/>
    </row>
    <row r="1247" spans="2:4" ht="16" thickBot="1" x14ac:dyDescent="0.25">
      <c r="B1247" s="5">
        <v>1242</v>
      </c>
      <c r="C1247" s="5">
        <v>139.18314772823811</v>
      </c>
      <c r="D1247" s="45"/>
    </row>
    <row r="1248" spans="2:4" ht="16" thickBot="1" x14ac:dyDescent="0.25">
      <c r="B1248" s="4">
        <v>1243</v>
      </c>
      <c r="C1248" s="4">
        <v>192.68352317967233</v>
      </c>
      <c r="D1248" s="45"/>
    </row>
    <row r="1249" spans="2:4" ht="16" thickBot="1" x14ac:dyDescent="0.25">
      <c r="B1249" s="5">
        <v>1244</v>
      </c>
      <c r="C1249" s="5">
        <v>99.712212888783455</v>
      </c>
      <c r="D1249" s="45"/>
    </row>
    <row r="1250" spans="2:4" ht="16" thickBot="1" x14ac:dyDescent="0.25">
      <c r="B1250" s="4">
        <v>1245</v>
      </c>
      <c r="C1250" s="4">
        <v>218.49098868003821</v>
      </c>
      <c r="D1250" s="45"/>
    </row>
    <row r="1251" spans="2:4" ht="16" thickBot="1" x14ac:dyDescent="0.25">
      <c r="B1251" s="5">
        <v>1246</v>
      </c>
      <c r="C1251" s="5">
        <v>100.31534521880543</v>
      </c>
      <c r="D1251" s="45"/>
    </row>
    <row r="1252" spans="2:4" ht="16" thickBot="1" x14ac:dyDescent="0.25">
      <c r="B1252" s="4">
        <v>1247</v>
      </c>
      <c r="C1252" s="4">
        <v>61.45490746456052</v>
      </c>
      <c r="D1252" s="45"/>
    </row>
    <row r="1253" spans="2:4" ht="16" thickBot="1" x14ac:dyDescent="0.25">
      <c r="B1253" s="5">
        <v>1248</v>
      </c>
      <c r="C1253" s="5">
        <v>39.321754102756756</v>
      </c>
      <c r="D1253" s="45"/>
    </row>
    <row r="1254" spans="2:4" ht="16" thickBot="1" x14ac:dyDescent="0.25">
      <c r="B1254" s="4">
        <v>1249</v>
      </c>
      <c r="C1254" s="4">
        <v>84.26090565230983</v>
      </c>
      <c r="D1254" s="45"/>
    </row>
    <row r="1255" spans="2:4" ht="16" thickBot="1" x14ac:dyDescent="0.25">
      <c r="B1255" s="5">
        <v>1250</v>
      </c>
      <c r="C1255" s="5">
        <v>133.25708755791015</v>
      </c>
      <c r="D1255" s="45"/>
    </row>
    <row r="1256" spans="2:4" ht="16" thickBot="1" x14ac:dyDescent="0.25">
      <c r="B1256" s="4">
        <v>1251</v>
      </c>
      <c r="C1256" s="4">
        <v>302.36777380280705</v>
      </c>
      <c r="D1256" s="45"/>
    </row>
    <row r="1257" spans="2:4" ht="16" thickBot="1" x14ac:dyDescent="0.25">
      <c r="B1257" s="5">
        <v>1252</v>
      </c>
      <c r="C1257" s="5">
        <v>238.7761087015034</v>
      </c>
      <c r="D1257" s="45"/>
    </row>
    <row r="1258" spans="2:4" ht="16" thickBot="1" x14ac:dyDescent="0.25">
      <c r="B1258" s="4">
        <v>1253</v>
      </c>
      <c r="C1258" s="4">
        <v>90.58036462424316</v>
      </c>
      <c r="D1258" s="45"/>
    </row>
    <row r="1259" spans="2:4" ht="16" thickBot="1" x14ac:dyDescent="0.25">
      <c r="B1259" s="5">
        <v>1254</v>
      </c>
      <c r="C1259" s="5">
        <v>175.28968589288451</v>
      </c>
      <c r="D1259" s="45"/>
    </row>
    <row r="1260" spans="2:4" ht="16" thickBot="1" x14ac:dyDescent="0.25">
      <c r="B1260" s="4">
        <v>1255</v>
      </c>
      <c r="C1260" s="4">
        <v>56.869638937511432</v>
      </c>
      <c r="D1260" s="45"/>
    </row>
    <row r="1261" spans="2:4" ht="16" thickBot="1" x14ac:dyDescent="0.25">
      <c r="B1261" s="5">
        <v>1256</v>
      </c>
      <c r="C1261" s="5">
        <v>130.61646885930375</v>
      </c>
      <c r="D1261" s="45"/>
    </row>
    <row r="1262" spans="2:4" ht="16" thickBot="1" x14ac:dyDescent="0.25">
      <c r="B1262" s="4">
        <v>1257</v>
      </c>
      <c r="C1262" s="4">
        <v>194.46844919635336</v>
      </c>
      <c r="D1262" s="45"/>
    </row>
    <row r="1263" spans="2:4" ht="16" thickBot="1" x14ac:dyDescent="0.25">
      <c r="B1263" s="5">
        <v>1258</v>
      </c>
      <c r="C1263" s="5">
        <v>155.08940014973868</v>
      </c>
      <c r="D1263" s="45"/>
    </row>
    <row r="1264" spans="2:4" ht="16" thickBot="1" x14ac:dyDescent="0.25">
      <c r="B1264" s="4">
        <v>1259</v>
      </c>
      <c r="C1264" s="4">
        <v>108.52140243589417</v>
      </c>
      <c r="D1264" s="45"/>
    </row>
    <row r="1265" spans="2:4" ht="16" thickBot="1" x14ac:dyDescent="0.25">
      <c r="B1265" s="5">
        <v>1260</v>
      </c>
      <c r="C1265" s="5">
        <v>195.0423664700659</v>
      </c>
      <c r="D1265" s="45"/>
    </row>
    <row r="1266" spans="2:4" ht="16" thickBot="1" x14ac:dyDescent="0.25">
      <c r="B1266" s="4">
        <v>1261</v>
      </c>
      <c r="C1266" s="4">
        <v>181.27421588491109</v>
      </c>
      <c r="D1266" s="45"/>
    </row>
    <row r="1267" spans="2:4" ht="16" thickBot="1" x14ac:dyDescent="0.25">
      <c r="B1267" s="5">
        <v>1262</v>
      </c>
      <c r="C1267" s="5">
        <v>177.95242911410617</v>
      </c>
      <c r="D1267" s="45"/>
    </row>
    <row r="1268" spans="2:4" ht="16" thickBot="1" x14ac:dyDescent="0.25">
      <c r="B1268" s="4">
        <v>1263</v>
      </c>
      <c r="C1268" s="4">
        <v>117.13179668789661</v>
      </c>
      <c r="D1268" s="45"/>
    </row>
    <row r="1269" spans="2:4" ht="16" thickBot="1" x14ac:dyDescent="0.25">
      <c r="B1269" s="5">
        <v>1264</v>
      </c>
      <c r="C1269" s="5">
        <v>193.75177056897041</v>
      </c>
      <c r="D1269" s="45"/>
    </row>
    <row r="1270" spans="2:4" ht="16" thickBot="1" x14ac:dyDescent="0.25">
      <c r="B1270" s="4">
        <v>1265</v>
      </c>
      <c r="C1270" s="4">
        <v>133.17681984666731</v>
      </c>
      <c r="D1270" s="45"/>
    </row>
    <row r="1271" spans="2:4" ht="16" thickBot="1" x14ac:dyDescent="0.25">
      <c r="B1271" s="5">
        <v>1266</v>
      </c>
      <c r="C1271" s="5">
        <v>97.929461958857047</v>
      </c>
      <c r="D1271" s="45"/>
    </row>
    <row r="1272" spans="2:4" ht="16" thickBot="1" x14ac:dyDescent="0.25">
      <c r="B1272" s="4">
        <v>1267</v>
      </c>
      <c r="C1272" s="4">
        <v>288.94202745584374</v>
      </c>
      <c r="D1272" s="45"/>
    </row>
    <row r="1273" spans="2:4" ht="16" thickBot="1" x14ac:dyDescent="0.25">
      <c r="B1273" s="5">
        <v>1268</v>
      </c>
      <c r="C1273" s="5">
        <v>117.25304318329763</v>
      </c>
      <c r="D1273" s="45"/>
    </row>
    <row r="1274" spans="2:4" ht="16" thickBot="1" x14ac:dyDescent="0.25">
      <c r="B1274" s="4">
        <v>1269</v>
      </c>
      <c r="C1274" s="4">
        <v>77.121235487179788</v>
      </c>
      <c r="D1274" s="45"/>
    </row>
    <row r="1275" spans="2:4" ht="16" thickBot="1" x14ac:dyDescent="0.25">
      <c r="B1275" s="5">
        <v>1270</v>
      </c>
      <c r="C1275" s="5">
        <v>323.76233373407479</v>
      </c>
      <c r="D1275" s="45"/>
    </row>
    <row r="1276" spans="2:4" ht="16" thickBot="1" x14ac:dyDescent="0.25">
      <c r="B1276" s="4">
        <v>1271</v>
      </c>
      <c r="C1276" s="4">
        <v>240.03439828326793</v>
      </c>
      <c r="D1276" s="45"/>
    </row>
    <row r="1277" spans="2:4" ht="16" thickBot="1" x14ac:dyDescent="0.25">
      <c r="B1277" s="5">
        <v>1272</v>
      </c>
      <c r="C1277" s="5">
        <v>127.26300833626314</v>
      </c>
      <c r="D1277" s="45"/>
    </row>
    <row r="1278" spans="2:4" ht="16" thickBot="1" x14ac:dyDescent="0.25">
      <c r="B1278" s="4">
        <v>1273</v>
      </c>
      <c r="C1278" s="4">
        <v>205.81600090560212</v>
      </c>
      <c r="D1278" s="45"/>
    </row>
    <row r="1279" spans="2:4" ht="16" thickBot="1" x14ac:dyDescent="0.25">
      <c r="B1279" s="5">
        <v>1274</v>
      </c>
      <c r="C1279" s="5">
        <v>146.55879216027165</v>
      </c>
      <c r="D1279" s="45"/>
    </row>
    <row r="1280" spans="2:4" ht="16" thickBot="1" x14ac:dyDescent="0.25">
      <c r="B1280" s="4">
        <v>1275</v>
      </c>
      <c r="C1280" s="4">
        <v>235.71775023342164</v>
      </c>
      <c r="D1280" s="45"/>
    </row>
    <row r="1281" spans="2:4" ht="16" thickBot="1" x14ac:dyDescent="0.25">
      <c r="B1281" s="5">
        <v>1276</v>
      </c>
      <c r="C1281" s="5">
        <v>130.86764183096446</v>
      </c>
      <c r="D1281" s="45"/>
    </row>
    <row r="1282" spans="2:4" ht="16" thickBot="1" x14ac:dyDescent="0.25">
      <c r="B1282" s="4">
        <v>1277</v>
      </c>
      <c r="C1282" s="4">
        <v>160.45830335492204</v>
      </c>
      <c r="D1282" s="45"/>
    </row>
    <row r="1283" spans="2:4" ht="16" thickBot="1" x14ac:dyDescent="0.25">
      <c r="B1283" s="5">
        <v>1278</v>
      </c>
      <c r="C1283" s="5">
        <v>187.15455321226577</v>
      </c>
      <c r="D1283" s="45"/>
    </row>
    <row r="1284" spans="2:4" ht="16" thickBot="1" x14ac:dyDescent="0.25">
      <c r="B1284" s="4">
        <v>1279</v>
      </c>
      <c r="C1284" s="4">
        <v>143.95769857585404</v>
      </c>
      <c r="D1284" s="45"/>
    </row>
    <row r="1285" spans="2:4" ht="16" thickBot="1" x14ac:dyDescent="0.25">
      <c r="B1285" s="5">
        <v>1280</v>
      </c>
      <c r="C1285" s="5">
        <v>385.4179101697892</v>
      </c>
      <c r="D1285" s="45"/>
    </row>
    <row r="1286" spans="2:4" ht="16" thickBot="1" x14ac:dyDescent="0.25">
      <c r="B1286" s="4">
        <v>1281</v>
      </c>
      <c r="C1286" s="4">
        <v>78.687237492671869</v>
      </c>
      <c r="D1286" s="45"/>
    </row>
    <row r="1287" spans="2:4" ht="16" thickBot="1" x14ac:dyDescent="0.25">
      <c r="B1287" s="5">
        <v>1282</v>
      </c>
      <c r="C1287" s="5">
        <v>267.91811823662624</v>
      </c>
      <c r="D1287" s="45"/>
    </row>
    <row r="1288" spans="2:4" ht="16" thickBot="1" x14ac:dyDescent="0.25">
      <c r="B1288" s="4">
        <v>1283</v>
      </c>
      <c r="C1288" s="4">
        <v>206.79529625831466</v>
      </c>
      <c r="D1288" s="45"/>
    </row>
    <row r="1289" spans="2:4" ht="16" thickBot="1" x14ac:dyDescent="0.25">
      <c r="B1289" s="5">
        <v>1284</v>
      </c>
      <c r="C1289" s="5">
        <v>113.80954664362453</v>
      </c>
      <c r="D1289" s="45"/>
    </row>
    <row r="1290" spans="2:4" ht="16" thickBot="1" x14ac:dyDescent="0.25">
      <c r="B1290" s="4">
        <v>1285</v>
      </c>
      <c r="C1290" s="4">
        <v>102.90501881831504</v>
      </c>
      <c r="D1290" s="45"/>
    </row>
    <row r="1291" spans="2:4" ht="16" thickBot="1" x14ac:dyDescent="0.25">
      <c r="B1291" s="5">
        <v>1286</v>
      </c>
      <c r="C1291" s="5">
        <v>107.11233506828826</v>
      </c>
      <c r="D1291" s="45"/>
    </row>
    <row r="1292" spans="2:4" ht="16" thickBot="1" x14ac:dyDescent="0.25">
      <c r="B1292" s="4">
        <v>1287</v>
      </c>
      <c r="C1292" s="4">
        <v>219.19132772952065</v>
      </c>
      <c r="D1292" s="45"/>
    </row>
    <row r="1293" spans="2:4" ht="16" thickBot="1" x14ac:dyDescent="0.25">
      <c r="B1293" s="5">
        <v>1288</v>
      </c>
      <c r="C1293" s="5">
        <v>119.02725049577072</v>
      </c>
      <c r="D1293" s="45"/>
    </row>
    <row r="1294" spans="2:4" ht="16" thickBot="1" x14ac:dyDescent="0.25">
      <c r="B1294" s="4">
        <v>1289</v>
      </c>
      <c r="C1294" s="4">
        <v>134.82750151280308</v>
      </c>
      <c r="D1294" s="45"/>
    </row>
    <row r="1295" spans="2:4" ht="16" thickBot="1" x14ac:dyDescent="0.25">
      <c r="B1295" s="5">
        <v>1290</v>
      </c>
      <c r="C1295" s="5">
        <v>85.381167596442211</v>
      </c>
      <c r="D1295" s="45"/>
    </row>
    <row r="1296" spans="2:4" ht="16" thickBot="1" x14ac:dyDescent="0.25">
      <c r="B1296" s="4">
        <v>1291</v>
      </c>
      <c r="C1296" s="4">
        <v>90.760100770710352</v>
      </c>
      <c r="D1296" s="45"/>
    </row>
    <row r="1297" spans="2:4" ht="16" thickBot="1" x14ac:dyDescent="0.25">
      <c r="B1297" s="5">
        <v>1292</v>
      </c>
      <c r="C1297" s="5">
        <v>166.97988838342127</v>
      </c>
      <c r="D1297" s="45"/>
    </row>
    <row r="1298" spans="2:4" ht="16" thickBot="1" x14ac:dyDescent="0.25">
      <c r="B1298" s="4">
        <v>1293</v>
      </c>
      <c r="C1298" s="4">
        <v>75.419753259957801</v>
      </c>
      <c r="D1298" s="45"/>
    </row>
    <row r="1299" spans="2:4" ht="16" thickBot="1" x14ac:dyDescent="0.25">
      <c r="B1299" s="5">
        <v>1294</v>
      </c>
      <c r="C1299" s="5">
        <v>188.88566517423135</v>
      </c>
      <c r="D1299" s="45"/>
    </row>
    <row r="1300" spans="2:4" ht="16" thickBot="1" x14ac:dyDescent="0.25">
      <c r="B1300" s="4">
        <v>1295</v>
      </c>
      <c r="C1300" s="4">
        <v>115.41562288252179</v>
      </c>
      <c r="D1300" s="45"/>
    </row>
    <row r="1301" spans="2:4" ht="16" thickBot="1" x14ac:dyDescent="0.25">
      <c r="B1301" s="5">
        <v>1296</v>
      </c>
      <c r="C1301" s="5">
        <v>50.059558942564372</v>
      </c>
      <c r="D1301" s="45"/>
    </row>
    <row r="1302" spans="2:4" ht="16" thickBot="1" x14ac:dyDescent="0.25">
      <c r="B1302" s="4">
        <v>1297</v>
      </c>
      <c r="C1302" s="4">
        <v>179.96132280382164</v>
      </c>
      <c r="D1302" s="45"/>
    </row>
    <row r="1303" spans="2:4" ht="16" thickBot="1" x14ac:dyDescent="0.25">
      <c r="B1303" s="5">
        <v>1298</v>
      </c>
      <c r="C1303" s="5">
        <v>201.03328951972267</v>
      </c>
      <c r="D1303" s="45"/>
    </row>
    <row r="1304" spans="2:4" ht="16" thickBot="1" x14ac:dyDescent="0.25">
      <c r="B1304" s="4">
        <v>1299</v>
      </c>
      <c r="C1304" s="4">
        <v>140.3716264998944</v>
      </c>
      <c r="D1304" s="45"/>
    </row>
    <row r="1305" spans="2:4" ht="16" thickBot="1" x14ac:dyDescent="0.25">
      <c r="B1305" s="5">
        <v>1300</v>
      </c>
      <c r="C1305" s="5">
        <v>217.9051289489195</v>
      </c>
      <c r="D1305" s="45"/>
    </row>
    <row r="1306" spans="2:4" ht="16" thickBot="1" x14ac:dyDescent="0.25">
      <c r="B1306" s="4">
        <v>1301</v>
      </c>
      <c r="C1306" s="4">
        <v>152.50493349828747</v>
      </c>
      <c r="D1306" s="45"/>
    </row>
    <row r="1307" spans="2:4" ht="16" thickBot="1" x14ac:dyDescent="0.25">
      <c r="B1307" s="5">
        <v>1302</v>
      </c>
      <c r="C1307" s="5">
        <v>106.04406402529601</v>
      </c>
      <c r="D1307" s="45"/>
    </row>
    <row r="1308" spans="2:4" ht="16" thickBot="1" x14ac:dyDescent="0.25">
      <c r="B1308" s="4">
        <v>1303</v>
      </c>
      <c r="C1308" s="4">
        <v>128.54798053284102</v>
      </c>
      <c r="D1308" s="45"/>
    </row>
    <row r="1309" spans="2:4" ht="16" thickBot="1" x14ac:dyDescent="0.25">
      <c r="B1309" s="5">
        <v>1304</v>
      </c>
      <c r="C1309" s="5">
        <v>88.207985709824513</v>
      </c>
      <c r="D1309" s="45"/>
    </row>
    <row r="1310" spans="2:4" ht="16" thickBot="1" x14ac:dyDescent="0.25">
      <c r="B1310" s="4">
        <v>1305</v>
      </c>
      <c r="C1310" s="4">
        <v>150.97098662560484</v>
      </c>
      <c r="D1310" s="45"/>
    </row>
    <row r="1311" spans="2:4" ht="16" thickBot="1" x14ac:dyDescent="0.25">
      <c r="B1311" s="5">
        <v>1306</v>
      </c>
      <c r="C1311" s="5">
        <v>233.68703833942146</v>
      </c>
      <c r="D1311" s="45"/>
    </row>
    <row r="1312" spans="2:4" ht="16" thickBot="1" x14ac:dyDescent="0.25">
      <c r="B1312" s="4">
        <v>1307</v>
      </c>
      <c r="C1312" s="4">
        <v>242.15322107089145</v>
      </c>
      <c r="D1312" s="45"/>
    </row>
    <row r="1313" spans="2:4" ht="16" thickBot="1" x14ac:dyDescent="0.25">
      <c r="B1313" s="5">
        <v>1308</v>
      </c>
      <c r="C1313" s="5">
        <v>172.3424581983011</v>
      </c>
      <c r="D1313" s="45"/>
    </row>
    <row r="1314" spans="2:4" ht="16" thickBot="1" x14ac:dyDescent="0.25">
      <c r="B1314" s="4">
        <v>1309</v>
      </c>
      <c r="C1314" s="4">
        <v>380.40198121200308</v>
      </c>
      <c r="D1314" s="45"/>
    </row>
    <row r="1315" spans="2:4" ht="16" thickBot="1" x14ac:dyDescent="0.25">
      <c r="B1315" s="5">
        <v>1310</v>
      </c>
      <c r="C1315" s="5">
        <v>120.43934299191142</v>
      </c>
      <c r="D1315" s="45"/>
    </row>
    <row r="1316" spans="2:4" ht="16" thickBot="1" x14ac:dyDescent="0.25">
      <c r="B1316" s="4">
        <v>1311</v>
      </c>
      <c r="C1316" s="4">
        <v>307.47391616865536</v>
      </c>
      <c r="D1316" s="45"/>
    </row>
    <row r="1317" spans="2:4" ht="16" thickBot="1" x14ac:dyDescent="0.25">
      <c r="B1317" s="5">
        <v>1312</v>
      </c>
      <c r="C1317" s="5">
        <v>217.8522291296554</v>
      </c>
      <c r="D1317" s="45"/>
    </row>
    <row r="1318" spans="2:4" ht="16" thickBot="1" x14ac:dyDescent="0.25">
      <c r="B1318" s="4">
        <v>1313</v>
      </c>
      <c r="C1318" s="4">
        <v>123.74895164471107</v>
      </c>
      <c r="D1318" s="45"/>
    </row>
    <row r="1319" spans="2:4" ht="16" thickBot="1" x14ac:dyDescent="0.25">
      <c r="B1319" s="5">
        <v>1314</v>
      </c>
      <c r="C1319" s="5">
        <v>505.10428296230651</v>
      </c>
      <c r="D1319" s="45"/>
    </row>
    <row r="1320" spans="2:4" ht="16" thickBot="1" x14ac:dyDescent="0.25">
      <c r="B1320" s="4">
        <v>1315</v>
      </c>
      <c r="C1320" s="4">
        <v>128.72632806641371</v>
      </c>
      <c r="D1320" s="45"/>
    </row>
    <row r="1321" spans="2:4" ht="16" thickBot="1" x14ac:dyDescent="0.25">
      <c r="B1321" s="5">
        <v>1316</v>
      </c>
      <c r="C1321" s="5">
        <v>166.67894503063627</v>
      </c>
      <c r="D1321" s="45"/>
    </row>
    <row r="1322" spans="2:4" ht="16" thickBot="1" x14ac:dyDescent="0.25">
      <c r="B1322" s="4">
        <v>1317</v>
      </c>
      <c r="C1322" s="4">
        <v>84.368017301265084</v>
      </c>
      <c r="D1322" s="45"/>
    </row>
    <row r="1323" spans="2:4" ht="16" thickBot="1" x14ac:dyDescent="0.25">
      <c r="B1323" s="5">
        <v>1318</v>
      </c>
      <c r="C1323" s="5">
        <v>91.577537280703879</v>
      </c>
      <c r="D1323" s="45"/>
    </row>
    <row r="1324" spans="2:4" ht="16" thickBot="1" x14ac:dyDescent="0.25">
      <c r="B1324" s="4">
        <v>1319</v>
      </c>
      <c r="C1324" s="4">
        <v>64.742232252635446</v>
      </c>
      <c r="D1324" s="45"/>
    </row>
    <row r="1325" spans="2:4" ht="16" thickBot="1" x14ac:dyDescent="0.25">
      <c r="B1325" s="5">
        <v>1320</v>
      </c>
      <c r="C1325" s="5">
        <v>64.791799284545505</v>
      </c>
      <c r="D1325" s="45"/>
    </row>
    <row r="1326" spans="2:4" ht="16" thickBot="1" x14ac:dyDescent="0.25">
      <c r="B1326" s="4">
        <v>1321</v>
      </c>
      <c r="C1326" s="4">
        <v>101.57383714917513</v>
      </c>
      <c r="D1326" s="45"/>
    </row>
    <row r="1327" spans="2:4" ht="16" thickBot="1" x14ac:dyDescent="0.25">
      <c r="B1327" s="5">
        <v>1322</v>
      </c>
      <c r="C1327" s="5">
        <v>128.66024195178852</v>
      </c>
      <c r="D1327" s="45"/>
    </row>
    <row r="1328" spans="2:4" ht="16" thickBot="1" x14ac:dyDescent="0.25">
      <c r="B1328" s="4">
        <v>1323</v>
      </c>
      <c r="C1328" s="4">
        <v>285.55547991121824</v>
      </c>
      <c r="D1328" s="45"/>
    </row>
    <row r="1329" spans="2:4" ht="16" thickBot="1" x14ac:dyDescent="0.25">
      <c r="B1329" s="5">
        <v>1324</v>
      </c>
      <c r="C1329" s="5">
        <v>138.79535715800026</v>
      </c>
      <c r="D1329" s="45"/>
    </row>
    <row r="1330" spans="2:4" ht="16" thickBot="1" x14ac:dyDescent="0.25">
      <c r="B1330" s="4">
        <v>1325</v>
      </c>
      <c r="C1330" s="4">
        <v>182.60685789588737</v>
      </c>
      <c r="D1330" s="45"/>
    </row>
    <row r="1331" spans="2:4" ht="16" thickBot="1" x14ac:dyDescent="0.25">
      <c r="B1331" s="5">
        <v>1326</v>
      </c>
      <c r="C1331" s="5">
        <v>134.98074186861373</v>
      </c>
      <c r="D1331" s="45"/>
    </row>
    <row r="1332" spans="2:4" ht="16" thickBot="1" x14ac:dyDescent="0.25">
      <c r="B1332" s="4">
        <v>1327</v>
      </c>
      <c r="C1332" s="4">
        <v>134.05107964365931</v>
      </c>
      <c r="D1332" s="45"/>
    </row>
    <row r="1333" spans="2:4" ht="16" thickBot="1" x14ac:dyDescent="0.25">
      <c r="B1333" s="5">
        <v>1328</v>
      </c>
      <c r="C1333" s="5">
        <v>114.87164860808414</v>
      </c>
      <c r="D1333" s="45"/>
    </row>
    <row r="1334" spans="2:4" ht="16" thickBot="1" x14ac:dyDescent="0.25">
      <c r="B1334" s="4">
        <v>1329</v>
      </c>
      <c r="C1334" s="4">
        <v>153.65831444371841</v>
      </c>
      <c r="D1334" s="45"/>
    </row>
    <row r="1335" spans="2:4" ht="16" thickBot="1" x14ac:dyDescent="0.25">
      <c r="B1335" s="5">
        <v>1330</v>
      </c>
      <c r="C1335" s="5">
        <v>131.94623693985864</v>
      </c>
      <c r="D1335" s="45"/>
    </row>
    <row r="1336" spans="2:4" ht="16" thickBot="1" x14ac:dyDescent="0.25">
      <c r="B1336" s="4">
        <v>1331</v>
      </c>
      <c r="C1336" s="4">
        <v>127.20703811239274</v>
      </c>
      <c r="D1336" s="45"/>
    </row>
    <row r="1337" spans="2:4" ht="16" thickBot="1" x14ac:dyDescent="0.25">
      <c r="B1337" s="5">
        <v>1332</v>
      </c>
      <c r="C1337" s="5">
        <v>169.38961931243693</v>
      </c>
      <c r="D1337" s="45"/>
    </row>
    <row r="1338" spans="2:4" ht="16" thickBot="1" x14ac:dyDescent="0.25">
      <c r="B1338" s="4">
        <v>1333</v>
      </c>
      <c r="C1338" s="4">
        <v>189.02971123992182</v>
      </c>
      <c r="D1338" s="45"/>
    </row>
    <row r="1339" spans="2:4" ht="16" thickBot="1" x14ac:dyDescent="0.25">
      <c r="B1339" s="5">
        <v>1334</v>
      </c>
      <c r="C1339" s="5">
        <v>137.22112435693094</v>
      </c>
      <c r="D1339" s="45"/>
    </row>
    <row r="1340" spans="2:4" ht="16" thickBot="1" x14ac:dyDescent="0.25">
      <c r="B1340" s="4">
        <v>1335</v>
      </c>
      <c r="C1340" s="4">
        <v>99.744965931692562</v>
      </c>
      <c r="D1340" s="45"/>
    </row>
    <row r="1341" spans="2:4" ht="16" thickBot="1" x14ac:dyDescent="0.25">
      <c r="B1341" s="5">
        <v>1336</v>
      </c>
      <c r="C1341" s="5">
        <v>45.734779051894812</v>
      </c>
      <c r="D1341" s="45"/>
    </row>
    <row r="1342" spans="2:4" ht="16" thickBot="1" x14ac:dyDescent="0.25">
      <c r="B1342" s="4">
        <v>1337</v>
      </c>
      <c r="C1342" s="4">
        <v>71.131711173658971</v>
      </c>
      <c r="D1342" s="45"/>
    </row>
    <row r="1343" spans="2:4" ht="16" thickBot="1" x14ac:dyDescent="0.25">
      <c r="B1343" s="5">
        <v>1338</v>
      </c>
      <c r="C1343" s="5">
        <v>125.30129279953141</v>
      </c>
      <c r="D1343" s="45"/>
    </row>
    <row r="1344" spans="2:4" ht="16" thickBot="1" x14ac:dyDescent="0.25">
      <c r="B1344" s="4">
        <v>1339</v>
      </c>
      <c r="C1344" s="4">
        <v>105.44495414766064</v>
      </c>
      <c r="D1344" s="45"/>
    </row>
    <row r="1345" spans="2:4" ht="16" thickBot="1" x14ac:dyDescent="0.25">
      <c r="B1345" s="5">
        <v>1340</v>
      </c>
      <c r="C1345" s="5">
        <v>73.86798930281833</v>
      </c>
      <c r="D1345" s="45"/>
    </row>
    <row r="1346" spans="2:4" ht="16" thickBot="1" x14ac:dyDescent="0.25">
      <c r="B1346" s="4">
        <v>1341</v>
      </c>
      <c r="C1346" s="4">
        <v>107.18609966972286</v>
      </c>
      <c r="D1346" s="45"/>
    </row>
    <row r="1347" spans="2:4" ht="16" thickBot="1" x14ac:dyDescent="0.25">
      <c r="B1347" s="5">
        <v>1342</v>
      </c>
      <c r="C1347" s="5">
        <v>276.40534381105505</v>
      </c>
      <c r="D1347" s="45"/>
    </row>
    <row r="1348" spans="2:4" ht="16" thickBot="1" x14ac:dyDescent="0.25">
      <c r="B1348" s="4">
        <v>1343</v>
      </c>
      <c r="C1348" s="4">
        <v>129.16541272734375</v>
      </c>
      <c r="D1348" s="45"/>
    </row>
    <row r="1349" spans="2:4" ht="16" thickBot="1" x14ac:dyDescent="0.25">
      <c r="B1349" s="5">
        <v>1344</v>
      </c>
      <c r="C1349" s="5">
        <v>120.61002245595765</v>
      </c>
      <c r="D1349" s="45"/>
    </row>
    <row r="1350" spans="2:4" ht="16" thickBot="1" x14ac:dyDescent="0.25">
      <c r="B1350" s="4">
        <v>1345</v>
      </c>
      <c r="C1350" s="4">
        <v>286.88456068449307</v>
      </c>
      <c r="D1350" s="45"/>
    </row>
    <row r="1351" spans="2:4" ht="16" thickBot="1" x14ac:dyDescent="0.25">
      <c r="B1351" s="5">
        <v>1346</v>
      </c>
      <c r="C1351" s="5">
        <v>120.01622517333207</v>
      </c>
      <c r="D1351" s="45"/>
    </row>
    <row r="1352" spans="2:4" ht="16" thickBot="1" x14ac:dyDescent="0.25">
      <c r="B1352" s="4">
        <v>1347</v>
      </c>
      <c r="C1352" s="4">
        <v>290.98350495359597</v>
      </c>
      <c r="D1352" s="45"/>
    </row>
    <row r="1353" spans="2:4" ht="16" thickBot="1" x14ac:dyDescent="0.25">
      <c r="B1353" s="5">
        <v>1348</v>
      </c>
      <c r="C1353" s="5">
        <v>213.27051950241216</v>
      </c>
      <c r="D1353" s="45"/>
    </row>
    <row r="1354" spans="2:4" ht="16" thickBot="1" x14ac:dyDescent="0.25">
      <c r="B1354" s="4">
        <v>1349</v>
      </c>
      <c r="C1354" s="4">
        <v>640.8321859689861</v>
      </c>
      <c r="D1354" s="45"/>
    </row>
    <row r="1355" spans="2:4" ht="16" thickBot="1" x14ac:dyDescent="0.25">
      <c r="B1355" s="5">
        <v>1350</v>
      </c>
      <c r="C1355" s="5">
        <v>134.12553827965502</v>
      </c>
      <c r="D1355" s="45"/>
    </row>
    <row r="1356" spans="2:4" ht="16" thickBot="1" x14ac:dyDescent="0.25">
      <c r="B1356" s="4">
        <v>1351</v>
      </c>
      <c r="C1356" s="4">
        <v>101.40450090671065</v>
      </c>
      <c r="D1356" s="45"/>
    </row>
    <row r="1357" spans="2:4" ht="16" thickBot="1" x14ac:dyDescent="0.25">
      <c r="B1357" s="5">
        <v>1352</v>
      </c>
      <c r="C1357" s="5">
        <v>78.66721816711464</v>
      </c>
      <c r="D1357" s="45"/>
    </row>
    <row r="1358" spans="2:4" ht="16" thickBot="1" x14ac:dyDescent="0.25">
      <c r="B1358" s="4">
        <v>1353</v>
      </c>
      <c r="C1358" s="4">
        <v>96.54680163723458</v>
      </c>
      <c r="D1358" s="45"/>
    </row>
    <row r="1359" spans="2:4" ht="16" thickBot="1" x14ac:dyDescent="0.25">
      <c r="B1359" s="5">
        <v>1354</v>
      </c>
      <c r="C1359" s="5">
        <v>154.52076332755126</v>
      </c>
      <c r="D1359" s="45"/>
    </row>
    <row r="1360" spans="2:4" ht="16" thickBot="1" x14ac:dyDescent="0.25">
      <c r="B1360" s="4">
        <v>1355</v>
      </c>
      <c r="C1360" s="4">
        <v>67.340473341811816</v>
      </c>
      <c r="D1360" s="45"/>
    </row>
    <row r="1361" spans="2:4" ht="16" thickBot="1" x14ac:dyDescent="0.25">
      <c r="B1361" s="5">
        <v>1356</v>
      </c>
      <c r="C1361" s="5">
        <v>115.85059409438153</v>
      </c>
      <c r="D1361" s="45"/>
    </row>
    <row r="1362" spans="2:4" ht="16" thickBot="1" x14ac:dyDescent="0.25">
      <c r="B1362" s="4">
        <v>1357</v>
      </c>
      <c r="C1362" s="4">
        <v>195.78025583221617</v>
      </c>
      <c r="D1362" s="45"/>
    </row>
    <row r="1363" spans="2:4" ht="16" thickBot="1" x14ac:dyDescent="0.25">
      <c r="B1363" s="5">
        <v>1358</v>
      </c>
      <c r="C1363" s="5">
        <v>116.06942401427993</v>
      </c>
      <c r="D1363" s="45"/>
    </row>
    <row r="1364" spans="2:4" ht="16" thickBot="1" x14ac:dyDescent="0.25">
      <c r="B1364" s="4">
        <v>1359</v>
      </c>
      <c r="C1364" s="4">
        <v>216.73285704247832</v>
      </c>
      <c r="D1364" s="45"/>
    </row>
    <row r="1365" spans="2:4" ht="16" thickBot="1" x14ac:dyDescent="0.25">
      <c r="B1365" s="5">
        <v>1360</v>
      </c>
      <c r="C1365" s="5">
        <v>197.83817337127573</v>
      </c>
      <c r="D1365" s="45"/>
    </row>
    <row r="1366" spans="2:4" ht="16" thickBot="1" x14ac:dyDescent="0.25">
      <c r="B1366" s="4">
        <v>1361</v>
      </c>
      <c r="C1366" s="4">
        <v>297.53887836263982</v>
      </c>
      <c r="D1366" s="45"/>
    </row>
    <row r="1367" spans="2:4" ht="16" thickBot="1" x14ac:dyDescent="0.25">
      <c r="B1367" s="5">
        <v>1362</v>
      </c>
      <c r="C1367" s="5">
        <v>38.148046890124014</v>
      </c>
      <c r="D1367" s="45"/>
    </row>
    <row r="1368" spans="2:4" ht="16" thickBot="1" x14ac:dyDescent="0.25">
      <c r="B1368" s="4">
        <v>1363</v>
      </c>
      <c r="C1368" s="4">
        <v>124.09108522922999</v>
      </c>
      <c r="D1368" s="45"/>
    </row>
    <row r="1369" spans="2:4" ht="16" thickBot="1" x14ac:dyDescent="0.25">
      <c r="B1369" s="5">
        <v>1364</v>
      </c>
      <c r="C1369" s="5">
        <v>123.76543103423896</v>
      </c>
      <c r="D1369" s="45"/>
    </row>
    <row r="1370" spans="2:4" ht="16" thickBot="1" x14ac:dyDescent="0.25">
      <c r="B1370" s="4">
        <v>1365</v>
      </c>
      <c r="C1370" s="4">
        <v>137.17319736712864</v>
      </c>
      <c r="D1370" s="45"/>
    </row>
    <row r="1371" spans="2:4" ht="16" thickBot="1" x14ac:dyDescent="0.25">
      <c r="B1371" s="5">
        <v>1366</v>
      </c>
      <c r="C1371" s="5">
        <v>89.931013873271993</v>
      </c>
      <c r="D1371" s="45"/>
    </row>
    <row r="1372" spans="2:4" ht="16" thickBot="1" x14ac:dyDescent="0.25">
      <c r="B1372" s="4">
        <v>1367</v>
      </c>
      <c r="C1372" s="4">
        <v>130.14184430799602</v>
      </c>
      <c r="D1372" s="45"/>
    </row>
    <row r="1373" spans="2:4" ht="16" thickBot="1" x14ac:dyDescent="0.25">
      <c r="B1373" s="5">
        <v>1368</v>
      </c>
      <c r="C1373" s="5">
        <v>142.76018703765368</v>
      </c>
      <c r="D1373" s="45"/>
    </row>
    <row r="1374" spans="2:4" ht="16" thickBot="1" x14ac:dyDescent="0.25">
      <c r="B1374" s="4">
        <v>1369</v>
      </c>
      <c r="C1374" s="4">
        <v>117.93225323500135</v>
      </c>
      <c r="D1374" s="45"/>
    </row>
    <row r="1375" spans="2:4" ht="16" thickBot="1" x14ac:dyDescent="0.25">
      <c r="B1375" s="5">
        <v>1370</v>
      </c>
      <c r="C1375" s="5">
        <v>173.16638847776076</v>
      </c>
      <c r="D1375" s="45"/>
    </row>
    <row r="1376" spans="2:4" ht="16" thickBot="1" x14ac:dyDescent="0.25">
      <c r="B1376" s="4">
        <v>1371</v>
      </c>
      <c r="C1376" s="4">
        <v>227.58874440290305</v>
      </c>
      <c r="D1376" s="45"/>
    </row>
    <row r="1377" spans="2:4" ht="16" thickBot="1" x14ac:dyDescent="0.25">
      <c r="B1377" s="5">
        <v>1372</v>
      </c>
      <c r="C1377" s="5">
        <v>196.04922859216168</v>
      </c>
      <c r="D1377" s="45"/>
    </row>
    <row r="1378" spans="2:4" ht="16" thickBot="1" x14ac:dyDescent="0.25">
      <c r="B1378" s="4">
        <v>1373</v>
      </c>
      <c r="C1378" s="4">
        <v>117.46142751549178</v>
      </c>
      <c r="D1378" s="45"/>
    </row>
    <row r="1379" spans="2:4" ht="16" thickBot="1" x14ac:dyDescent="0.25">
      <c r="B1379" s="5">
        <v>1374</v>
      </c>
      <c r="C1379" s="5">
        <v>281.77293525268067</v>
      </c>
      <c r="D1379" s="45"/>
    </row>
    <row r="1380" spans="2:4" ht="16" thickBot="1" x14ac:dyDescent="0.25">
      <c r="B1380" s="4">
        <v>1375</v>
      </c>
      <c r="C1380" s="4">
        <v>188.95668922461556</v>
      </c>
      <c r="D1380" s="45"/>
    </row>
    <row r="1381" spans="2:4" ht="16" thickBot="1" x14ac:dyDescent="0.25">
      <c r="B1381" s="5">
        <v>1376</v>
      </c>
      <c r="C1381" s="5">
        <v>166.83518822184806</v>
      </c>
      <c r="D1381" s="45"/>
    </row>
    <row r="1382" spans="2:4" ht="16" thickBot="1" x14ac:dyDescent="0.25">
      <c r="B1382" s="4">
        <v>1377</v>
      </c>
      <c r="C1382" s="4">
        <v>99.899902662822115</v>
      </c>
      <c r="D1382" s="45"/>
    </row>
    <row r="1383" spans="2:4" ht="16" thickBot="1" x14ac:dyDescent="0.25">
      <c r="B1383" s="5">
        <v>1378</v>
      </c>
      <c r="C1383" s="5">
        <v>167.69946167015149</v>
      </c>
      <c r="D1383" s="45"/>
    </row>
    <row r="1384" spans="2:4" ht="16" thickBot="1" x14ac:dyDescent="0.25">
      <c r="B1384" s="4">
        <v>1379</v>
      </c>
      <c r="C1384" s="4">
        <v>116.30438251299013</v>
      </c>
      <c r="D1384" s="45"/>
    </row>
    <row r="1385" spans="2:4" ht="16" thickBot="1" x14ac:dyDescent="0.25">
      <c r="B1385" s="5">
        <v>1380</v>
      </c>
      <c r="C1385" s="5">
        <v>71.991974273928122</v>
      </c>
      <c r="D1385" s="45"/>
    </row>
    <row r="1386" spans="2:4" ht="16" thickBot="1" x14ac:dyDescent="0.25">
      <c r="B1386" s="4">
        <v>1381</v>
      </c>
      <c r="C1386" s="4">
        <v>64.99063410204846</v>
      </c>
      <c r="D1386" s="45"/>
    </row>
    <row r="1387" spans="2:4" ht="16" thickBot="1" x14ac:dyDescent="0.25">
      <c r="B1387" s="5">
        <v>1382</v>
      </c>
      <c r="C1387" s="5">
        <v>121.33577950974176</v>
      </c>
      <c r="D1387" s="45"/>
    </row>
    <row r="1388" spans="2:4" ht="16" thickBot="1" x14ac:dyDescent="0.25">
      <c r="B1388" s="4">
        <v>1383</v>
      </c>
      <c r="C1388" s="4">
        <v>69.828447851894438</v>
      </c>
      <c r="D1388" s="45"/>
    </row>
    <row r="1389" spans="2:4" ht="16" thickBot="1" x14ac:dyDescent="0.25">
      <c r="B1389" s="5">
        <v>1384</v>
      </c>
      <c r="C1389" s="5">
        <v>105.40603868307282</v>
      </c>
      <c r="D1389" s="45"/>
    </row>
    <row r="1390" spans="2:4" ht="16" thickBot="1" x14ac:dyDescent="0.25">
      <c r="B1390" s="4">
        <v>1385</v>
      </c>
      <c r="C1390" s="4">
        <v>269.96238105961407</v>
      </c>
      <c r="D1390" s="45"/>
    </row>
    <row r="1391" spans="2:4" ht="16" thickBot="1" x14ac:dyDescent="0.25">
      <c r="B1391" s="5">
        <v>1386</v>
      </c>
      <c r="C1391" s="5">
        <v>478.22961107218026</v>
      </c>
      <c r="D1391" s="45"/>
    </row>
    <row r="1392" spans="2:4" ht="16" thickBot="1" x14ac:dyDescent="0.25">
      <c r="B1392" s="4">
        <v>1387</v>
      </c>
      <c r="C1392" s="4">
        <v>132.86075317280188</v>
      </c>
      <c r="D1392" s="45"/>
    </row>
    <row r="1393" spans="2:4" ht="16" thickBot="1" x14ac:dyDescent="0.25">
      <c r="B1393" s="5">
        <v>1388</v>
      </c>
      <c r="C1393" s="5">
        <v>229.23468426323271</v>
      </c>
      <c r="D1393" s="45"/>
    </row>
    <row r="1394" spans="2:4" ht="16" thickBot="1" x14ac:dyDescent="0.25">
      <c r="B1394" s="4">
        <v>1389</v>
      </c>
      <c r="C1394" s="4">
        <v>481.16530987803213</v>
      </c>
      <c r="D1394" s="45"/>
    </row>
    <row r="1395" spans="2:4" ht="16" thickBot="1" x14ac:dyDescent="0.25">
      <c r="B1395" s="5">
        <v>1390</v>
      </c>
      <c r="C1395" s="5">
        <v>359.98803673456706</v>
      </c>
      <c r="D1395" s="45"/>
    </row>
    <row r="1396" spans="2:4" ht="16" thickBot="1" x14ac:dyDescent="0.25">
      <c r="B1396" s="4">
        <v>1391</v>
      </c>
      <c r="C1396" s="4">
        <v>187.6641972092923</v>
      </c>
      <c r="D1396" s="45"/>
    </row>
    <row r="1397" spans="2:4" ht="16" thickBot="1" x14ac:dyDescent="0.25">
      <c r="B1397" s="5">
        <v>1392</v>
      </c>
      <c r="C1397" s="5">
        <v>307.4572834496106</v>
      </c>
      <c r="D1397" s="45"/>
    </row>
    <row r="1398" spans="2:4" ht="16" thickBot="1" x14ac:dyDescent="0.25">
      <c r="B1398" s="4">
        <v>1393</v>
      </c>
      <c r="C1398" s="4">
        <v>230.32722358655488</v>
      </c>
      <c r="D1398" s="45"/>
    </row>
    <row r="1399" spans="2:4" ht="16" thickBot="1" x14ac:dyDescent="0.25">
      <c r="B1399" s="5">
        <v>1394</v>
      </c>
      <c r="C1399" s="5">
        <v>47.941440520294428</v>
      </c>
      <c r="D1399" s="45"/>
    </row>
    <row r="1400" spans="2:4" ht="16" thickBot="1" x14ac:dyDescent="0.25">
      <c r="B1400" s="4">
        <v>1395</v>
      </c>
      <c r="C1400" s="4">
        <v>167.34536980783813</v>
      </c>
      <c r="D1400" s="45"/>
    </row>
    <row r="1401" spans="2:4" ht="16" thickBot="1" x14ac:dyDescent="0.25">
      <c r="B1401" s="5">
        <v>1396</v>
      </c>
      <c r="C1401" s="5">
        <v>46.535628593414579</v>
      </c>
      <c r="D1401" s="45"/>
    </row>
    <row r="1402" spans="2:4" ht="16" thickBot="1" x14ac:dyDescent="0.25">
      <c r="B1402" s="4">
        <v>1397</v>
      </c>
      <c r="C1402" s="4">
        <v>302.34574519637181</v>
      </c>
      <c r="D1402" s="45"/>
    </row>
    <row r="1403" spans="2:4" ht="16" thickBot="1" x14ac:dyDescent="0.25">
      <c r="B1403" s="5">
        <v>1398</v>
      </c>
      <c r="C1403" s="5">
        <v>64.235852301662945</v>
      </c>
      <c r="D1403" s="45"/>
    </row>
    <row r="1404" spans="2:4" ht="16" thickBot="1" x14ac:dyDescent="0.25">
      <c r="B1404" s="4">
        <v>1399</v>
      </c>
      <c r="C1404" s="4">
        <v>296.4597437929458</v>
      </c>
      <c r="D1404" s="45"/>
    </row>
    <row r="1405" spans="2:4" ht="16" thickBot="1" x14ac:dyDescent="0.25">
      <c r="B1405" s="5">
        <v>1400</v>
      </c>
      <c r="C1405" s="5">
        <v>181.83069749692353</v>
      </c>
      <c r="D1405" s="45"/>
    </row>
    <row r="1406" spans="2:4" ht="16" thickBot="1" x14ac:dyDescent="0.25">
      <c r="B1406" s="4">
        <v>1401</v>
      </c>
      <c r="C1406" s="4">
        <v>300.35194179918892</v>
      </c>
      <c r="D1406" s="45"/>
    </row>
    <row r="1407" spans="2:4" ht="16" thickBot="1" x14ac:dyDescent="0.25">
      <c r="B1407" s="5">
        <v>1402</v>
      </c>
      <c r="C1407" s="5">
        <v>195.51080563999423</v>
      </c>
      <c r="D1407" s="45"/>
    </row>
    <row r="1408" spans="2:4" ht="16" thickBot="1" x14ac:dyDescent="0.25">
      <c r="B1408" s="4">
        <v>1403</v>
      </c>
      <c r="C1408" s="4">
        <v>111.64831765727017</v>
      </c>
      <c r="D1408" s="45"/>
    </row>
    <row r="1409" spans="2:4" ht="16" thickBot="1" x14ac:dyDescent="0.25">
      <c r="B1409" s="5">
        <v>1404</v>
      </c>
      <c r="C1409" s="5">
        <v>157.60215405636399</v>
      </c>
      <c r="D1409" s="45"/>
    </row>
    <row r="1410" spans="2:4" ht="16" thickBot="1" x14ac:dyDescent="0.25">
      <c r="B1410" s="4">
        <v>1405</v>
      </c>
      <c r="C1410" s="4">
        <v>220.43777653611016</v>
      </c>
      <c r="D1410" s="45"/>
    </row>
    <row r="1411" spans="2:4" ht="16" thickBot="1" x14ac:dyDescent="0.25">
      <c r="B1411" s="5">
        <v>1406</v>
      </c>
      <c r="C1411" s="5">
        <v>92.086087869583238</v>
      </c>
      <c r="D1411" s="45"/>
    </row>
    <row r="1412" spans="2:4" ht="16" thickBot="1" x14ac:dyDescent="0.25">
      <c r="B1412" s="4">
        <v>1407</v>
      </c>
      <c r="C1412" s="4">
        <v>130.18479190007395</v>
      </c>
      <c r="D1412" s="45"/>
    </row>
    <row r="1413" spans="2:4" ht="16" thickBot="1" x14ac:dyDescent="0.25">
      <c r="B1413" s="5">
        <v>1408</v>
      </c>
      <c r="C1413" s="5">
        <v>134.77161886001193</v>
      </c>
      <c r="D1413" s="45"/>
    </row>
    <row r="1414" spans="2:4" ht="16" thickBot="1" x14ac:dyDescent="0.25">
      <c r="B1414" s="4">
        <v>1409</v>
      </c>
      <c r="C1414" s="4">
        <v>111.3846673197441</v>
      </c>
      <c r="D1414" s="45"/>
    </row>
    <row r="1415" spans="2:4" ht="16" thickBot="1" x14ac:dyDescent="0.25">
      <c r="B1415" s="5">
        <v>1410</v>
      </c>
      <c r="C1415" s="5">
        <v>144.16386181453544</v>
      </c>
      <c r="D1415" s="45"/>
    </row>
    <row r="1416" spans="2:4" ht="16" thickBot="1" x14ac:dyDescent="0.25">
      <c r="B1416" s="4">
        <v>1411</v>
      </c>
      <c r="C1416" s="4">
        <v>180.43083177151459</v>
      </c>
      <c r="D1416" s="45"/>
    </row>
    <row r="1417" spans="2:4" ht="16" thickBot="1" x14ac:dyDescent="0.25">
      <c r="B1417" s="5">
        <v>1412</v>
      </c>
      <c r="C1417" s="5">
        <v>88.874016230536341</v>
      </c>
      <c r="D1417" s="45"/>
    </row>
    <row r="1418" spans="2:4" ht="16" thickBot="1" x14ac:dyDescent="0.25">
      <c r="B1418" s="4">
        <v>1413</v>
      </c>
      <c r="C1418" s="4">
        <v>163.61980529501398</v>
      </c>
      <c r="D1418" s="45"/>
    </row>
    <row r="1419" spans="2:4" ht="16" thickBot="1" x14ac:dyDescent="0.25">
      <c r="B1419" s="5">
        <v>1414</v>
      </c>
      <c r="C1419" s="5">
        <v>95.195440206001592</v>
      </c>
      <c r="D1419" s="45"/>
    </row>
    <row r="1420" spans="2:4" ht="16" thickBot="1" x14ac:dyDescent="0.25">
      <c r="B1420" s="4">
        <v>1415</v>
      </c>
      <c r="C1420" s="4">
        <v>359.94701833391048</v>
      </c>
      <c r="D1420" s="45"/>
    </row>
    <row r="1421" spans="2:4" ht="16" thickBot="1" x14ac:dyDescent="0.25">
      <c r="B1421" s="5">
        <v>1416</v>
      </c>
      <c r="C1421" s="5">
        <v>197.53412648981364</v>
      </c>
      <c r="D1421" s="45"/>
    </row>
    <row r="1422" spans="2:4" ht="16" thickBot="1" x14ac:dyDescent="0.25">
      <c r="B1422" s="4">
        <v>1417</v>
      </c>
      <c r="C1422" s="4">
        <v>82.690200738848645</v>
      </c>
      <c r="D1422" s="45"/>
    </row>
    <row r="1423" spans="2:4" ht="16" thickBot="1" x14ac:dyDescent="0.25">
      <c r="B1423" s="5">
        <v>1418</v>
      </c>
      <c r="C1423" s="5">
        <v>149.79588401809096</v>
      </c>
      <c r="D1423" s="45"/>
    </row>
    <row r="1424" spans="2:4" ht="16" thickBot="1" x14ac:dyDescent="0.25">
      <c r="B1424" s="4">
        <v>1419</v>
      </c>
      <c r="C1424" s="4">
        <v>116.73077738002104</v>
      </c>
      <c r="D1424" s="45"/>
    </row>
    <row r="1425" spans="2:4" ht="16" thickBot="1" x14ac:dyDescent="0.25">
      <c r="B1425" s="5">
        <v>1420</v>
      </c>
      <c r="C1425" s="5">
        <v>45.535739060685479</v>
      </c>
      <c r="D1425" s="45"/>
    </row>
    <row r="1426" spans="2:4" ht="16" thickBot="1" x14ac:dyDescent="0.25">
      <c r="B1426" s="4">
        <v>1421</v>
      </c>
      <c r="C1426" s="4">
        <v>152.24740883901003</v>
      </c>
      <c r="D1426" s="45"/>
    </row>
    <row r="1427" spans="2:4" ht="16" thickBot="1" x14ac:dyDescent="0.25">
      <c r="B1427" s="5">
        <v>1422</v>
      </c>
      <c r="C1427" s="5">
        <v>81.795625276869046</v>
      </c>
      <c r="D1427" s="45"/>
    </row>
    <row r="1428" spans="2:4" ht="16" thickBot="1" x14ac:dyDescent="0.25">
      <c r="B1428" s="4">
        <v>1423</v>
      </c>
      <c r="C1428" s="4">
        <v>149.8036998262385</v>
      </c>
      <c r="D1428" s="45"/>
    </row>
    <row r="1429" spans="2:4" ht="16" thickBot="1" x14ac:dyDescent="0.25">
      <c r="B1429" s="5">
        <v>1424</v>
      </c>
      <c r="C1429" s="5">
        <v>366.12366014037178</v>
      </c>
      <c r="D1429" s="45"/>
    </row>
    <row r="1430" spans="2:4" ht="16" thickBot="1" x14ac:dyDescent="0.25">
      <c r="B1430" s="4">
        <v>1425</v>
      </c>
      <c r="C1430" s="4">
        <v>93.608161885738127</v>
      </c>
      <c r="D1430" s="45"/>
    </row>
    <row r="1431" spans="2:4" ht="16" thickBot="1" x14ac:dyDescent="0.25">
      <c r="B1431" s="5">
        <v>1426</v>
      </c>
      <c r="C1431" s="5">
        <v>92.177297736311004</v>
      </c>
      <c r="D1431" s="45"/>
    </row>
    <row r="1432" spans="2:4" ht="16" thickBot="1" x14ac:dyDescent="0.25">
      <c r="B1432" s="4">
        <v>1427</v>
      </c>
      <c r="C1432" s="4">
        <v>258.76216931759558</v>
      </c>
      <c r="D1432" s="45"/>
    </row>
    <row r="1433" spans="2:4" ht="16" thickBot="1" x14ac:dyDescent="0.25">
      <c r="B1433" s="5">
        <v>1428</v>
      </c>
      <c r="C1433" s="5">
        <v>290.61602030641978</v>
      </c>
      <c r="D1433" s="45"/>
    </row>
    <row r="1434" spans="2:4" ht="16" thickBot="1" x14ac:dyDescent="0.25">
      <c r="B1434" s="4">
        <v>1429</v>
      </c>
      <c r="C1434" s="4">
        <v>112.37880989174317</v>
      </c>
      <c r="D1434" s="45"/>
    </row>
    <row r="1435" spans="2:4" ht="16" thickBot="1" x14ac:dyDescent="0.25">
      <c r="B1435" s="5">
        <v>1430</v>
      </c>
      <c r="C1435" s="5">
        <v>162.49281002241466</v>
      </c>
      <c r="D1435" s="45"/>
    </row>
    <row r="1436" spans="2:4" ht="16" thickBot="1" x14ac:dyDescent="0.25">
      <c r="B1436" s="4">
        <v>1431</v>
      </c>
      <c r="C1436" s="4">
        <v>64.342906031951486</v>
      </c>
      <c r="D1436" s="45"/>
    </row>
    <row r="1437" spans="2:4" ht="16" thickBot="1" x14ac:dyDescent="0.25">
      <c r="B1437" s="5">
        <v>1432</v>
      </c>
      <c r="C1437" s="5">
        <v>85.098910764351075</v>
      </c>
      <c r="D1437" s="45"/>
    </row>
    <row r="1438" spans="2:4" ht="16" thickBot="1" x14ac:dyDescent="0.25">
      <c r="B1438" s="4">
        <v>1433</v>
      </c>
      <c r="C1438" s="4">
        <v>378.49666213120486</v>
      </c>
      <c r="D1438" s="45"/>
    </row>
    <row r="1439" spans="2:4" ht="16" thickBot="1" x14ac:dyDescent="0.25">
      <c r="B1439" s="5">
        <v>1434</v>
      </c>
      <c r="C1439" s="5">
        <v>293.12140134848124</v>
      </c>
      <c r="D1439" s="45"/>
    </row>
    <row r="1440" spans="2:4" ht="16" thickBot="1" x14ac:dyDescent="0.25">
      <c r="B1440" s="4">
        <v>1435</v>
      </c>
      <c r="C1440" s="4">
        <v>132.54365513538403</v>
      </c>
      <c r="D1440" s="45"/>
    </row>
    <row r="1441" spans="2:4" ht="16" thickBot="1" x14ac:dyDescent="0.25">
      <c r="B1441" s="5">
        <v>1436</v>
      </c>
      <c r="C1441" s="5">
        <v>347.04594401655896</v>
      </c>
      <c r="D1441" s="45"/>
    </row>
    <row r="1442" spans="2:4" ht="16" thickBot="1" x14ac:dyDescent="0.25">
      <c r="B1442" s="4">
        <v>1437</v>
      </c>
      <c r="C1442" s="4">
        <v>188.78137882520682</v>
      </c>
      <c r="D1442" s="45"/>
    </row>
    <row r="1443" spans="2:4" ht="16" thickBot="1" x14ac:dyDescent="0.25">
      <c r="B1443" s="5">
        <v>1438</v>
      </c>
      <c r="C1443" s="5">
        <v>142.70213944038406</v>
      </c>
      <c r="D1443" s="45"/>
    </row>
    <row r="1444" spans="2:4" ht="16" thickBot="1" x14ac:dyDescent="0.25">
      <c r="B1444" s="4">
        <v>1439</v>
      </c>
      <c r="C1444" s="4">
        <v>101.41348987963519</v>
      </c>
      <c r="D1444" s="45"/>
    </row>
    <row r="1445" spans="2:4" ht="16" thickBot="1" x14ac:dyDescent="0.25">
      <c r="B1445" s="5">
        <v>1440</v>
      </c>
      <c r="C1445" s="5">
        <v>123.29561854032414</v>
      </c>
      <c r="D1445" s="45"/>
    </row>
    <row r="1446" spans="2:4" ht="16" thickBot="1" x14ac:dyDescent="0.25">
      <c r="B1446" s="4">
        <v>1441</v>
      </c>
      <c r="C1446" s="4">
        <v>239.9324458938751</v>
      </c>
      <c r="D1446" s="45"/>
    </row>
    <row r="1447" spans="2:4" ht="16" thickBot="1" x14ac:dyDescent="0.25">
      <c r="B1447" s="5">
        <v>1442</v>
      </c>
      <c r="C1447" s="5">
        <v>139.06907441939268</v>
      </c>
      <c r="D1447" s="45"/>
    </row>
    <row r="1448" spans="2:4" ht="16" thickBot="1" x14ac:dyDescent="0.25">
      <c r="B1448" s="4">
        <v>1443</v>
      </c>
      <c r="C1448" s="4">
        <v>141.24257157623387</v>
      </c>
      <c r="D1448" s="45"/>
    </row>
    <row r="1449" spans="2:4" ht="16" thickBot="1" x14ac:dyDescent="0.25">
      <c r="B1449" s="5">
        <v>1444</v>
      </c>
      <c r="C1449" s="5">
        <v>144.39950517692535</v>
      </c>
      <c r="D1449" s="45"/>
    </row>
    <row r="1450" spans="2:4" ht="16" thickBot="1" x14ac:dyDescent="0.25">
      <c r="B1450" s="4">
        <v>1445</v>
      </c>
      <c r="C1450" s="4">
        <v>96.017469852072921</v>
      </c>
      <c r="D1450" s="45"/>
    </row>
    <row r="1451" spans="2:4" ht="16" thickBot="1" x14ac:dyDescent="0.25">
      <c r="B1451" s="5">
        <v>1446</v>
      </c>
      <c r="C1451" s="5">
        <v>62.80886508103189</v>
      </c>
      <c r="D1451" s="45"/>
    </row>
    <row r="1452" spans="2:4" ht="16" thickBot="1" x14ac:dyDescent="0.25">
      <c r="B1452" s="4">
        <v>1447</v>
      </c>
      <c r="C1452" s="4">
        <v>328.61035027082897</v>
      </c>
      <c r="D1452" s="45"/>
    </row>
    <row r="1453" spans="2:4" ht="16" thickBot="1" x14ac:dyDescent="0.25">
      <c r="B1453" s="5">
        <v>1448</v>
      </c>
      <c r="C1453" s="5">
        <v>37.499704488438795</v>
      </c>
      <c r="D1453" s="45"/>
    </row>
    <row r="1454" spans="2:4" ht="16" thickBot="1" x14ac:dyDescent="0.25">
      <c r="B1454" s="4">
        <v>1449</v>
      </c>
      <c r="C1454" s="4">
        <v>128.4506964549484</v>
      </c>
      <c r="D1454" s="45"/>
    </row>
    <row r="1455" spans="2:4" ht="16" thickBot="1" x14ac:dyDescent="0.25">
      <c r="B1455" s="5">
        <v>1450</v>
      </c>
      <c r="C1455" s="5">
        <v>174.60965024701662</v>
      </c>
      <c r="D1455" s="45"/>
    </row>
    <row r="1456" spans="2:4" ht="16" thickBot="1" x14ac:dyDescent="0.25">
      <c r="B1456" s="4">
        <v>1451</v>
      </c>
      <c r="C1456" s="4">
        <v>196.17933564287898</v>
      </c>
      <c r="D1456" s="45"/>
    </row>
    <row r="1457" spans="2:4" ht="16" thickBot="1" x14ac:dyDescent="0.25">
      <c r="B1457" s="5">
        <v>1452</v>
      </c>
      <c r="C1457" s="5">
        <v>176.64945931006795</v>
      </c>
      <c r="D1457" s="45"/>
    </row>
    <row r="1458" spans="2:4" ht="16" thickBot="1" x14ac:dyDescent="0.25">
      <c r="B1458" s="4">
        <v>1453</v>
      </c>
      <c r="C1458" s="4">
        <v>68.54153101702569</v>
      </c>
      <c r="D1458" s="45"/>
    </row>
    <row r="1459" spans="2:4" ht="16" thickBot="1" x14ac:dyDescent="0.25">
      <c r="B1459" s="5">
        <v>1454</v>
      </c>
      <c r="C1459" s="5">
        <v>89.784494016376911</v>
      </c>
      <c r="D1459" s="45"/>
    </row>
    <row r="1460" spans="2:4" ht="16" thickBot="1" x14ac:dyDescent="0.25">
      <c r="B1460" s="4">
        <v>1455</v>
      </c>
      <c r="C1460" s="4">
        <v>76.386378292570313</v>
      </c>
      <c r="D1460" s="45"/>
    </row>
    <row r="1461" spans="2:4" ht="16" thickBot="1" x14ac:dyDescent="0.25">
      <c r="B1461" s="5">
        <v>1456</v>
      </c>
      <c r="C1461" s="5">
        <v>179.07694042653915</v>
      </c>
      <c r="D1461" s="45"/>
    </row>
    <row r="1462" spans="2:4" ht="16" thickBot="1" x14ac:dyDescent="0.25">
      <c r="B1462" s="4">
        <v>1457</v>
      </c>
      <c r="C1462" s="4">
        <v>113.48881350871403</v>
      </c>
      <c r="D1462" s="45"/>
    </row>
    <row r="1463" spans="2:4" ht="16" thickBot="1" x14ac:dyDescent="0.25">
      <c r="B1463" s="5">
        <v>1458</v>
      </c>
      <c r="C1463" s="5">
        <v>134.14148663111337</v>
      </c>
      <c r="D1463" s="45"/>
    </row>
    <row r="1464" spans="2:4" ht="16" thickBot="1" x14ac:dyDescent="0.25">
      <c r="B1464" s="4">
        <v>1459</v>
      </c>
      <c r="C1464" s="4">
        <v>162.74535304210505</v>
      </c>
      <c r="D1464" s="45"/>
    </row>
    <row r="1465" spans="2:4" ht="16" thickBot="1" x14ac:dyDescent="0.25">
      <c r="B1465" s="5">
        <v>1460</v>
      </c>
      <c r="C1465" s="5">
        <v>89.669076754612149</v>
      </c>
      <c r="D1465" s="45"/>
    </row>
    <row r="1466" spans="2:4" ht="16" thickBot="1" x14ac:dyDescent="0.25">
      <c r="B1466" s="4">
        <v>1461</v>
      </c>
      <c r="C1466" s="4">
        <v>420.17909904578408</v>
      </c>
      <c r="D1466" s="45"/>
    </row>
    <row r="1467" spans="2:4" ht="16" thickBot="1" x14ac:dyDescent="0.25">
      <c r="B1467" s="5">
        <v>1462</v>
      </c>
      <c r="C1467" s="5">
        <v>162.06852880944382</v>
      </c>
      <c r="D1467" s="45"/>
    </row>
    <row r="1468" spans="2:4" ht="16" thickBot="1" x14ac:dyDescent="0.25">
      <c r="B1468" s="4">
        <v>1463</v>
      </c>
      <c r="C1468" s="4">
        <v>185.22449906738021</v>
      </c>
      <c r="D1468" s="45"/>
    </row>
    <row r="1469" spans="2:4" ht="16" thickBot="1" x14ac:dyDescent="0.25">
      <c r="B1469" s="5">
        <v>1464</v>
      </c>
      <c r="C1469" s="5">
        <v>88.364525770861206</v>
      </c>
      <c r="D1469" s="45"/>
    </row>
    <row r="1470" spans="2:4" ht="16" thickBot="1" x14ac:dyDescent="0.25">
      <c r="B1470" s="4">
        <v>1465</v>
      </c>
      <c r="C1470" s="4">
        <v>95.739622371631995</v>
      </c>
      <c r="D1470" s="45"/>
    </row>
    <row r="1471" spans="2:4" ht="16" thickBot="1" x14ac:dyDescent="0.25">
      <c r="B1471" s="5">
        <v>1466</v>
      </c>
      <c r="C1471" s="5">
        <v>100.03007906598313</v>
      </c>
      <c r="D1471" s="45"/>
    </row>
    <row r="1472" spans="2:4" ht="16" thickBot="1" x14ac:dyDescent="0.25">
      <c r="B1472" s="4">
        <v>1467</v>
      </c>
      <c r="C1472" s="4">
        <v>214.29785235952997</v>
      </c>
      <c r="D1472" s="45"/>
    </row>
    <row r="1473" spans="2:4" ht="16" thickBot="1" x14ac:dyDescent="0.25">
      <c r="B1473" s="5">
        <v>1468</v>
      </c>
      <c r="C1473" s="5">
        <v>219.21834218186842</v>
      </c>
      <c r="D1473" s="45"/>
    </row>
    <row r="1474" spans="2:4" ht="16" thickBot="1" x14ac:dyDescent="0.25">
      <c r="B1474" s="4">
        <v>1469</v>
      </c>
      <c r="C1474" s="4">
        <v>84.671756244869229</v>
      </c>
      <c r="D1474" s="45"/>
    </row>
    <row r="1475" spans="2:4" ht="16" thickBot="1" x14ac:dyDescent="0.25">
      <c r="B1475" s="5">
        <v>1470</v>
      </c>
      <c r="C1475" s="5">
        <v>149.13161534104441</v>
      </c>
      <c r="D1475" s="45"/>
    </row>
    <row r="1476" spans="2:4" ht="16" thickBot="1" x14ac:dyDescent="0.25">
      <c r="B1476" s="4">
        <v>1471</v>
      </c>
      <c r="C1476" s="4">
        <v>299.51385955362616</v>
      </c>
      <c r="D1476" s="45"/>
    </row>
    <row r="1477" spans="2:4" ht="16" thickBot="1" x14ac:dyDescent="0.25">
      <c r="B1477" s="5">
        <v>1472</v>
      </c>
      <c r="C1477" s="5">
        <v>146.33551501414971</v>
      </c>
      <c r="D1477" s="45"/>
    </row>
    <row r="1478" spans="2:4" ht="16" thickBot="1" x14ac:dyDescent="0.25">
      <c r="B1478" s="4">
        <v>1473</v>
      </c>
      <c r="C1478" s="4">
        <v>195.92893019102331</v>
      </c>
      <c r="D1478" s="45"/>
    </row>
    <row r="1479" spans="2:4" ht="16" thickBot="1" x14ac:dyDescent="0.25">
      <c r="B1479" s="5">
        <v>1474</v>
      </c>
      <c r="C1479" s="5">
        <v>148.46227985621644</v>
      </c>
      <c r="D1479" s="45"/>
    </row>
    <row r="1480" spans="2:4" ht="16" thickBot="1" x14ac:dyDescent="0.25">
      <c r="B1480" s="4">
        <v>1475</v>
      </c>
      <c r="C1480" s="4">
        <v>112.47787787600282</v>
      </c>
      <c r="D1480" s="45"/>
    </row>
    <row r="1481" spans="2:4" ht="16" thickBot="1" x14ac:dyDescent="0.25">
      <c r="B1481" s="5">
        <v>1476</v>
      </c>
      <c r="C1481" s="5">
        <v>127.97432689954857</v>
      </c>
      <c r="D1481" s="45"/>
    </row>
    <row r="1482" spans="2:4" ht="16" thickBot="1" x14ac:dyDescent="0.25">
      <c r="B1482" s="4">
        <v>1477</v>
      </c>
      <c r="C1482" s="4">
        <v>186.22414263620013</v>
      </c>
      <c r="D1482" s="45"/>
    </row>
    <row r="1483" spans="2:4" ht="16" thickBot="1" x14ac:dyDescent="0.25">
      <c r="B1483" s="5">
        <v>1478</v>
      </c>
      <c r="C1483" s="5">
        <v>92.05747071996224</v>
      </c>
      <c r="D1483" s="45"/>
    </row>
    <row r="1484" spans="2:4" ht="16" thickBot="1" x14ac:dyDescent="0.25">
      <c r="B1484" s="4">
        <v>1479</v>
      </c>
      <c r="C1484" s="4">
        <v>118.05052935505887</v>
      </c>
      <c r="D1484" s="45"/>
    </row>
    <row r="1485" spans="2:4" ht="16" thickBot="1" x14ac:dyDescent="0.25">
      <c r="B1485" s="5">
        <v>1480</v>
      </c>
      <c r="C1485" s="5">
        <v>127.21812870959906</v>
      </c>
      <c r="D1485" s="45"/>
    </row>
    <row r="1486" spans="2:4" ht="16" thickBot="1" x14ac:dyDescent="0.25">
      <c r="B1486" s="4">
        <v>1481</v>
      </c>
      <c r="C1486" s="4">
        <v>143.82949962728134</v>
      </c>
      <c r="D1486" s="45"/>
    </row>
    <row r="1487" spans="2:4" ht="16" thickBot="1" x14ac:dyDescent="0.25">
      <c r="B1487" s="5">
        <v>1482</v>
      </c>
      <c r="C1487" s="5">
        <v>175.71089242777347</v>
      </c>
      <c r="D1487" s="45"/>
    </row>
    <row r="1488" spans="2:4" ht="16" thickBot="1" x14ac:dyDescent="0.25">
      <c r="B1488" s="4">
        <v>1483</v>
      </c>
      <c r="C1488" s="4">
        <v>94.578460346728406</v>
      </c>
      <c r="D1488" s="45"/>
    </row>
    <row r="1489" spans="2:4" ht="16" thickBot="1" x14ac:dyDescent="0.25">
      <c r="B1489" s="5">
        <v>1484</v>
      </c>
      <c r="C1489" s="5">
        <v>86.599489569970842</v>
      </c>
      <c r="D1489" s="45"/>
    </row>
    <row r="1490" spans="2:4" ht="16" thickBot="1" x14ac:dyDescent="0.25">
      <c r="B1490" s="4">
        <v>1485</v>
      </c>
      <c r="C1490" s="4">
        <v>155.07953024614517</v>
      </c>
      <c r="D1490" s="45"/>
    </row>
    <row r="1491" spans="2:4" ht="16" thickBot="1" x14ac:dyDescent="0.25">
      <c r="B1491" s="5">
        <v>1486</v>
      </c>
      <c r="C1491" s="5">
        <v>171.56259666147827</v>
      </c>
      <c r="D1491" s="45"/>
    </row>
    <row r="1492" spans="2:4" ht="16" thickBot="1" x14ac:dyDescent="0.25">
      <c r="B1492" s="4">
        <v>1487</v>
      </c>
      <c r="C1492" s="4">
        <v>94.734332084555916</v>
      </c>
      <c r="D1492" s="45"/>
    </row>
    <row r="1493" spans="2:4" ht="16" thickBot="1" x14ac:dyDescent="0.25">
      <c r="B1493" s="5">
        <v>1488</v>
      </c>
      <c r="C1493" s="5">
        <v>118.25722238128152</v>
      </c>
      <c r="D1493" s="45"/>
    </row>
    <row r="1494" spans="2:4" ht="16" thickBot="1" x14ac:dyDescent="0.25">
      <c r="B1494" s="4">
        <v>1489</v>
      </c>
      <c r="C1494" s="4">
        <v>131.77193206278153</v>
      </c>
      <c r="D1494" s="45"/>
    </row>
    <row r="1495" spans="2:4" ht="16" thickBot="1" x14ac:dyDescent="0.25">
      <c r="B1495" s="5">
        <v>1490</v>
      </c>
      <c r="C1495" s="5">
        <v>55.182986365892894</v>
      </c>
      <c r="D1495" s="45"/>
    </row>
    <row r="1496" spans="2:4" ht="16" thickBot="1" x14ac:dyDescent="0.25">
      <c r="B1496" s="4">
        <v>1491</v>
      </c>
      <c r="C1496" s="4">
        <v>583.63937433899969</v>
      </c>
      <c r="D1496" s="45"/>
    </row>
    <row r="1497" spans="2:4" ht="16" thickBot="1" x14ac:dyDescent="0.25">
      <c r="B1497" s="5">
        <v>1492</v>
      </c>
      <c r="C1497" s="5">
        <v>77.80249313206609</v>
      </c>
      <c r="D1497" s="45"/>
    </row>
    <row r="1498" spans="2:4" ht="16" thickBot="1" x14ac:dyDescent="0.25">
      <c r="B1498" s="4">
        <v>1493</v>
      </c>
      <c r="C1498" s="4">
        <v>49.153262307362503</v>
      </c>
      <c r="D1498" s="45"/>
    </row>
    <row r="1499" spans="2:4" ht="16" thickBot="1" x14ac:dyDescent="0.25">
      <c r="B1499" s="5">
        <v>1494</v>
      </c>
      <c r="C1499" s="5">
        <v>148.35629231605986</v>
      </c>
      <c r="D1499" s="45"/>
    </row>
    <row r="1500" spans="2:4" ht="16" thickBot="1" x14ac:dyDescent="0.25">
      <c r="B1500" s="4">
        <v>1495</v>
      </c>
      <c r="C1500" s="4">
        <v>173.23637707495803</v>
      </c>
      <c r="D1500" s="45"/>
    </row>
    <row r="1501" spans="2:4" ht="16" thickBot="1" x14ac:dyDescent="0.25">
      <c r="B1501" s="5">
        <v>1496</v>
      </c>
      <c r="C1501" s="5">
        <v>120.82657316456664</v>
      </c>
      <c r="D1501" s="45"/>
    </row>
    <row r="1502" spans="2:4" ht="16" thickBot="1" x14ac:dyDescent="0.25">
      <c r="B1502" s="4">
        <v>1497</v>
      </c>
      <c r="C1502" s="4">
        <v>126.05386865390736</v>
      </c>
      <c r="D1502" s="45"/>
    </row>
    <row r="1503" spans="2:4" ht="16" thickBot="1" x14ac:dyDescent="0.25">
      <c r="B1503" s="5">
        <v>1498</v>
      </c>
      <c r="C1503" s="5">
        <v>250.90814291230285</v>
      </c>
      <c r="D1503" s="45"/>
    </row>
    <row r="1504" spans="2:4" ht="16" thickBot="1" x14ac:dyDescent="0.25">
      <c r="B1504" s="4">
        <v>1499</v>
      </c>
      <c r="C1504" s="4">
        <v>195.15410095363498</v>
      </c>
      <c r="D1504" s="45"/>
    </row>
    <row r="1505" spans="2:4" ht="16" thickBot="1" x14ac:dyDescent="0.25">
      <c r="B1505" s="5">
        <v>1500</v>
      </c>
      <c r="C1505" s="5">
        <v>88.84179271637467</v>
      </c>
      <c r="D1505" s="45"/>
    </row>
    <row r="1506" spans="2:4" ht="16" thickBot="1" x14ac:dyDescent="0.25">
      <c r="B1506" s="4">
        <v>1501</v>
      </c>
      <c r="C1506" s="4">
        <v>204.9072492680169</v>
      </c>
      <c r="D1506" s="45"/>
    </row>
    <row r="1507" spans="2:4" ht="16" thickBot="1" x14ac:dyDescent="0.25">
      <c r="B1507" s="5">
        <v>1502</v>
      </c>
      <c r="C1507" s="5">
        <v>181.21309764869545</v>
      </c>
      <c r="D1507" s="45"/>
    </row>
    <row r="1508" spans="2:4" ht="16" thickBot="1" x14ac:dyDescent="0.25">
      <c r="B1508" s="4">
        <v>1503</v>
      </c>
      <c r="C1508" s="4">
        <v>165.7698214613327</v>
      </c>
      <c r="D1508" s="45"/>
    </row>
    <row r="1509" spans="2:4" ht="16" thickBot="1" x14ac:dyDescent="0.25">
      <c r="B1509" s="5">
        <v>1504</v>
      </c>
      <c r="C1509" s="5">
        <v>185.79993818468881</v>
      </c>
      <c r="D1509" s="45"/>
    </row>
    <row r="1510" spans="2:4" ht="16" thickBot="1" x14ac:dyDescent="0.25">
      <c r="B1510" s="4">
        <v>1505</v>
      </c>
      <c r="C1510" s="4">
        <v>196.05515164008241</v>
      </c>
      <c r="D1510" s="45"/>
    </row>
    <row r="1511" spans="2:4" ht="16" thickBot="1" x14ac:dyDescent="0.25">
      <c r="B1511" s="5">
        <v>1506</v>
      </c>
      <c r="C1511" s="5">
        <v>108.72733215670323</v>
      </c>
      <c r="D1511" s="45"/>
    </row>
    <row r="1512" spans="2:4" ht="16" thickBot="1" x14ac:dyDescent="0.25">
      <c r="B1512" s="4">
        <v>1507</v>
      </c>
      <c r="C1512" s="4">
        <v>138.87543243633203</v>
      </c>
      <c r="D1512" s="45"/>
    </row>
    <row r="1513" spans="2:4" ht="16" thickBot="1" x14ac:dyDescent="0.25">
      <c r="B1513" s="5">
        <v>1508</v>
      </c>
      <c r="C1513" s="5">
        <v>183.00696487508384</v>
      </c>
      <c r="D1513" s="45"/>
    </row>
    <row r="1514" spans="2:4" ht="16" thickBot="1" x14ac:dyDescent="0.25">
      <c r="B1514" s="4">
        <v>1509</v>
      </c>
      <c r="C1514" s="4">
        <v>140.62382812709362</v>
      </c>
      <c r="D1514" s="45"/>
    </row>
    <row r="1515" spans="2:4" ht="16" thickBot="1" x14ac:dyDescent="0.25">
      <c r="B1515" s="5">
        <v>1510</v>
      </c>
      <c r="C1515" s="5">
        <v>196.83134205634013</v>
      </c>
      <c r="D1515" s="45"/>
    </row>
    <row r="1516" spans="2:4" ht="16" thickBot="1" x14ac:dyDescent="0.25">
      <c r="B1516" s="4">
        <v>1511</v>
      </c>
      <c r="C1516" s="4">
        <v>67.732126529122823</v>
      </c>
      <c r="D1516" s="45"/>
    </row>
    <row r="1517" spans="2:4" ht="16" thickBot="1" x14ac:dyDescent="0.25">
      <c r="B1517" s="5">
        <v>1512</v>
      </c>
      <c r="C1517" s="5">
        <v>155.302388677377</v>
      </c>
      <c r="D1517" s="45"/>
    </row>
    <row r="1518" spans="2:4" ht="16" thickBot="1" x14ac:dyDescent="0.25">
      <c r="B1518" s="4">
        <v>1513</v>
      </c>
      <c r="C1518" s="4">
        <v>136.23611035716445</v>
      </c>
      <c r="D1518" s="45"/>
    </row>
    <row r="1519" spans="2:4" ht="16" thickBot="1" x14ac:dyDescent="0.25">
      <c r="B1519" s="5">
        <v>1514</v>
      </c>
      <c r="C1519" s="5">
        <v>205.33921172549091</v>
      </c>
      <c r="D1519" s="45"/>
    </row>
    <row r="1520" spans="2:4" ht="16" thickBot="1" x14ac:dyDescent="0.25">
      <c r="B1520" s="4">
        <v>1515</v>
      </c>
      <c r="C1520" s="4">
        <v>117.78015236211074</v>
      </c>
      <c r="D1520" s="45"/>
    </row>
    <row r="1521" spans="2:4" ht="16" thickBot="1" x14ac:dyDescent="0.25">
      <c r="B1521" s="5">
        <v>1516</v>
      </c>
      <c r="C1521" s="5">
        <v>165.62472923069328</v>
      </c>
      <c r="D1521" s="45"/>
    </row>
    <row r="1522" spans="2:4" ht="16" thickBot="1" x14ac:dyDescent="0.25">
      <c r="B1522" s="4">
        <v>1517</v>
      </c>
      <c r="C1522" s="4">
        <v>179.49642870354907</v>
      </c>
      <c r="D1522" s="45"/>
    </row>
    <row r="1523" spans="2:4" ht="16" thickBot="1" x14ac:dyDescent="0.25">
      <c r="B1523" s="5">
        <v>1518</v>
      </c>
      <c r="C1523" s="5">
        <v>234.08426136866765</v>
      </c>
      <c r="D1523" s="45"/>
    </row>
    <row r="1524" spans="2:4" ht="16" thickBot="1" x14ac:dyDescent="0.25">
      <c r="B1524" s="4">
        <v>1519</v>
      </c>
      <c r="C1524" s="4">
        <v>135.11742222242543</v>
      </c>
      <c r="D1524" s="45"/>
    </row>
    <row r="1525" spans="2:4" ht="16" thickBot="1" x14ac:dyDescent="0.25">
      <c r="B1525" s="5">
        <v>1520</v>
      </c>
      <c r="C1525" s="5">
        <v>84.980147800002001</v>
      </c>
      <c r="D1525" s="45"/>
    </row>
    <row r="1526" spans="2:4" ht="16" thickBot="1" x14ac:dyDescent="0.25">
      <c r="B1526" s="4">
        <v>1521</v>
      </c>
      <c r="C1526" s="4">
        <v>139.09019897295079</v>
      </c>
      <c r="D1526" s="45"/>
    </row>
    <row r="1527" spans="2:4" ht="16" thickBot="1" x14ac:dyDescent="0.25">
      <c r="B1527" s="5">
        <v>1522</v>
      </c>
      <c r="C1527" s="5">
        <v>136.37921542387696</v>
      </c>
      <c r="D1527" s="45"/>
    </row>
    <row r="1528" spans="2:4" ht="16" thickBot="1" x14ac:dyDescent="0.25">
      <c r="B1528" s="4">
        <v>1523</v>
      </c>
      <c r="C1528" s="4">
        <v>262.59334256138374</v>
      </c>
      <c r="D1528" s="45"/>
    </row>
    <row r="1529" spans="2:4" ht="16" thickBot="1" x14ac:dyDescent="0.25">
      <c r="B1529" s="5">
        <v>1524</v>
      </c>
      <c r="C1529" s="5">
        <v>362.70032130608803</v>
      </c>
      <c r="D1529" s="45"/>
    </row>
    <row r="1530" spans="2:4" ht="16" thickBot="1" x14ac:dyDescent="0.25">
      <c r="B1530" s="4">
        <v>1525</v>
      </c>
      <c r="C1530" s="4">
        <v>148.4061486786328</v>
      </c>
      <c r="D1530" s="45"/>
    </row>
    <row r="1531" spans="2:4" ht="16" thickBot="1" x14ac:dyDescent="0.25">
      <c r="B1531" s="5">
        <v>1526</v>
      </c>
      <c r="C1531" s="5">
        <v>196.0808620387771</v>
      </c>
      <c r="D1531" s="45"/>
    </row>
    <row r="1532" spans="2:4" ht="16" thickBot="1" x14ac:dyDescent="0.25">
      <c r="B1532" s="4">
        <v>1527</v>
      </c>
      <c r="C1532" s="4">
        <v>250.00314229807225</v>
      </c>
      <c r="D1532" s="45"/>
    </row>
    <row r="1533" spans="2:4" ht="16" thickBot="1" x14ac:dyDescent="0.25">
      <c r="B1533" s="5">
        <v>1528</v>
      </c>
      <c r="C1533" s="5">
        <v>170.55729279933169</v>
      </c>
      <c r="D1533" s="45"/>
    </row>
    <row r="1534" spans="2:4" ht="16" thickBot="1" x14ac:dyDescent="0.25">
      <c r="B1534" s="4">
        <v>1529</v>
      </c>
      <c r="C1534" s="4">
        <v>300.86524509459559</v>
      </c>
      <c r="D1534" s="45"/>
    </row>
    <row r="1535" spans="2:4" ht="16" thickBot="1" x14ac:dyDescent="0.25">
      <c r="B1535" s="5">
        <v>1530</v>
      </c>
      <c r="C1535" s="5">
        <v>224.26705448022875</v>
      </c>
      <c r="D1535" s="45"/>
    </row>
    <row r="1536" spans="2:4" ht="16" thickBot="1" x14ac:dyDescent="0.25">
      <c r="B1536" s="4">
        <v>1531</v>
      </c>
      <c r="C1536" s="4">
        <v>75.44200862298932</v>
      </c>
      <c r="D1536" s="45"/>
    </row>
    <row r="1537" spans="2:4" ht="16" thickBot="1" x14ac:dyDescent="0.25">
      <c r="B1537" s="5">
        <v>1532</v>
      </c>
      <c r="C1537" s="5">
        <v>87.197876929496886</v>
      </c>
      <c r="D1537" s="45"/>
    </row>
    <row r="1538" spans="2:4" ht="16" thickBot="1" x14ac:dyDescent="0.25">
      <c r="B1538" s="4">
        <v>1533</v>
      </c>
      <c r="C1538" s="4">
        <v>131.70698873153557</v>
      </c>
      <c r="D1538" s="45"/>
    </row>
    <row r="1539" spans="2:4" ht="16" thickBot="1" x14ac:dyDescent="0.25">
      <c r="B1539" s="5">
        <v>1534</v>
      </c>
      <c r="C1539" s="5">
        <v>69.67317137090545</v>
      </c>
      <c r="D1539" s="45"/>
    </row>
    <row r="1540" spans="2:4" ht="16" thickBot="1" x14ac:dyDescent="0.25">
      <c r="B1540" s="4">
        <v>1535</v>
      </c>
      <c r="C1540" s="4">
        <v>175.04655055051344</v>
      </c>
      <c r="D1540" s="45"/>
    </row>
    <row r="1541" spans="2:4" ht="16" thickBot="1" x14ac:dyDescent="0.25">
      <c r="B1541" s="5">
        <v>1536</v>
      </c>
      <c r="C1541" s="5">
        <v>236.20918494006713</v>
      </c>
      <c r="D1541" s="45"/>
    </row>
    <row r="1542" spans="2:4" ht="16" thickBot="1" x14ac:dyDescent="0.25">
      <c r="B1542" s="4">
        <v>1537</v>
      </c>
      <c r="C1542" s="4">
        <v>121.75723721060547</v>
      </c>
      <c r="D1542" s="45"/>
    </row>
    <row r="1543" spans="2:4" ht="16" thickBot="1" x14ac:dyDescent="0.25">
      <c r="B1543" s="5">
        <v>1538</v>
      </c>
      <c r="C1543" s="5">
        <v>122.72141667679246</v>
      </c>
      <c r="D1543" s="45"/>
    </row>
    <row r="1544" spans="2:4" ht="16" thickBot="1" x14ac:dyDescent="0.25">
      <c r="B1544" s="4">
        <v>1539</v>
      </c>
      <c r="C1544" s="4">
        <v>34.290455429614845</v>
      </c>
      <c r="D1544" s="45"/>
    </row>
    <row r="1545" spans="2:4" ht="16" thickBot="1" x14ac:dyDescent="0.25">
      <c r="B1545" s="5">
        <v>1540</v>
      </c>
      <c r="C1545" s="5">
        <v>334.08982755940315</v>
      </c>
      <c r="D1545" s="45"/>
    </row>
    <row r="1546" spans="2:4" ht="16" thickBot="1" x14ac:dyDescent="0.25">
      <c r="B1546" s="4">
        <v>1541</v>
      </c>
      <c r="C1546" s="4">
        <v>92.147065278744691</v>
      </c>
      <c r="D1546" s="45"/>
    </row>
    <row r="1547" spans="2:4" ht="16" thickBot="1" x14ac:dyDescent="0.25">
      <c r="B1547" s="5">
        <v>1542</v>
      </c>
      <c r="C1547" s="5">
        <v>349.17047501763301</v>
      </c>
      <c r="D1547" s="45"/>
    </row>
    <row r="1548" spans="2:4" ht="16" thickBot="1" x14ac:dyDescent="0.25">
      <c r="B1548" s="4">
        <v>1543</v>
      </c>
      <c r="C1548" s="4">
        <v>37.206329836186448</v>
      </c>
      <c r="D1548" s="45"/>
    </row>
    <row r="1549" spans="2:4" ht="16" thickBot="1" x14ac:dyDescent="0.25">
      <c r="B1549" s="5">
        <v>1544</v>
      </c>
      <c r="C1549" s="5">
        <v>198.79212769247758</v>
      </c>
      <c r="D1549" s="45"/>
    </row>
    <row r="1550" spans="2:4" ht="16" thickBot="1" x14ac:dyDescent="0.25">
      <c r="B1550" s="4">
        <v>1545</v>
      </c>
      <c r="C1550" s="4">
        <v>188.82509613982543</v>
      </c>
      <c r="D1550" s="45"/>
    </row>
    <row r="1551" spans="2:4" ht="16" thickBot="1" x14ac:dyDescent="0.25">
      <c r="B1551" s="5">
        <v>1546</v>
      </c>
      <c r="C1551" s="5">
        <v>228.81955156181681</v>
      </c>
      <c r="D1551" s="45"/>
    </row>
    <row r="1552" spans="2:4" ht="16" thickBot="1" x14ac:dyDescent="0.25">
      <c r="B1552" s="4">
        <v>1547</v>
      </c>
      <c r="C1552" s="4">
        <v>112.14158795619868</v>
      </c>
      <c r="D1552" s="45"/>
    </row>
    <row r="1553" spans="2:4" ht="16" thickBot="1" x14ac:dyDescent="0.25">
      <c r="B1553" s="5">
        <v>1548</v>
      </c>
      <c r="C1553" s="5">
        <v>297.02623807082017</v>
      </c>
      <c r="D1553" s="45"/>
    </row>
    <row r="1554" spans="2:4" ht="16" thickBot="1" x14ac:dyDescent="0.25">
      <c r="B1554" s="4">
        <v>1549</v>
      </c>
      <c r="C1554" s="4">
        <v>197.24672900332291</v>
      </c>
      <c r="D1554" s="45"/>
    </row>
    <row r="1555" spans="2:4" ht="16" thickBot="1" x14ac:dyDescent="0.25">
      <c r="B1555" s="5">
        <v>1550</v>
      </c>
      <c r="C1555" s="5">
        <v>114.31930578122829</v>
      </c>
      <c r="D1555" s="45"/>
    </row>
    <row r="1556" spans="2:4" ht="16" thickBot="1" x14ac:dyDescent="0.25">
      <c r="B1556" s="4">
        <v>1551</v>
      </c>
      <c r="C1556" s="4">
        <v>191.00252820349456</v>
      </c>
      <c r="D1556" s="45"/>
    </row>
    <row r="1557" spans="2:4" ht="16" thickBot="1" x14ac:dyDescent="0.25">
      <c r="B1557" s="5">
        <v>1552</v>
      </c>
      <c r="C1557" s="5">
        <v>112.42895962942572</v>
      </c>
      <c r="D1557" s="45"/>
    </row>
    <row r="1558" spans="2:4" ht="16" thickBot="1" x14ac:dyDescent="0.25">
      <c r="B1558" s="4">
        <v>1553</v>
      </c>
      <c r="C1558" s="4">
        <v>210.45267490832708</v>
      </c>
      <c r="D1558" s="45"/>
    </row>
    <row r="1559" spans="2:4" ht="16" thickBot="1" x14ac:dyDescent="0.25">
      <c r="B1559" s="5">
        <v>1554</v>
      </c>
      <c r="C1559" s="5">
        <v>101.56600401019429</v>
      </c>
      <c r="D1559" s="45"/>
    </row>
    <row r="1560" spans="2:4" ht="16" thickBot="1" x14ac:dyDescent="0.25">
      <c r="B1560" s="4">
        <v>1555</v>
      </c>
      <c r="C1560" s="4">
        <v>121.31111930573806</v>
      </c>
      <c r="D1560" s="45"/>
    </row>
    <row r="1561" spans="2:4" ht="16" thickBot="1" x14ac:dyDescent="0.25">
      <c r="B1561" s="5">
        <v>1556</v>
      </c>
      <c r="C1561" s="5">
        <v>235.44165846921356</v>
      </c>
      <c r="D1561" s="45"/>
    </row>
    <row r="1562" spans="2:4" ht="16" thickBot="1" x14ac:dyDescent="0.25">
      <c r="B1562" s="4">
        <v>1557</v>
      </c>
      <c r="C1562" s="4">
        <v>92.248148882434094</v>
      </c>
      <c r="D1562" s="45"/>
    </row>
    <row r="1563" spans="2:4" ht="16" thickBot="1" x14ac:dyDescent="0.25">
      <c r="B1563" s="5">
        <v>1558</v>
      </c>
      <c r="C1563" s="5">
        <v>160.64867245911799</v>
      </c>
      <c r="D1563" s="45"/>
    </row>
    <row r="1564" spans="2:4" ht="16" thickBot="1" x14ac:dyDescent="0.25">
      <c r="B1564" s="4">
        <v>1559</v>
      </c>
      <c r="C1564" s="4">
        <v>134.74420551309694</v>
      </c>
      <c r="D1564" s="45"/>
    </row>
    <row r="1565" spans="2:4" ht="16" thickBot="1" x14ac:dyDescent="0.25">
      <c r="B1565" s="5">
        <v>1560</v>
      </c>
      <c r="C1565" s="5">
        <v>170.11238865089396</v>
      </c>
      <c r="D1565" s="45"/>
    </row>
    <row r="1566" spans="2:4" ht="16" thickBot="1" x14ac:dyDescent="0.25">
      <c r="B1566" s="4">
        <v>1561</v>
      </c>
      <c r="C1566" s="4">
        <v>400.7438947377176</v>
      </c>
      <c r="D1566" s="45"/>
    </row>
    <row r="1567" spans="2:4" ht="16" thickBot="1" x14ac:dyDescent="0.25">
      <c r="B1567" s="5">
        <v>1562</v>
      </c>
      <c r="C1567" s="5">
        <v>44.358181877122377</v>
      </c>
      <c r="D1567" s="45"/>
    </row>
    <row r="1568" spans="2:4" ht="16" thickBot="1" x14ac:dyDescent="0.25">
      <c r="B1568" s="4">
        <v>1563</v>
      </c>
      <c r="C1568" s="4">
        <v>181.08010889738733</v>
      </c>
      <c r="D1568" s="45"/>
    </row>
    <row r="1569" spans="2:4" ht="16" thickBot="1" x14ac:dyDescent="0.25">
      <c r="B1569" s="5">
        <v>1564</v>
      </c>
      <c r="C1569" s="5">
        <v>99.166438389464972</v>
      </c>
      <c r="D1569" s="45"/>
    </row>
    <row r="1570" spans="2:4" ht="16" thickBot="1" x14ac:dyDescent="0.25">
      <c r="B1570" s="4">
        <v>1565</v>
      </c>
      <c r="C1570" s="4">
        <v>129.61567143803953</v>
      </c>
      <c r="D1570" s="45"/>
    </row>
    <row r="1571" spans="2:4" ht="16" thickBot="1" x14ac:dyDescent="0.25">
      <c r="B1571" s="5">
        <v>1566</v>
      </c>
      <c r="C1571" s="5">
        <v>118.65976922668453</v>
      </c>
      <c r="D1571" s="45"/>
    </row>
    <row r="1572" spans="2:4" ht="16" thickBot="1" x14ac:dyDescent="0.25">
      <c r="B1572" s="4">
        <v>1567</v>
      </c>
      <c r="C1572" s="4">
        <v>59.210275714962357</v>
      </c>
      <c r="D1572" s="45"/>
    </row>
    <row r="1573" spans="2:4" ht="16" thickBot="1" x14ac:dyDescent="0.25">
      <c r="B1573" s="5">
        <v>1568</v>
      </c>
      <c r="C1573" s="5">
        <v>34.241702706002108</v>
      </c>
      <c r="D1573" s="45"/>
    </row>
    <row r="1574" spans="2:4" ht="16" thickBot="1" x14ac:dyDescent="0.25">
      <c r="B1574" s="4">
        <v>1569</v>
      </c>
      <c r="C1574" s="4">
        <v>192.37730772219055</v>
      </c>
      <c r="D1574" s="45"/>
    </row>
    <row r="1575" spans="2:4" ht="16" thickBot="1" x14ac:dyDescent="0.25">
      <c r="B1575" s="5">
        <v>1570</v>
      </c>
      <c r="C1575" s="5">
        <v>78.502421696013059</v>
      </c>
      <c r="D1575" s="45"/>
    </row>
    <row r="1576" spans="2:4" ht="16" thickBot="1" x14ac:dyDescent="0.25">
      <c r="B1576" s="4">
        <v>1571</v>
      </c>
      <c r="C1576" s="4">
        <v>163.00238140632226</v>
      </c>
      <c r="D1576" s="45"/>
    </row>
    <row r="1577" spans="2:4" ht="16" thickBot="1" x14ac:dyDescent="0.25">
      <c r="B1577" s="5">
        <v>1572</v>
      </c>
      <c r="C1577" s="5">
        <v>185.89814672760198</v>
      </c>
      <c r="D1577" s="45"/>
    </row>
    <row r="1578" spans="2:4" ht="16" thickBot="1" x14ac:dyDescent="0.25">
      <c r="B1578" s="4">
        <v>1573</v>
      </c>
      <c r="C1578" s="4">
        <v>167.34806045773917</v>
      </c>
      <c r="D1578" s="45"/>
    </row>
    <row r="1579" spans="2:4" ht="16" thickBot="1" x14ac:dyDescent="0.25">
      <c r="B1579" s="5">
        <v>1574</v>
      </c>
      <c r="C1579" s="5">
        <v>241.09727838512524</v>
      </c>
      <c r="D1579" s="45"/>
    </row>
    <row r="1580" spans="2:4" ht="16" thickBot="1" x14ac:dyDescent="0.25">
      <c r="B1580" s="4">
        <v>1575</v>
      </c>
      <c r="C1580" s="4">
        <v>157.47182820214258</v>
      </c>
      <c r="D1580" s="45"/>
    </row>
    <row r="1581" spans="2:4" ht="16" thickBot="1" x14ac:dyDescent="0.25">
      <c r="B1581" s="5">
        <v>1576</v>
      </c>
      <c r="C1581" s="5">
        <v>267.19324738184292</v>
      </c>
      <c r="D1581" s="45"/>
    </row>
    <row r="1582" spans="2:4" ht="16" thickBot="1" x14ac:dyDescent="0.25">
      <c r="B1582" s="4">
        <v>1577</v>
      </c>
      <c r="C1582" s="4">
        <v>83.369844310073475</v>
      </c>
      <c r="D1582" s="45"/>
    </row>
    <row r="1583" spans="2:4" ht="16" thickBot="1" x14ac:dyDescent="0.25">
      <c r="B1583" s="5">
        <v>1578</v>
      </c>
      <c r="C1583" s="5">
        <v>42.059277795068631</v>
      </c>
      <c r="D1583" s="45"/>
    </row>
    <row r="1584" spans="2:4" ht="16" thickBot="1" x14ac:dyDescent="0.25">
      <c r="B1584" s="4">
        <v>1579</v>
      </c>
      <c r="C1584" s="4">
        <v>78.235220814217143</v>
      </c>
      <c r="D1584" s="45"/>
    </row>
    <row r="1585" spans="2:4" ht="16" thickBot="1" x14ac:dyDescent="0.25">
      <c r="B1585" s="5">
        <v>1580</v>
      </c>
      <c r="C1585" s="5">
        <v>190.2082760625764</v>
      </c>
      <c r="D1585" s="45"/>
    </row>
    <row r="1586" spans="2:4" ht="16" thickBot="1" x14ac:dyDescent="0.25">
      <c r="B1586" s="4">
        <v>1581</v>
      </c>
      <c r="C1586" s="4">
        <v>308.6090743150757</v>
      </c>
      <c r="D1586" s="45"/>
    </row>
    <row r="1587" spans="2:4" ht="16" thickBot="1" x14ac:dyDescent="0.25">
      <c r="B1587" s="5">
        <v>1582</v>
      </c>
      <c r="C1587" s="5">
        <v>316.17700730626399</v>
      </c>
      <c r="D1587" s="45"/>
    </row>
    <row r="1588" spans="2:4" ht="16" thickBot="1" x14ac:dyDescent="0.25">
      <c r="B1588" s="4">
        <v>1583</v>
      </c>
      <c r="C1588" s="4">
        <v>199.25693103482629</v>
      </c>
      <c r="D1588" s="45"/>
    </row>
    <row r="1589" spans="2:4" ht="16" thickBot="1" x14ac:dyDescent="0.25">
      <c r="B1589" s="5">
        <v>1584</v>
      </c>
      <c r="C1589" s="5">
        <v>130.69867877194397</v>
      </c>
      <c r="D1589" s="45"/>
    </row>
    <row r="1590" spans="2:4" ht="16" thickBot="1" x14ac:dyDescent="0.25">
      <c r="B1590" s="4">
        <v>1585</v>
      </c>
      <c r="C1590" s="4">
        <v>245.62846752876573</v>
      </c>
      <c r="D1590" s="45"/>
    </row>
    <row r="1591" spans="2:4" ht="16" thickBot="1" x14ac:dyDescent="0.25">
      <c r="B1591" s="5">
        <v>1586</v>
      </c>
      <c r="C1591" s="5">
        <v>402.15491589361727</v>
      </c>
      <c r="D1591" s="45"/>
    </row>
    <row r="1592" spans="2:4" ht="16" thickBot="1" x14ac:dyDescent="0.25">
      <c r="B1592" s="4">
        <v>1587</v>
      </c>
      <c r="C1592" s="4">
        <v>214.04337191386782</v>
      </c>
      <c r="D1592" s="45"/>
    </row>
    <row r="1593" spans="2:4" ht="16" thickBot="1" x14ac:dyDescent="0.25">
      <c r="B1593" s="5">
        <v>1588</v>
      </c>
      <c r="C1593" s="5">
        <v>123.76767623954866</v>
      </c>
      <c r="D1593" s="45"/>
    </row>
    <row r="1594" spans="2:4" ht="16" thickBot="1" x14ac:dyDescent="0.25">
      <c r="B1594" s="4">
        <v>1589</v>
      </c>
      <c r="C1594" s="4">
        <v>134.88267589265715</v>
      </c>
      <c r="D1594" s="45"/>
    </row>
    <row r="1595" spans="2:4" ht="16" thickBot="1" x14ac:dyDescent="0.25">
      <c r="B1595" s="5">
        <v>1590</v>
      </c>
      <c r="C1595" s="5">
        <v>240.50691466163357</v>
      </c>
      <c r="D1595" s="45"/>
    </row>
    <row r="1596" spans="2:4" ht="16" thickBot="1" x14ac:dyDescent="0.25">
      <c r="B1596" s="4">
        <v>1591</v>
      </c>
      <c r="C1596" s="4">
        <v>281.61675212163851</v>
      </c>
      <c r="D1596" s="45"/>
    </row>
    <row r="1597" spans="2:4" ht="16" thickBot="1" x14ac:dyDescent="0.25">
      <c r="B1597" s="5">
        <v>1592</v>
      </c>
      <c r="C1597" s="5">
        <v>267.1138048925406</v>
      </c>
      <c r="D1597" s="45"/>
    </row>
    <row r="1598" spans="2:4" ht="16" thickBot="1" x14ac:dyDescent="0.25">
      <c r="B1598" s="4">
        <v>1593</v>
      </c>
      <c r="C1598" s="4">
        <v>80.218685358723377</v>
      </c>
      <c r="D1598" s="45"/>
    </row>
    <row r="1599" spans="2:4" ht="16" thickBot="1" x14ac:dyDescent="0.25">
      <c r="B1599" s="5">
        <v>1594</v>
      </c>
      <c r="C1599" s="5">
        <v>118.88186324347606</v>
      </c>
      <c r="D1599" s="45"/>
    </row>
    <row r="1600" spans="2:4" ht="16" thickBot="1" x14ac:dyDescent="0.25">
      <c r="B1600" s="4">
        <v>1595</v>
      </c>
      <c r="C1600" s="4">
        <v>368.71653685549796</v>
      </c>
      <c r="D1600" s="45"/>
    </row>
    <row r="1601" spans="2:4" ht="16" thickBot="1" x14ac:dyDescent="0.25">
      <c r="B1601" s="5">
        <v>1596</v>
      </c>
      <c r="C1601" s="5">
        <v>136.35365774570235</v>
      </c>
      <c r="D1601" s="45"/>
    </row>
    <row r="1602" spans="2:4" ht="16" thickBot="1" x14ac:dyDescent="0.25">
      <c r="B1602" s="4">
        <v>1597</v>
      </c>
      <c r="C1602" s="4">
        <v>273.51347683965673</v>
      </c>
      <c r="D1602" s="45"/>
    </row>
    <row r="1603" spans="2:4" ht="16" thickBot="1" x14ac:dyDescent="0.25">
      <c r="B1603" s="5">
        <v>1598</v>
      </c>
      <c r="C1603" s="5">
        <v>134.14418571630773</v>
      </c>
      <c r="D1603" s="45"/>
    </row>
    <row r="1604" spans="2:4" ht="16" thickBot="1" x14ac:dyDescent="0.25">
      <c r="B1604" s="4">
        <v>1599</v>
      </c>
      <c r="C1604" s="4">
        <v>180.43058645579802</v>
      </c>
      <c r="D1604" s="45"/>
    </row>
    <row r="1605" spans="2:4" ht="16" thickBot="1" x14ac:dyDescent="0.25">
      <c r="B1605" s="5">
        <v>1600</v>
      </c>
      <c r="C1605" s="5">
        <v>107.19581215843213</v>
      </c>
      <c r="D1605" s="45"/>
    </row>
    <row r="1606" spans="2:4" ht="16" thickBot="1" x14ac:dyDescent="0.25">
      <c r="B1606" s="4">
        <v>1601</v>
      </c>
      <c r="C1606" s="4">
        <v>88.053341042924103</v>
      </c>
      <c r="D1606" s="45"/>
    </row>
    <row r="1607" spans="2:4" ht="16" thickBot="1" x14ac:dyDescent="0.25">
      <c r="B1607" s="5">
        <v>1602</v>
      </c>
      <c r="C1607" s="5">
        <v>213.51751033121946</v>
      </c>
      <c r="D1607" s="45"/>
    </row>
    <row r="1608" spans="2:4" ht="16" thickBot="1" x14ac:dyDescent="0.25">
      <c r="B1608" s="4">
        <v>1603</v>
      </c>
      <c r="C1608" s="4">
        <v>99.258555204931199</v>
      </c>
      <c r="D1608" s="45"/>
    </row>
    <row r="1609" spans="2:4" ht="16" thickBot="1" x14ac:dyDescent="0.25">
      <c r="B1609" s="5">
        <v>1604</v>
      </c>
      <c r="C1609" s="5">
        <v>100.24703164887039</v>
      </c>
      <c r="D1609" s="45"/>
    </row>
    <row r="1610" spans="2:4" ht="16" thickBot="1" x14ac:dyDescent="0.25">
      <c r="B1610" s="4">
        <v>1605</v>
      </c>
      <c r="C1610" s="4">
        <v>53.298513593140704</v>
      </c>
      <c r="D1610" s="45"/>
    </row>
    <row r="1611" spans="2:4" ht="16" thickBot="1" x14ac:dyDescent="0.25">
      <c r="B1611" s="5">
        <v>1606</v>
      </c>
      <c r="C1611" s="5">
        <v>187.73339845072684</v>
      </c>
      <c r="D1611" s="45"/>
    </row>
    <row r="1612" spans="2:4" ht="16" thickBot="1" x14ac:dyDescent="0.25">
      <c r="B1612" s="4">
        <v>1607</v>
      </c>
      <c r="C1612" s="4">
        <v>181.90163695182287</v>
      </c>
      <c r="D1612" s="45"/>
    </row>
    <row r="1613" spans="2:4" ht="16" thickBot="1" x14ac:dyDescent="0.25">
      <c r="B1613" s="5">
        <v>1608</v>
      </c>
      <c r="C1613" s="5">
        <v>215.21964807328999</v>
      </c>
      <c r="D1613" s="45"/>
    </row>
    <row r="1614" spans="2:4" ht="16" thickBot="1" x14ac:dyDescent="0.25">
      <c r="B1614" s="4">
        <v>1609</v>
      </c>
      <c r="C1614" s="4">
        <v>191.920309733794</v>
      </c>
      <c r="D1614" s="45"/>
    </row>
    <row r="1615" spans="2:4" ht="16" thickBot="1" x14ac:dyDescent="0.25">
      <c r="B1615" s="5">
        <v>1610</v>
      </c>
      <c r="C1615" s="5">
        <v>67.13185111392437</v>
      </c>
      <c r="D1615" s="45"/>
    </row>
    <row r="1616" spans="2:4" ht="16" thickBot="1" x14ac:dyDescent="0.25">
      <c r="B1616" s="4">
        <v>1611</v>
      </c>
      <c r="C1616" s="4">
        <v>191.72856161361915</v>
      </c>
      <c r="D1616" s="45"/>
    </row>
    <row r="1617" spans="2:4" ht="16" thickBot="1" x14ac:dyDescent="0.25">
      <c r="B1617" s="5">
        <v>1612</v>
      </c>
      <c r="C1617" s="5">
        <v>56.166258128054821</v>
      </c>
      <c r="D1617" s="45"/>
    </row>
    <row r="1618" spans="2:4" ht="16" thickBot="1" x14ac:dyDescent="0.25">
      <c r="B1618" s="4">
        <v>1613</v>
      </c>
      <c r="C1618" s="4">
        <v>164.58228534107516</v>
      </c>
      <c r="D1618" s="45"/>
    </row>
    <row r="1619" spans="2:4" ht="16" thickBot="1" x14ac:dyDescent="0.25">
      <c r="B1619" s="5">
        <v>1614</v>
      </c>
      <c r="C1619" s="5">
        <v>59.641044189258736</v>
      </c>
      <c r="D1619" s="45"/>
    </row>
    <row r="1620" spans="2:4" ht="16" thickBot="1" x14ac:dyDescent="0.25">
      <c r="B1620" s="4">
        <v>1615</v>
      </c>
      <c r="C1620" s="4">
        <v>189.10108679879843</v>
      </c>
      <c r="D1620" s="45"/>
    </row>
    <row r="1621" spans="2:4" ht="16" thickBot="1" x14ac:dyDescent="0.25">
      <c r="B1621" s="5">
        <v>1616</v>
      </c>
      <c r="C1621" s="5">
        <v>60.954557468319507</v>
      </c>
      <c r="D1621" s="45"/>
    </row>
    <row r="1622" spans="2:4" ht="16" thickBot="1" x14ac:dyDescent="0.25">
      <c r="B1622" s="4">
        <v>1617</v>
      </c>
      <c r="C1622" s="4">
        <v>222.00306758202422</v>
      </c>
      <c r="D1622" s="45"/>
    </row>
    <row r="1623" spans="2:4" ht="16" thickBot="1" x14ac:dyDescent="0.25">
      <c r="B1623" s="5">
        <v>1618</v>
      </c>
      <c r="C1623" s="5">
        <v>144.71046252725279</v>
      </c>
      <c r="D1623" s="45"/>
    </row>
    <row r="1624" spans="2:4" ht="16" thickBot="1" x14ac:dyDescent="0.25">
      <c r="B1624" s="4">
        <v>1619</v>
      </c>
      <c r="C1624" s="4">
        <v>165.86930835477895</v>
      </c>
      <c r="D1624" s="45"/>
    </row>
    <row r="1625" spans="2:4" ht="16" thickBot="1" x14ac:dyDescent="0.25">
      <c r="B1625" s="5">
        <v>1620</v>
      </c>
      <c r="C1625" s="5">
        <v>162.44236946105659</v>
      </c>
      <c r="D1625" s="45"/>
    </row>
    <row r="1626" spans="2:4" ht="16" thickBot="1" x14ac:dyDescent="0.25">
      <c r="B1626" s="4">
        <v>1621</v>
      </c>
      <c r="C1626" s="4">
        <v>122.89282706223031</v>
      </c>
      <c r="D1626" s="45"/>
    </row>
    <row r="1627" spans="2:4" ht="16" thickBot="1" x14ac:dyDescent="0.25">
      <c r="B1627" s="5">
        <v>1622</v>
      </c>
      <c r="C1627" s="5">
        <v>88.250343226401711</v>
      </c>
      <c r="D1627" s="45"/>
    </row>
    <row r="1628" spans="2:4" ht="16" thickBot="1" x14ac:dyDescent="0.25">
      <c r="B1628" s="4">
        <v>1623</v>
      </c>
      <c r="C1628" s="4">
        <v>94.071557872685503</v>
      </c>
      <c r="D1628" s="45"/>
    </row>
    <row r="1629" spans="2:4" ht="16" thickBot="1" x14ac:dyDescent="0.25">
      <c r="B1629" s="5">
        <v>1624</v>
      </c>
      <c r="C1629" s="5">
        <v>138.7546083489529</v>
      </c>
      <c r="D1629" s="45"/>
    </row>
    <row r="1630" spans="2:4" ht="16" thickBot="1" x14ac:dyDescent="0.25">
      <c r="B1630" s="4">
        <v>1625</v>
      </c>
      <c r="C1630" s="4">
        <v>85.675294430832253</v>
      </c>
      <c r="D1630" s="45"/>
    </row>
    <row r="1631" spans="2:4" ht="16" thickBot="1" x14ac:dyDescent="0.25">
      <c r="B1631" s="5">
        <v>1626</v>
      </c>
      <c r="C1631" s="5">
        <v>166.36460074348778</v>
      </c>
      <c r="D1631" s="45"/>
    </row>
    <row r="1632" spans="2:4" ht="16" thickBot="1" x14ac:dyDescent="0.25">
      <c r="B1632" s="4">
        <v>1627</v>
      </c>
      <c r="C1632" s="4">
        <v>223.55211182403193</v>
      </c>
      <c r="D1632" s="45"/>
    </row>
    <row r="1633" spans="2:4" ht="16" thickBot="1" x14ac:dyDescent="0.25">
      <c r="B1633" s="5">
        <v>1628</v>
      </c>
      <c r="C1633" s="5">
        <v>255.67497100885225</v>
      </c>
      <c r="D1633" s="45"/>
    </row>
    <row r="1634" spans="2:4" ht="16" thickBot="1" x14ac:dyDescent="0.25">
      <c r="B1634" s="4">
        <v>1629</v>
      </c>
      <c r="C1634" s="4">
        <v>139.56653247791459</v>
      </c>
      <c r="D1634" s="45"/>
    </row>
    <row r="1635" spans="2:4" ht="16" thickBot="1" x14ac:dyDescent="0.25">
      <c r="B1635" s="5">
        <v>1630</v>
      </c>
      <c r="C1635" s="5">
        <v>111.61077486427737</v>
      </c>
      <c r="D1635" s="45"/>
    </row>
    <row r="1636" spans="2:4" ht="16" thickBot="1" x14ac:dyDescent="0.25">
      <c r="B1636" s="4">
        <v>1631</v>
      </c>
      <c r="C1636" s="4">
        <v>84.144795820115576</v>
      </c>
      <c r="D1636" s="45"/>
    </row>
    <row r="1637" spans="2:4" ht="16" thickBot="1" x14ac:dyDescent="0.25">
      <c r="B1637" s="5">
        <v>1632</v>
      </c>
      <c r="C1637" s="5">
        <v>89.255725466116132</v>
      </c>
      <c r="D1637" s="45"/>
    </row>
    <row r="1638" spans="2:4" ht="16" thickBot="1" x14ac:dyDescent="0.25">
      <c r="B1638" s="4">
        <v>1633</v>
      </c>
      <c r="C1638" s="4">
        <v>167.11447997403403</v>
      </c>
      <c r="D1638" s="45"/>
    </row>
    <row r="1639" spans="2:4" ht="16" thickBot="1" x14ac:dyDescent="0.25">
      <c r="B1639" s="5">
        <v>1634</v>
      </c>
      <c r="C1639" s="5">
        <v>276.02011161260486</v>
      </c>
      <c r="D1639" s="45"/>
    </row>
    <row r="1640" spans="2:4" ht="16" thickBot="1" x14ac:dyDescent="0.25">
      <c r="B1640" s="4">
        <v>1635</v>
      </c>
      <c r="C1640" s="4">
        <v>112.74649779084149</v>
      </c>
      <c r="D1640" s="45"/>
    </row>
    <row r="1641" spans="2:4" ht="16" thickBot="1" x14ac:dyDescent="0.25">
      <c r="B1641" s="5">
        <v>1636</v>
      </c>
      <c r="C1641" s="5">
        <v>144.79319043543404</v>
      </c>
      <c r="D1641" s="45"/>
    </row>
    <row r="1642" spans="2:4" ht="16" thickBot="1" x14ac:dyDescent="0.25">
      <c r="B1642" s="4">
        <v>1637</v>
      </c>
      <c r="C1642" s="4">
        <v>181.78061569902871</v>
      </c>
      <c r="D1642" s="45"/>
    </row>
    <row r="1643" spans="2:4" ht="16" thickBot="1" x14ac:dyDescent="0.25">
      <c r="B1643" s="5">
        <v>1638</v>
      </c>
      <c r="C1643" s="5">
        <v>122.65288933648141</v>
      </c>
      <c r="D1643" s="45"/>
    </row>
    <row r="1644" spans="2:4" ht="16" thickBot="1" x14ac:dyDescent="0.25">
      <c r="B1644" s="4">
        <v>1639</v>
      </c>
      <c r="C1644" s="4">
        <v>136.28890726991537</v>
      </c>
      <c r="D1644" s="45"/>
    </row>
    <row r="1645" spans="2:4" ht="16" thickBot="1" x14ac:dyDescent="0.25">
      <c r="B1645" s="5">
        <v>1640</v>
      </c>
      <c r="C1645" s="5">
        <v>121.14537195113898</v>
      </c>
      <c r="D1645" s="45"/>
    </row>
    <row r="1646" spans="2:4" ht="16" thickBot="1" x14ac:dyDescent="0.25">
      <c r="B1646" s="4">
        <v>1641</v>
      </c>
      <c r="C1646" s="4">
        <v>270.23132989620711</v>
      </c>
      <c r="D1646" s="45"/>
    </row>
    <row r="1647" spans="2:4" ht="16" thickBot="1" x14ac:dyDescent="0.25">
      <c r="B1647" s="5">
        <v>1642</v>
      </c>
      <c r="C1647" s="5">
        <v>202.53519838486736</v>
      </c>
      <c r="D1647" s="45"/>
    </row>
    <row r="1648" spans="2:4" ht="16" thickBot="1" x14ac:dyDescent="0.25">
      <c r="B1648" s="4">
        <v>1643</v>
      </c>
      <c r="C1648" s="4">
        <v>121.83400433547385</v>
      </c>
      <c r="D1648" s="45"/>
    </row>
    <row r="1649" spans="2:4" ht="16" thickBot="1" x14ac:dyDescent="0.25">
      <c r="B1649" s="5">
        <v>1644</v>
      </c>
      <c r="C1649" s="5">
        <v>190.66940540908291</v>
      </c>
      <c r="D1649" s="45"/>
    </row>
    <row r="1650" spans="2:4" ht="16" thickBot="1" x14ac:dyDescent="0.25">
      <c r="B1650" s="4">
        <v>1645</v>
      </c>
      <c r="C1650" s="4">
        <v>213.16912079671229</v>
      </c>
      <c r="D1650" s="45"/>
    </row>
    <row r="1651" spans="2:4" ht="16" thickBot="1" x14ac:dyDescent="0.25">
      <c r="B1651" s="5">
        <v>1646</v>
      </c>
      <c r="C1651" s="5">
        <v>59.103423794647362</v>
      </c>
      <c r="D1651" s="45"/>
    </row>
    <row r="1652" spans="2:4" ht="16" thickBot="1" x14ac:dyDescent="0.25">
      <c r="B1652" s="4">
        <v>1647</v>
      </c>
      <c r="C1652" s="4">
        <v>270.10389408292929</v>
      </c>
      <c r="D1652" s="45"/>
    </row>
    <row r="1653" spans="2:4" ht="16" thickBot="1" x14ac:dyDescent="0.25">
      <c r="B1653" s="5">
        <v>1648</v>
      </c>
      <c r="C1653" s="5">
        <v>112.82320478593593</v>
      </c>
      <c r="D1653" s="45"/>
    </row>
    <row r="1654" spans="2:4" ht="16" thickBot="1" x14ac:dyDescent="0.25">
      <c r="B1654" s="4">
        <v>1649</v>
      </c>
      <c r="C1654" s="4">
        <v>50.540155986779148</v>
      </c>
      <c r="D1654" s="45"/>
    </row>
    <row r="1655" spans="2:4" ht="16" thickBot="1" x14ac:dyDescent="0.25">
      <c r="B1655" s="5">
        <v>1650</v>
      </c>
      <c r="C1655" s="5">
        <v>248.82018267765633</v>
      </c>
      <c r="D1655" s="45"/>
    </row>
    <row r="1656" spans="2:4" ht="16" thickBot="1" x14ac:dyDescent="0.25">
      <c r="B1656" s="4">
        <v>1651</v>
      </c>
      <c r="C1656" s="4">
        <v>111.60783691150863</v>
      </c>
      <c r="D1656" s="45"/>
    </row>
    <row r="1657" spans="2:4" ht="16" thickBot="1" x14ac:dyDescent="0.25">
      <c r="B1657" s="5">
        <v>1652</v>
      </c>
      <c r="C1657" s="5">
        <v>206.85688549625721</v>
      </c>
      <c r="D1657" s="45"/>
    </row>
    <row r="1658" spans="2:4" ht="16" thickBot="1" x14ac:dyDescent="0.25">
      <c r="B1658" s="4">
        <v>1653</v>
      </c>
      <c r="C1658" s="4">
        <v>318.65623982811439</v>
      </c>
      <c r="D1658" s="45"/>
    </row>
    <row r="1659" spans="2:4" ht="16" thickBot="1" x14ac:dyDescent="0.25">
      <c r="B1659" s="5">
        <v>1654</v>
      </c>
      <c r="C1659" s="5">
        <v>171.46189352916593</v>
      </c>
      <c r="D1659" s="45"/>
    </row>
    <row r="1660" spans="2:4" ht="16" thickBot="1" x14ac:dyDescent="0.25">
      <c r="B1660" s="4">
        <v>1655</v>
      </c>
      <c r="C1660" s="4">
        <v>156.64446498334925</v>
      </c>
      <c r="D1660" s="45"/>
    </row>
    <row r="1661" spans="2:4" ht="16" thickBot="1" x14ac:dyDescent="0.25">
      <c r="B1661" s="5">
        <v>1656</v>
      </c>
      <c r="C1661" s="5">
        <v>122.59615721194508</v>
      </c>
      <c r="D1661" s="45"/>
    </row>
    <row r="1662" spans="2:4" ht="16" thickBot="1" x14ac:dyDescent="0.25">
      <c r="B1662" s="4">
        <v>1657</v>
      </c>
      <c r="C1662" s="4">
        <v>125.21978330260059</v>
      </c>
      <c r="D1662" s="45"/>
    </row>
    <row r="1663" spans="2:4" ht="16" thickBot="1" x14ac:dyDescent="0.25">
      <c r="B1663" s="5">
        <v>1658</v>
      </c>
      <c r="C1663" s="5">
        <v>73.885423647261049</v>
      </c>
      <c r="D1663" s="45"/>
    </row>
    <row r="1664" spans="2:4" ht="16" thickBot="1" x14ac:dyDescent="0.25">
      <c r="B1664" s="4">
        <v>1659</v>
      </c>
      <c r="C1664" s="4">
        <v>79.909273708318935</v>
      </c>
      <c r="D1664" s="45"/>
    </row>
    <row r="1665" spans="2:4" ht="16" thickBot="1" x14ac:dyDescent="0.25">
      <c r="B1665" s="5">
        <v>1660</v>
      </c>
      <c r="C1665" s="5">
        <v>247.35886733019024</v>
      </c>
      <c r="D1665" s="45"/>
    </row>
    <row r="1666" spans="2:4" ht="16" thickBot="1" x14ac:dyDescent="0.25">
      <c r="B1666" s="4">
        <v>1661</v>
      </c>
      <c r="C1666" s="4">
        <v>98.343667313376272</v>
      </c>
      <c r="D1666" s="45"/>
    </row>
    <row r="1667" spans="2:4" ht="16" thickBot="1" x14ac:dyDescent="0.25">
      <c r="B1667" s="5">
        <v>1662</v>
      </c>
      <c r="C1667" s="5">
        <v>85.209886072995886</v>
      </c>
      <c r="D1667" s="45"/>
    </row>
    <row r="1668" spans="2:4" ht="16" thickBot="1" x14ac:dyDescent="0.25">
      <c r="B1668" s="4">
        <v>1663</v>
      </c>
      <c r="C1668" s="4">
        <v>132.33109769839999</v>
      </c>
      <c r="D1668" s="45"/>
    </row>
    <row r="1669" spans="2:4" ht="16" thickBot="1" x14ac:dyDescent="0.25">
      <c r="B1669" s="5">
        <v>1664</v>
      </c>
      <c r="C1669" s="5">
        <v>238.32349473753754</v>
      </c>
      <c r="D1669" s="45"/>
    </row>
    <row r="1670" spans="2:4" ht="16" thickBot="1" x14ac:dyDescent="0.25">
      <c r="B1670" s="4">
        <v>1665</v>
      </c>
      <c r="C1670" s="4">
        <v>138.46663432139323</v>
      </c>
      <c r="D1670" s="45"/>
    </row>
    <row r="1671" spans="2:4" ht="16" thickBot="1" x14ac:dyDescent="0.25">
      <c r="B1671" s="5">
        <v>1666</v>
      </c>
      <c r="C1671" s="5">
        <v>74.262379836493395</v>
      </c>
      <c r="D1671" s="45"/>
    </row>
    <row r="1672" spans="2:4" ht="16" thickBot="1" x14ac:dyDescent="0.25">
      <c r="B1672" s="4">
        <v>1667</v>
      </c>
      <c r="C1672" s="4">
        <v>46.170839303822149</v>
      </c>
      <c r="D1672" s="45"/>
    </row>
    <row r="1673" spans="2:4" ht="16" thickBot="1" x14ac:dyDescent="0.25">
      <c r="B1673" s="5">
        <v>1668</v>
      </c>
      <c r="C1673" s="5">
        <v>117.07591880062903</v>
      </c>
      <c r="D1673" s="45"/>
    </row>
    <row r="1674" spans="2:4" ht="16" thickBot="1" x14ac:dyDescent="0.25">
      <c r="B1674" s="4">
        <v>1669</v>
      </c>
      <c r="C1674" s="4">
        <v>142.74542504767584</v>
      </c>
      <c r="D1674" s="45"/>
    </row>
    <row r="1675" spans="2:4" ht="16" thickBot="1" x14ac:dyDescent="0.25">
      <c r="B1675" s="5">
        <v>1670</v>
      </c>
      <c r="C1675" s="5">
        <v>57.59339796524192</v>
      </c>
      <c r="D1675" s="45"/>
    </row>
    <row r="1676" spans="2:4" ht="16" thickBot="1" x14ac:dyDescent="0.25">
      <c r="B1676" s="4">
        <v>1671</v>
      </c>
      <c r="C1676" s="4">
        <v>183.61957888811375</v>
      </c>
      <c r="D1676" s="45"/>
    </row>
    <row r="1677" spans="2:4" ht="16" thickBot="1" x14ac:dyDescent="0.25">
      <c r="B1677" s="5">
        <v>1672</v>
      </c>
      <c r="C1677" s="5">
        <v>67.309701978107427</v>
      </c>
      <c r="D1677" s="45"/>
    </row>
    <row r="1678" spans="2:4" ht="16" thickBot="1" x14ac:dyDescent="0.25">
      <c r="B1678" s="4">
        <v>1673</v>
      </c>
      <c r="C1678" s="4">
        <v>99.819419415827142</v>
      </c>
      <c r="D1678" s="45"/>
    </row>
    <row r="1679" spans="2:4" ht="16" thickBot="1" x14ac:dyDescent="0.25">
      <c r="B1679" s="5">
        <v>1674</v>
      </c>
      <c r="C1679" s="5">
        <v>226.746822194798</v>
      </c>
      <c r="D1679" s="45"/>
    </row>
    <row r="1680" spans="2:4" ht="16" thickBot="1" x14ac:dyDescent="0.25">
      <c r="B1680" s="4">
        <v>1675</v>
      </c>
      <c r="C1680" s="4">
        <v>89.571227956127217</v>
      </c>
      <c r="D1680" s="45"/>
    </row>
    <row r="1681" spans="2:4" ht="16" thickBot="1" x14ac:dyDescent="0.25">
      <c r="B1681" s="5">
        <v>1676</v>
      </c>
      <c r="C1681" s="5">
        <v>136.52763654679899</v>
      </c>
      <c r="D1681" s="45"/>
    </row>
    <row r="1682" spans="2:4" ht="16" thickBot="1" x14ac:dyDescent="0.25">
      <c r="B1682" s="4">
        <v>1677</v>
      </c>
      <c r="C1682" s="4">
        <v>221.95499214643547</v>
      </c>
      <c r="D1682" s="45"/>
    </row>
    <row r="1683" spans="2:4" ht="16" thickBot="1" x14ac:dyDescent="0.25">
      <c r="B1683" s="5">
        <v>1678</v>
      </c>
      <c r="C1683" s="5">
        <v>112.39368699791062</v>
      </c>
      <c r="D1683" s="45"/>
    </row>
    <row r="1684" spans="2:4" ht="16" thickBot="1" x14ac:dyDescent="0.25">
      <c r="B1684" s="4">
        <v>1679</v>
      </c>
      <c r="C1684" s="4">
        <v>315.99703703461432</v>
      </c>
      <c r="D1684" s="45"/>
    </row>
    <row r="1685" spans="2:4" ht="16" thickBot="1" x14ac:dyDescent="0.25">
      <c r="B1685" s="5">
        <v>1680</v>
      </c>
      <c r="C1685" s="5">
        <v>241.99137587574728</v>
      </c>
      <c r="D1685" s="45"/>
    </row>
    <row r="1686" spans="2:4" ht="16" thickBot="1" x14ac:dyDescent="0.25">
      <c r="B1686" s="4">
        <v>1681</v>
      </c>
      <c r="C1686" s="4">
        <v>287.21003634321875</v>
      </c>
      <c r="D1686" s="45"/>
    </row>
    <row r="1687" spans="2:4" ht="16" thickBot="1" x14ac:dyDescent="0.25">
      <c r="B1687" s="5">
        <v>1682</v>
      </c>
      <c r="C1687" s="5">
        <v>111.57359936371583</v>
      </c>
      <c r="D1687" s="45"/>
    </row>
    <row r="1688" spans="2:4" ht="16" thickBot="1" x14ac:dyDescent="0.25">
      <c r="B1688" s="4">
        <v>1683</v>
      </c>
      <c r="C1688" s="4">
        <v>96.342604969797222</v>
      </c>
      <c r="D1688" s="45"/>
    </row>
    <row r="1689" spans="2:4" ht="16" thickBot="1" x14ac:dyDescent="0.25">
      <c r="B1689" s="5">
        <v>1684</v>
      </c>
      <c r="C1689" s="5">
        <v>199.19008763677525</v>
      </c>
      <c r="D1689" s="45"/>
    </row>
    <row r="1690" spans="2:4" ht="16" thickBot="1" x14ac:dyDescent="0.25">
      <c r="B1690" s="4">
        <v>1685</v>
      </c>
      <c r="C1690" s="4">
        <v>112.36747816432469</v>
      </c>
      <c r="D1690" s="45"/>
    </row>
    <row r="1691" spans="2:4" ht="16" thickBot="1" x14ac:dyDescent="0.25">
      <c r="B1691" s="5">
        <v>1686</v>
      </c>
      <c r="C1691" s="5">
        <v>135.35661180882994</v>
      </c>
      <c r="D1691" s="45"/>
    </row>
    <row r="1692" spans="2:4" ht="16" thickBot="1" x14ac:dyDescent="0.25">
      <c r="B1692" s="4">
        <v>1687</v>
      </c>
      <c r="C1692" s="4">
        <v>226.99469477222209</v>
      </c>
      <c r="D1692" s="45"/>
    </row>
    <row r="1693" spans="2:4" ht="16" thickBot="1" x14ac:dyDescent="0.25">
      <c r="B1693" s="5">
        <v>1688</v>
      </c>
      <c r="C1693" s="5">
        <v>212.29013095010862</v>
      </c>
      <c r="D1693" s="45"/>
    </row>
    <row r="1694" spans="2:4" ht="16" thickBot="1" x14ac:dyDescent="0.25">
      <c r="B1694" s="4">
        <v>1689</v>
      </c>
      <c r="C1694" s="4">
        <v>280.85871266689196</v>
      </c>
      <c r="D1694" s="45"/>
    </row>
    <row r="1695" spans="2:4" ht="16" thickBot="1" x14ac:dyDescent="0.25">
      <c r="B1695" s="5">
        <v>1690</v>
      </c>
      <c r="C1695" s="5">
        <v>129.90815372263395</v>
      </c>
      <c r="D1695" s="45"/>
    </row>
    <row r="1696" spans="2:4" ht="16" thickBot="1" x14ac:dyDescent="0.25">
      <c r="B1696" s="4">
        <v>1691</v>
      </c>
      <c r="C1696" s="4">
        <v>100.02139443873521</v>
      </c>
      <c r="D1696" s="45"/>
    </row>
    <row r="1697" spans="2:4" ht="16" thickBot="1" x14ac:dyDescent="0.25">
      <c r="B1697" s="5">
        <v>1692</v>
      </c>
      <c r="C1697" s="5">
        <v>96.358175382690305</v>
      </c>
      <c r="D1697" s="45"/>
    </row>
    <row r="1698" spans="2:4" ht="16" thickBot="1" x14ac:dyDescent="0.25">
      <c r="B1698" s="4">
        <v>1693</v>
      </c>
      <c r="C1698" s="4">
        <v>125.092915832749</v>
      </c>
      <c r="D1698" s="45"/>
    </row>
    <row r="1699" spans="2:4" ht="16" thickBot="1" x14ac:dyDescent="0.25">
      <c r="B1699" s="5">
        <v>1694</v>
      </c>
      <c r="C1699" s="5">
        <v>183.28871576183653</v>
      </c>
      <c r="D1699" s="45"/>
    </row>
    <row r="1700" spans="2:4" ht="16" thickBot="1" x14ac:dyDescent="0.25">
      <c r="B1700" s="4">
        <v>1695</v>
      </c>
      <c r="C1700" s="4">
        <v>134.77759948127729</v>
      </c>
      <c r="D1700" s="45"/>
    </row>
    <row r="1701" spans="2:4" ht="16" thickBot="1" x14ac:dyDescent="0.25">
      <c r="B1701" s="5">
        <v>1696</v>
      </c>
      <c r="C1701" s="5">
        <v>374.37597098001356</v>
      </c>
      <c r="D1701" s="45"/>
    </row>
    <row r="1702" spans="2:4" ht="16" thickBot="1" x14ac:dyDescent="0.25">
      <c r="B1702" s="4">
        <v>1697</v>
      </c>
      <c r="C1702" s="4">
        <v>490.93012134679395</v>
      </c>
      <c r="D1702" s="45"/>
    </row>
    <row r="1703" spans="2:4" ht="16" thickBot="1" x14ac:dyDescent="0.25">
      <c r="B1703" s="5">
        <v>1698</v>
      </c>
      <c r="C1703" s="5">
        <v>340.08151424794602</v>
      </c>
      <c r="D1703" s="45"/>
    </row>
    <row r="1704" spans="2:4" ht="16" thickBot="1" x14ac:dyDescent="0.25">
      <c r="B1704" s="4">
        <v>1699</v>
      </c>
      <c r="C1704" s="4">
        <v>109.48828106074382</v>
      </c>
      <c r="D1704" s="45"/>
    </row>
    <row r="1705" spans="2:4" ht="16" thickBot="1" x14ac:dyDescent="0.25">
      <c r="B1705" s="5">
        <v>1700</v>
      </c>
      <c r="C1705" s="5">
        <v>105.26756627831848</v>
      </c>
      <c r="D1705" s="45"/>
    </row>
    <row r="1706" spans="2:4" ht="16" thickBot="1" x14ac:dyDescent="0.25">
      <c r="B1706" s="4">
        <v>1701</v>
      </c>
      <c r="C1706" s="4">
        <v>162.17357607008532</v>
      </c>
      <c r="D1706" s="45"/>
    </row>
    <row r="1707" spans="2:4" ht="16" thickBot="1" x14ac:dyDescent="0.25">
      <c r="B1707" s="5">
        <v>1702</v>
      </c>
      <c r="C1707" s="5">
        <v>138.66839188751948</v>
      </c>
      <c r="D1707" s="45"/>
    </row>
    <row r="1708" spans="2:4" ht="16" thickBot="1" x14ac:dyDescent="0.25">
      <c r="B1708" s="4">
        <v>1703</v>
      </c>
      <c r="C1708" s="4">
        <v>120.56523120882048</v>
      </c>
      <c r="D1708" s="45"/>
    </row>
    <row r="1709" spans="2:4" ht="16" thickBot="1" x14ac:dyDescent="0.25">
      <c r="B1709" s="5">
        <v>1704</v>
      </c>
      <c r="C1709" s="5">
        <v>110.60840462803135</v>
      </c>
      <c r="D1709" s="45"/>
    </row>
    <row r="1710" spans="2:4" ht="16" thickBot="1" x14ac:dyDescent="0.25">
      <c r="B1710" s="4">
        <v>1705</v>
      </c>
      <c r="C1710" s="4">
        <v>180.6796963313775</v>
      </c>
      <c r="D1710" s="45"/>
    </row>
    <row r="1711" spans="2:4" ht="16" thickBot="1" x14ac:dyDescent="0.25">
      <c r="B1711" s="5">
        <v>1706</v>
      </c>
      <c r="C1711" s="5">
        <v>207.75621555908532</v>
      </c>
      <c r="D1711" s="45"/>
    </row>
    <row r="1712" spans="2:4" ht="16" thickBot="1" x14ac:dyDescent="0.25">
      <c r="B1712" s="4">
        <v>1707</v>
      </c>
      <c r="C1712" s="4">
        <v>94.175893072969885</v>
      </c>
      <c r="D1712" s="45"/>
    </row>
    <row r="1713" spans="2:4" ht="16" thickBot="1" x14ac:dyDescent="0.25">
      <c r="B1713" s="5">
        <v>1708</v>
      </c>
      <c r="C1713" s="5">
        <v>69.486961844828329</v>
      </c>
      <c r="D1713" s="45"/>
    </row>
    <row r="1714" spans="2:4" ht="16" thickBot="1" x14ac:dyDescent="0.25">
      <c r="B1714" s="4">
        <v>1709</v>
      </c>
      <c r="C1714" s="4">
        <v>194.3393428566437</v>
      </c>
      <c r="D1714" s="45"/>
    </row>
    <row r="1715" spans="2:4" ht="16" thickBot="1" x14ac:dyDescent="0.25">
      <c r="B1715" s="5">
        <v>1710</v>
      </c>
      <c r="C1715" s="5">
        <v>79.292468636044845</v>
      </c>
      <c r="D1715" s="45"/>
    </row>
    <row r="1716" spans="2:4" ht="16" thickBot="1" x14ac:dyDescent="0.25">
      <c r="B1716" s="4">
        <v>1711</v>
      </c>
      <c r="C1716" s="4">
        <v>329.83386616561194</v>
      </c>
      <c r="D1716" s="45"/>
    </row>
    <row r="1717" spans="2:4" ht="16" thickBot="1" x14ac:dyDescent="0.25">
      <c r="B1717" s="5">
        <v>1712</v>
      </c>
      <c r="C1717" s="5">
        <v>142.96980359000818</v>
      </c>
      <c r="D1717" s="45"/>
    </row>
    <row r="1718" spans="2:4" ht="16" thickBot="1" x14ac:dyDescent="0.25">
      <c r="B1718" s="4">
        <v>1713</v>
      </c>
      <c r="C1718" s="4">
        <v>113.91650652629556</v>
      </c>
      <c r="D1718" s="45"/>
    </row>
    <row r="1719" spans="2:4" ht="16" thickBot="1" x14ac:dyDescent="0.25">
      <c r="B1719" s="5">
        <v>1714</v>
      </c>
      <c r="C1719" s="5">
        <v>228.02046335053464</v>
      </c>
      <c r="D1719" s="45"/>
    </row>
    <row r="1720" spans="2:4" ht="16" thickBot="1" x14ac:dyDescent="0.25">
      <c r="B1720" s="4">
        <v>1715</v>
      </c>
      <c r="C1720" s="4">
        <v>233.51232565404757</v>
      </c>
      <c r="D1720" s="45"/>
    </row>
    <row r="1721" spans="2:4" ht="16" thickBot="1" x14ac:dyDescent="0.25">
      <c r="B1721" s="5">
        <v>1716</v>
      </c>
      <c r="C1721" s="5">
        <v>414.93459284543434</v>
      </c>
      <c r="D1721" s="45"/>
    </row>
    <row r="1722" spans="2:4" ht="16" thickBot="1" x14ac:dyDescent="0.25">
      <c r="B1722" s="4">
        <v>1717</v>
      </c>
      <c r="C1722" s="4">
        <v>421.88245514024743</v>
      </c>
      <c r="D1722" s="45"/>
    </row>
    <row r="1723" spans="2:4" ht="16" thickBot="1" x14ac:dyDescent="0.25">
      <c r="B1723" s="5">
        <v>1718</v>
      </c>
      <c r="C1723" s="5">
        <v>220.4229306735979</v>
      </c>
      <c r="D1723" s="45"/>
    </row>
    <row r="1724" spans="2:4" ht="16" thickBot="1" x14ac:dyDescent="0.25">
      <c r="B1724" s="4">
        <v>1719</v>
      </c>
      <c r="C1724" s="4">
        <v>226.67771889501549</v>
      </c>
      <c r="D1724" s="45"/>
    </row>
    <row r="1725" spans="2:4" ht="16" thickBot="1" x14ac:dyDescent="0.25">
      <c r="B1725" s="5">
        <v>1720</v>
      </c>
      <c r="C1725" s="5">
        <v>231.28809975703217</v>
      </c>
      <c r="D1725" s="45"/>
    </row>
    <row r="1726" spans="2:4" ht="16" thickBot="1" x14ac:dyDescent="0.25">
      <c r="B1726" s="4">
        <v>1721</v>
      </c>
      <c r="C1726" s="4">
        <v>151.73989574533095</v>
      </c>
      <c r="D1726" s="45"/>
    </row>
    <row r="1727" spans="2:4" ht="16" thickBot="1" x14ac:dyDescent="0.25">
      <c r="B1727" s="5">
        <v>1722</v>
      </c>
      <c r="C1727" s="5">
        <v>127.64672595337991</v>
      </c>
      <c r="D1727" s="45"/>
    </row>
    <row r="1728" spans="2:4" ht="16" thickBot="1" x14ac:dyDescent="0.25">
      <c r="B1728" s="4">
        <v>1723</v>
      </c>
      <c r="C1728" s="4">
        <v>162.47817487228585</v>
      </c>
      <c r="D1728" s="45"/>
    </row>
    <row r="1729" spans="2:4" ht="16" thickBot="1" x14ac:dyDescent="0.25">
      <c r="B1729" s="5">
        <v>1724</v>
      </c>
      <c r="C1729" s="5">
        <v>149.63100520062306</v>
      </c>
      <c r="D1729" s="45"/>
    </row>
    <row r="1730" spans="2:4" ht="16" thickBot="1" x14ac:dyDescent="0.25">
      <c r="B1730" s="4">
        <v>1725</v>
      </c>
      <c r="C1730" s="4">
        <v>334.42454154927128</v>
      </c>
      <c r="D1730" s="45"/>
    </row>
    <row r="1731" spans="2:4" ht="16" thickBot="1" x14ac:dyDescent="0.25">
      <c r="B1731" s="5">
        <v>1726</v>
      </c>
      <c r="C1731" s="5">
        <v>291.19903558748041</v>
      </c>
      <c r="D1731" s="45"/>
    </row>
    <row r="1732" spans="2:4" ht="16" thickBot="1" x14ac:dyDescent="0.25">
      <c r="B1732" s="4">
        <v>1727</v>
      </c>
      <c r="C1732" s="4">
        <v>91.080271389377216</v>
      </c>
      <c r="D1732" s="45"/>
    </row>
    <row r="1733" spans="2:4" ht="16" thickBot="1" x14ac:dyDescent="0.25">
      <c r="B1733" s="5">
        <v>1728</v>
      </c>
      <c r="C1733" s="5">
        <v>80.839833014471921</v>
      </c>
      <c r="D1733" s="45"/>
    </row>
    <row r="1734" spans="2:4" ht="16" thickBot="1" x14ac:dyDescent="0.25">
      <c r="B1734" s="4">
        <v>1729</v>
      </c>
      <c r="C1734" s="4">
        <v>396.88064257190103</v>
      </c>
      <c r="D1734" s="45"/>
    </row>
    <row r="1735" spans="2:4" ht="16" thickBot="1" x14ac:dyDescent="0.25">
      <c r="B1735" s="5">
        <v>1730</v>
      </c>
      <c r="C1735" s="5">
        <v>288.56480762845786</v>
      </c>
      <c r="D1735" s="45"/>
    </row>
    <row r="1736" spans="2:4" ht="16" thickBot="1" x14ac:dyDescent="0.25">
      <c r="B1736" s="4">
        <v>1731</v>
      </c>
      <c r="C1736" s="4">
        <v>186.8561988723242</v>
      </c>
      <c r="D1736" s="45"/>
    </row>
    <row r="1737" spans="2:4" ht="16" thickBot="1" x14ac:dyDescent="0.25">
      <c r="B1737" s="5">
        <v>1732</v>
      </c>
      <c r="C1737" s="5">
        <v>189.7621824466342</v>
      </c>
      <c r="D1737" s="45"/>
    </row>
    <row r="1738" spans="2:4" ht="16" thickBot="1" x14ac:dyDescent="0.25">
      <c r="B1738" s="4">
        <v>1733</v>
      </c>
      <c r="C1738" s="4">
        <v>85.311388496257138</v>
      </c>
      <c r="D1738" s="45"/>
    </row>
    <row r="1739" spans="2:4" ht="16" thickBot="1" x14ac:dyDescent="0.25">
      <c r="B1739" s="5">
        <v>1734</v>
      </c>
      <c r="C1739" s="5">
        <v>100.10229345165311</v>
      </c>
      <c r="D1739" s="45"/>
    </row>
    <row r="1740" spans="2:4" ht="16" thickBot="1" x14ac:dyDescent="0.25">
      <c r="B1740" s="4">
        <v>1735</v>
      </c>
      <c r="C1740" s="4">
        <v>97.713768529066911</v>
      </c>
      <c r="D1740" s="45"/>
    </row>
    <row r="1741" spans="2:4" ht="16" thickBot="1" x14ac:dyDescent="0.25">
      <c r="B1741" s="5">
        <v>1736</v>
      </c>
      <c r="C1741" s="5">
        <v>226.22401927235097</v>
      </c>
      <c r="D1741" s="45"/>
    </row>
    <row r="1742" spans="2:4" ht="16" thickBot="1" x14ac:dyDescent="0.25">
      <c r="B1742" s="4">
        <v>1737</v>
      </c>
      <c r="C1742" s="4">
        <v>68.691793003202989</v>
      </c>
      <c r="D1742" s="45"/>
    </row>
    <row r="1743" spans="2:4" ht="16" thickBot="1" x14ac:dyDescent="0.25">
      <c r="B1743" s="5">
        <v>1738</v>
      </c>
      <c r="C1743" s="5">
        <v>115.11910207739827</v>
      </c>
      <c r="D1743" s="45"/>
    </row>
    <row r="1744" spans="2:4" ht="16" thickBot="1" x14ac:dyDescent="0.25">
      <c r="B1744" s="4">
        <v>1739</v>
      </c>
      <c r="C1744" s="4">
        <v>240.69521037544132</v>
      </c>
      <c r="D1744" s="45"/>
    </row>
    <row r="1745" spans="2:4" ht="16" thickBot="1" x14ac:dyDescent="0.25">
      <c r="B1745" s="5">
        <v>1740</v>
      </c>
      <c r="C1745" s="5">
        <v>123.96541967929831</v>
      </c>
      <c r="D1745" s="45"/>
    </row>
    <row r="1746" spans="2:4" ht="16" thickBot="1" x14ac:dyDescent="0.25">
      <c r="B1746" s="4">
        <v>1741</v>
      </c>
      <c r="C1746" s="4">
        <v>160.00221501135013</v>
      </c>
      <c r="D1746" s="45"/>
    </row>
    <row r="1747" spans="2:4" ht="16" thickBot="1" x14ac:dyDescent="0.25">
      <c r="B1747" s="5">
        <v>1742</v>
      </c>
      <c r="C1747" s="5">
        <v>113.03626924351119</v>
      </c>
      <c r="D1747" s="45"/>
    </row>
    <row r="1748" spans="2:4" ht="16" thickBot="1" x14ac:dyDescent="0.25">
      <c r="B1748" s="4">
        <v>1743</v>
      </c>
      <c r="C1748" s="4">
        <v>134.03645471483605</v>
      </c>
      <c r="D1748" s="45"/>
    </row>
    <row r="1749" spans="2:4" ht="16" thickBot="1" x14ac:dyDescent="0.25">
      <c r="B1749" s="5">
        <v>1744</v>
      </c>
      <c r="C1749" s="5">
        <v>120.18646463539507</v>
      </c>
      <c r="D1749" s="45"/>
    </row>
    <row r="1750" spans="2:4" ht="16" thickBot="1" x14ac:dyDescent="0.25">
      <c r="B1750" s="4">
        <v>1745</v>
      </c>
      <c r="C1750" s="4">
        <v>71.836289857227797</v>
      </c>
      <c r="D1750" s="45"/>
    </row>
    <row r="1751" spans="2:4" ht="16" thickBot="1" x14ac:dyDescent="0.25">
      <c r="B1751" s="5">
        <v>1746</v>
      </c>
      <c r="C1751" s="5">
        <v>106.4316049528077</v>
      </c>
      <c r="D1751" s="45"/>
    </row>
    <row r="1752" spans="2:4" ht="16" thickBot="1" x14ac:dyDescent="0.25">
      <c r="B1752" s="4">
        <v>1747</v>
      </c>
      <c r="C1752" s="4">
        <v>132.39805241354949</v>
      </c>
      <c r="D1752" s="45"/>
    </row>
    <row r="1753" spans="2:4" ht="16" thickBot="1" x14ac:dyDescent="0.25">
      <c r="B1753" s="5">
        <v>1748</v>
      </c>
      <c r="C1753" s="5">
        <v>107.29181428252139</v>
      </c>
      <c r="D1753" s="45"/>
    </row>
    <row r="1754" spans="2:4" ht="16" thickBot="1" x14ac:dyDescent="0.25">
      <c r="B1754" s="4">
        <v>1749</v>
      </c>
      <c r="C1754" s="4">
        <v>145.52528890960758</v>
      </c>
      <c r="D1754" s="45"/>
    </row>
    <row r="1755" spans="2:4" ht="16" thickBot="1" x14ac:dyDescent="0.25">
      <c r="B1755" s="5">
        <v>1750</v>
      </c>
      <c r="C1755" s="5">
        <v>142.75718264424589</v>
      </c>
      <c r="D1755" s="45"/>
    </row>
    <row r="1756" spans="2:4" ht="16" thickBot="1" x14ac:dyDescent="0.25">
      <c r="B1756" s="4">
        <v>1751</v>
      </c>
      <c r="C1756" s="4">
        <v>118.82010231698025</v>
      </c>
      <c r="D1756" s="45"/>
    </row>
    <row r="1757" spans="2:4" ht="16" thickBot="1" x14ac:dyDescent="0.25">
      <c r="B1757" s="5">
        <v>1752</v>
      </c>
      <c r="C1757" s="5">
        <v>211.56281381087658</v>
      </c>
      <c r="D1757" s="45"/>
    </row>
    <row r="1758" spans="2:4" ht="16" thickBot="1" x14ac:dyDescent="0.25">
      <c r="B1758" s="4">
        <v>1753</v>
      </c>
      <c r="C1758" s="4">
        <v>184.01546872566544</v>
      </c>
      <c r="D1758" s="45"/>
    </row>
    <row r="1759" spans="2:4" ht="16" thickBot="1" x14ac:dyDescent="0.25">
      <c r="B1759" s="5">
        <v>1754</v>
      </c>
      <c r="C1759" s="5">
        <v>316.17476045572778</v>
      </c>
      <c r="D1759" s="45"/>
    </row>
    <row r="1760" spans="2:4" ht="16" thickBot="1" x14ac:dyDescent="0.25">
      <c r="B1760" s="4">
        <v>1755</v>
      </c>
      <c r="C1760" s="4">
        <v>285.49139002940564</v>
      </c>
      <c r="D1760" s="45"/>
    </row>
    <row r="1761" spans="2:4" ht="16" thickBot="1" x14ac:dyDescent="0.25">
      <c r="B1761" s="5">
        <v>1756</v>
      </c>
      <c r="C1761" s="5">
        <v>182.2940513267408</v>
      </c>
      <c r="D1761" s="45"/>
    </row>
    <row r="1762" spans="2:4" ht="16" thickBot="1" x14ac:dyDescent="0.25">
      <c r="B1762" s="4">
        <v>1757</v>
      </c>
      <c r="C1762" s="4">
        <v>70.748124713549558</v>
      </c>
      <c r="D1762" s="45"/>
    </row>
    <row r="1763" spans="2:4" ht="16" thickBot="1" x14ac:dyDescent="0.25">
      <c r="B1763" s="5">
        <v>1758</v>
      </c>
      <c r="C1763" s="5">
        <v>329.37275444571912</v>
      </c>
      <c r="D1763" s="45"/>
    </row>
    <row r="1764" spans="2:4" ht="16" thickBot="1" x14ac:dyDescent="0.25">
      <c r="B1764" s="4">
        <v>1759</v>
      </c>
      <c r="C1764" s="4">
        <v>171.7000702538873</v>
      </c>
      <c r="D1764" s="45"/>
    </row>
    <row r="1765" spans="2:4" ht="16" thickBot="1" x14ac:dyDescent="0.25">
      <c r="B1765" s="5">
        <v>1760</v>
      </c>
      <c r="C1765" s="5">
        <v>144.7546949495522</v>
      </c>
      <c r="D1765" s="45"/>
    </row>
    <row r="1766" spans="2:4" ht="16" thickBot="1" x14ac:dyDescent="0.25">
      <c r="B1766" s="4">
        <v>1761</v>
      </c>
      <c r="C1766" s="4">
        <v>118.95302793823298</v>
      </c>
      <c r="D1766" s="45"/>
    </row>
    <row r="1767" spans="2:4" ht="16" thickBot="1" x14ac:dyDescent="0.25">
      <c r="B1767" s="5">
        <v>1762</v>
      </c>
      <c r="C1767" s="5">
        <v>171.72941421011927</v>
      </c>
      <c r="D1767" s="45"/>
    </row>
    <row r="1768" spans="2:4" ht="16" thickBot="1" x14ac:dyDescent="0.25">
      <c r="B1768" s="4">
        <v>1763</v>
      </c>
      <c r="C1768" s="4">
        <v>231.50931866603017</v>
      </c>
      <c r="D1768" s="45"/>
    </row>
    <row r="1769" spans="2:4" ht="16" thickBot="1" x14ac:dyDescent="0.25">
      <c r="B1769" s="5">
        <v>1764</v>
      </c>
      <c r="C1769" s="5">
        <v>177.23546395560086</v>
      </c>
      <c r="D1769" s="45"/>
    </row>
    <row r="1770" spans="2:4" ht="16" thickBot="1" x14ac:dyDescent="0.25">
      <c r="B1770" s="4">
        <v>1765</v>
      </c>
      <c r="C1770" s="4">
        <v>212.42409675704533</v>
      </c>
      <c r="D1770" s="45"/>
    </row>
    <row r="1771" spans="2:4" ht="16" thickBot="1" x14ac:dyDescent="0.25">
      <c r="B1771" s="5">
        <v>1766</v>
      </c>
      <c r="C1771" s="5">
        <v>581.13027425930932</v>
      </c>
      <c r="D1771" s="45"/>
    </row>
    <row r="1772" spans="2:4" ht="16" thickBot="1" x14ac:dyDescent="0.25">
      <c r="B1772" s="4">
        <v>1767</v>
      </c>
      <c r="C1772" s="4">
        <v>102.30224422945821</v>
      </c>
      <c r="D1772" s="45"/>
    </row>
    <row r="1773" spans="2:4" ht="16" thickBot="1" x14ac:dyDescent="0.25">
      <c r="B1773" s="5">
        <v>1768</v>
      </c>
      <c r="C1773" s="5">
        <v>82.104161323782023</v>
      </c>
      <c r="D1773" s="45"/>
    </row>
    <row r="1774" spans="2:4" ht="16" thickBot="1" x14ac:dyDescent="0.25">
      <c r="B1774" s="4">
        <v>1769</v>
      </c>
      <c r="C1774" s="4">
        <v>198.33316157218837</v>
      </c>
      <c r="D1774" s="45"/>
    </row>
    <row r="1775" spans="2:4" ht="16" thickBot="1" x14ac:dyDescent="0.25">
      <c r="B1775" s="5">
        <v>1770</v>
      </c>
      <c r="C1775" s="5">
        <v>142.98516902215525</v>
      </c>
      <c r="D1775" s="45"/>
    </row>
    <row r="1776" spans="2:4" ht="16" thickBot="1" x14ac:dyDescent="0.25">
      <c r="B1776" s="4">
        <v>1771</v>
      </c>
      <c r="C1776" s="4">
        <v>275.6330099880779</v>
      </c>
      <c r="D1776" s="45"/>
    </row>
    <row r="1777" spans="2:4" ht="16" thickBot="1" x14ac:dyDescent="0.25">
      <c r="B1777" s="5">
        <v>1772</v>
      </c>
      <c r="C1777" s="5">
        <v>189.14636898252363</v>
      </c>
      <c r="D1777" s="45"/>
    </row>
    <row r="1778" spans="2:4" ht="16" thickBot="1" x14ac:dyDescent="0.25">
      <c r="B1778" s="4">
        <v>1773</v>
      </c>
      <c r="C1778" s="4">
        <v>183.00079705627206</v>
      </c>
      <c r="D1778" s="45"/>
    </row>
    <row r="1779" spans="2:4" ht="16" thickBot="1" x14ac:dyDescent="0.25">
      <c r="B1779" s="5">
        <v>1774</v>
      </c>
      <c r="C1779" s="5">
        <v>129.49979234516624</v>
      </c>
      <c r="D1779" s="45"/>
    </row>
    <row r="1780" spans="2:4" ht="16" thickBot="1" x14ac:dyDescent="0.25">
      <c r="B1780" s="4">
        <v>1775</v>
      </c>
      <c r="C1780" s="4">
        <v>391.38481310926659</v>
      </c>
      <c r="D1780" s="45"/>
    </row>
    <row r="1781" spans="2:4" ht="16" thickBot="1" x14ac:dyDescent="0.25">
      <c r="B1781" s="5">
        <v>1776</v>
      </c>
      <c r="C1781" s="5">
        <v>203.43723940186132</v>
      </c>
      <c r="D1781" s="45"/>
    </row>
    <row r="1782" spans="2:4" ht="16" thickBot="1" x14ac:dyDescent="0.25">
      <c r="B1782" s="4">
        <v>1777</v>
      </c>
      <c r="C1782" s="4">
        <v>133.7123387103573</v>
      </c>
      <c r="D1782" s="45"/>
    </row>
    <row r="1783" spans="2:4" ht="16" thickBot="1" x14ac:dyDescent="0.25">
      <c r="B1783" s="5">
        <v>1778</v>
      </c>
      <c r="C1783" s="5">
        <v>65.230559440744571</v>
      </c>
      <c r="D1783" s="45"/>
    </row>
    <row r="1784" spans="2:4" ht="16" thickBot="1" x14ac:dyDescent="0.25">
      <c r="B1784" s="4">
        <v>1779</v>
      </c>
      <c r="C1784" s="4">
        <v>171.31609681205015</v>
      </c>
      <c r="D1784" s="45"/>
    </row>
    <row r="1785" spans="2:4" ht="16" thickBot="1" x14ac:dyDescent="0.25">
      <c r="B1785" s="5">
        <v>1780</v>
      </c>
      <c r="C1785" s="5">
        <v>248.73966469830026</v>
      </c>
      <c r="D1785" s="45"/>
    </row>
    <row r="1786" spans="2:4" ht="16" thickBot="1" x14ac:dyDescent="0.25">
      <c r="B1786" s="4">
        <v>1781</v>
      </c>
      <c r="C1786" s="4">
        <v>387.62837271501053</v>
      </c>
      <c r="D1786" s="45"/>
    </row>
    <row r="1787" spans="2:4" ht="16" thickBot="1" x14ac:dyDescent="0.25">
      <c r="B1787" s="5">
        <v>1782</v>
      </c>
      <c r="C1787" s="5">
        <v>172.72178844119415</v>
      </c>
      <c r="D1787" s="45"/>
    </row>
    <row r="1788" spans="2:4" ht="16" thickBot="1" x14ac:dyDescent="0.25">
      <c r="B1788" s="4">
        <v>1783</v>
      </c>
      <c r="C1788" s="4">
        <v>79.334329858083692</v>
      </c>
      <c r="D1788" s="45"/>
    </row>
    <row r="1789" spans="2:4" ht="16" thickBot="1" x14ac:dyDescent="0.25">
      <c r="B1789" s="5">
        <v>1784</v>
      </c>
      <c r="C1789" s="5">
        <v>103.58806332985917</v>
      </c>
      <c r="D1789" s="45"/>
    </row>
    <row r="1790" spans="2:4" ht="16" thickBot="1" x14ac:dyDescent="0.25">
      <c r="B1790" s="4">
        <v>1785</v>
      </c>
      <c r="C1790" s="4">
        <v>130.6579930695938</v>
      </c>
      <c r="D1790" s="45"/>
    </row>
    <row r="1791" spans="2:4" ht="16" thickBot="1" x14ac:dyDescent="0.25">
      <c r="B1791" s="5">
        <v>1786</v>
      </c>
      <c r="C1791" s="5">
        <v>220.07330077011363</v>
      </c>
      <c r="D1791" s="45"/>
    </row>
    <row r="1792" spans="2:4" ht="16" thickBot="1" x14ac:dyDescent="0.25">
      <c r="B1792" s="4">
        <v>1787</v>
      </c>
      <c r="C1792" s="4">
        <v>244.31789479238157</v>
      </c>
      <c r="D1792" s="45"/>
    </row>
    <row r="1793" spans="2:4" ht="16" thickBot="1" x14ac:dyDescent="0.25">
      <c r="B1793" s="5">
        <v>1788</v>
      </c>
      <c r="C1793" s="5">
        <v>277.74014497119794</v>
      </c>
      <c r="D1793" s="45"/>
    </row>
    <row r="1794" spans="2:4" ht="16" thickBot="1" x14ac:dyDescent="0.25">
      <c r="B1794" s="4">
        <v>1789</v>
      </c>
      <c r="C1794" s="4">
        <v>178.49968955937675</v>
      </c>
      <c r="D1794" s="45"/>
    </row>
    <row r="1795" spans="2:4" ht="16" thickBot="1" x14ac:dyDescent="0.25">
      <c r="B1795" s="5">
        <v>1790</v>
      </c>
      <c r="C1795" s="5">
        <v>108.91017125821864</v>
      </c>
      <c r="D1795" s="45"/>
    </row>
    <row r="1796" spans="2:4" ht="16" thickBot="1" x14ac:dyDescent="0.25">
      <c r="B1796" s="4">
        <v>1791</v>
      </c>
      <c r="C1796" s="4">
        <v>179.08254380534163</v>
      </c>
      <c r="D1796" s="45"/>
    </row>
    <row r="1797" spans="2:4" ht="16" thickBot="1" x14ac:dyDescent="0.25">
      <c r="B1797" s="5">
        <v>1792</v>
      </c>
      <c r="C1797" s="5">
        <v>63.725333350102915</v>
      </c>
      <c r="D1797" s="45"/>
    </row>
    <row r="1798" spans="2:4" ht="16" thickBot="1" x14ac:dyDescent="0.25">
      <c r="B1798" s="4">
        <v>1793</v>
      </c>
      <c r="C1798" s="4">
        <v>121.59899829215585</v>
      </c>
      <c r="D1798" s="45"/>
    </row>
    <row r="1799" spans="2:4" ht="16" thickBot="1" x14ac:dyDescent="0.25">
      <c r="B1799" s="5">
        <v>1794</v>
      </c>
      <c r="C1799" s="5">
        <v>118.6840181647482</v>
      </c>
      <c r="D1799" s="45"/>
    </row>
    <row r="1800" spans="2:4" ht="16" thickBot="1" x14ac:dyDescent="0.25">
      <c r="B1800" s="4">
        <v>1795</v>
      </c>
      <c r="C1800" s="4">
        <v>119.81119315248127</v>
      </c>
      <c r="D1800" s="45"/>
    </row>
    <row r="1801" spans="2:4" ht="16" thickBot="1" x14ac:dyDescent="0.25">
      <c r="B1801" s="5">
        <v>1796</v>
      </c>
      <c r="C1801" s="5">
        <v>164.16464049863944</v>
      </c>
      <c r="D1801" s="45"/>
    </row>
    <row r="1802" spans="2:4" ht="16" thickBot="1" x14ac:dyDescent="0.25">
      <c r="B1802" s="4">
        <v>1797</v>
      </c>
      <c r="C1802" s="4">
        <v>115.90082147941145</v>
      </c>
      <c r="D1802" s="45"/>
    </row>
    <row r="1803" spans="2:4" ht="16" thickBot="1" x14ac:dyDescent="0.25">
      <c r="B1803" s="5">
        <v>1798</v>
      </c>
      <c r="C1803" s="5">
        <v>195.6570463343391</v>
      </c>
      <c r="D1803" s="45"/>
    </row>
    <row r="1804" spans="2:4" ht="16" thickBot="1" x14ac:dyDescent="0.25">
      <c r="B1804" s="4">
        <v>1799</v>
      </c>
      <c r="C1804" s="4">
        <v>216.21714013607487</v>
      </c>
      <c r="D1804" s="45"/>
    </row>
    <row r="1805" spans="2:4" ht="16" thickBot="1" x14ac:dyDescent="0.25">
      <c r="B1805" s="5">
        <v>1800</v>
      </c>
      <c r="C1805" s="5">
        <v>170.11898769160032</v>
      </c>
      <c r="D1805" s="45"/>
    </row>
    <row r="1806" spans="2:4" ht="16" thickBot="1" x14ac:dyDescent="0.25">
      <c r="B1806" s="4">
        <v>1801</v>
      </c>
      <c r="C1806" s="4">
        <v>127.59590790573776</v>
      </c>
      <c r="D1806" s="45"/>
    </row>
    <row r="1807" spans="2:4" ht="16" thickBot="1" x14ac:dyDescent="0.25">
      <c r="B1807" s="5">
        <v>1802</v>
      </c>
      <c r="C1807" s="5">
        <v>102.29500914255412</v>
      </c>
      <c r="D1807" s="45"/>
    </row>
    <row r="1808" spans="2:4" ht="16" thickBot="1" x14ac:dyDescent="0.25">
      <c r="B1808" s="4">
        <v>1803</v>
      </c>
      <c r="C1808" s="4">
        <v>106.0351805518801</v>
      </c>
      <c r="D1808" s="45"/>
    </row>
    <row r="1809" spans="2:4" ht="16" thickBot="1" x14ac:dyDescent="0.25">
      <c r="B1809" s="5">
        <v>1804</v>
      </c>
      <c r="C1809" s="5">
        <v>155.33777932889799</v>
      </c>
      <c r="D1809" s="45"/>
    </row>
    <row r="1810" spans="2:4" ht="16" thickBot="1" x14ac:dyDescent="0.25">
      <c r="B1810" s="4">
        <v>1805</v>
      </c>
      <c r="C1810" s="4">
        <v>313.46632836903558</v>
      </c>
      <c r="D1810" s="45"/>
    </row>
    <row r="1811" spans="2:4" ht="16" thickBot="1" x14ac:dyDescent="0.25">
      <c r="B1811" s="5">
        <v>1806</v>
      </c>
      <c r="C1811" s="5">
        <v>86.599774621546644</v>
      </c>
      <c r="D1811" s="45"/>
    </row>
    <row r="1812" spans="2:4" ht="16" thickBot="1" x14ac:dyDescent="0.25">
      <c r="B1812" s="4">
        <v>1807</v>
      </c>
      <c r="C1812" s="4">
        <v>171.26010000819784</v>
      </c>
      <c r="D1812" s="45"/>
    </row>
    <row r="1813" spans="2:4" ht="16" thickBot="1" x14ac:dyDescent="0.25">
      <c r="B1813" s="5">
        <v>1808</v>
      </c>
      <c r="C1813" s="5">
        <v>94.726166939067312</v>
      </c>
      <c r="D1813" s="45"/>
    </row>
    <row r="1814" spans="2:4" ht="16" thickBot="1" x14ac:dyDescent="0.25">
      <c r="B1814" s="4">
        <v>1809</v>
      </c>
      <c r="C1814" s="4">
        <v>170.9847074551752</v>
      </c>
      <c r="D1814" s="45"/>
    </row>
    <row r="1815" spans="2:4" ht="16" thickBot="1" x14ac:dyDescent="0.25">
      <c r="B1815" s="5">
        <v>1810</v>
      </c>
      <c r="C1815" s="5">
        <v>191.74673458352245</v>
      </c>
      <c r="D1815" s="45"/>
    </row>
    <row r="1816" spans="2:4" ht="16" thickBot="1" x14ac:dyDescent="0.25">
      <c r="B1816" s="4">
        <v>1811</v>
      </c>
      <c r="C1816" s="4">
        <v>214.64823130954642</v>
      </c>
      <c r="D1816" s="45"/>
    </row>
    <row r="1817" spans="2:4" ht="16" thickBot="1" x14ac:dyDescent="0.25">
      <c r="B1817" s="5">
        <v>1812</v>
      </c>
      <c r="C1817" s="5">
        <v>300.37039023785752</v>
      </c>
      <c r="D1817" s="45"/>
    </row>
    <row r="1818" spans="2:4" ht="16" thickBot="1" x14ac:dyDescent="0.25">
      <c r="B1818" s="4">
        <v>1813</v>
      </c>
      <c r="C1818" s="4">
        <v>171.6960637754897</v>
      </c>
      <c r="D1818" s="45"/>
    </row>
    <row r="1819" spans="2:4" ht="16" thickBot="1" x14ac:dyDescent="0.25">
      <c r="B1819" s="5">
        <v>1814</v>
      </c>
      <c r="C1819" s="5">
        <v>343.73392315517856</v>
      </c>
      <c r="D1819" s="45"/>
    </row>
    <row r="1820" spans="2:4" ht="16" thickBot="1" x14ac:dyDescent="0.25">
      <c r="B1820" s="4">
        <v>1815</v>
      </c>
      <c r="C1820" s="4">
        <v>113.89141560345675</v>
      </c>
      <c r="D1820" s="45"/>
    </row>
    <row r="1821" spans="2:4" ht="16" thickBot="1" x14ac:dyDescent="0.25">
      <c r="B1821" s="5">
        <v>1816</v>
      </c>
      <c r="C1821" s="5">
        <v>255.19591320985148</v>
      </c>
      <c r="D1821" s="45"/>
    </row>
    <row r="1822" spans="2:4" ht="16" thickBot="1" x14ac:dyDescent="0.25">
      <c r="B1822" s="4">
        <v>1817</v>
      </c>
      <c r="C1822" s="4">
        <v>163.23444100861204</v>
      </c>
      <c r="D1822" s="45"/>
    </row>
    <row r="1823" spans="2:4" ht="16" thickBot="1" x14ac:dyDescent="0.25">
      <c r="B1823" s="5">
        <v>1818</v>
      </c>
      <c r="C1823" s="5">
        <v>137.91230869957587</v>
      </c>
      <c r="D1823" s="45"/>
    </row>
    <row r="1824" spans="2:4" ht="16" thickBot="1" x14ac:dyDescent="0.25">
      <c r="B1824" s="4">
        <v>1819</v>
      </c>
      <c r="C1824" s="4">
        <v>62.496097680267539</v>
      </c>
      <c r="D1824" s="45"/>
    </row>
    <row r="1825" spans="2:4" ht="16" thickBot="1" x14ac:dyDescent="0.25">
      <c r="B1825" s="5">
        <v>1820</v>
      </c>
      <c r="C1825" s="5">
        <v>143.80252365095402</v>
      </c>
      <c r="D1825" s="45"/>
    </row>
    <row r="1826" spans="2:4" ht="16" thickBot="1" x14ac:dyDescent="0.25">
      <c r="B1826" s="4">
        <v>1821</v>
      </c>
      <c r="C1826" s="4">
        <v>167.99994049184536</v>
      </c>
      <c r="D1826" s="45"/>
    </row>
    <row r="1827" spans="2:4" ht="16" thickBot="1" x14ac:dyDescent="0.25">
      <c r="B1827" s="5">
        <v>1822</v>
      </c>
      <c r="C1827" s="5">
        <v>107.24353700393785</v>
      </c>
      <c r="D1827" s="45"/>
    </row>
    <row r="1828" spans="2:4" ht="16" thickBot="1" x14ac:dyDescent="0.25">
      <c r="B1828" s="4">
        <v>1823</v>
      </c>
      <c r="C1828" s="4">
        <v>372.03829504329491</v>
      </c>
      <c r="D1828" s="45"/>
    </row>
    <row r="1829" spans="2:4" ht="16" thickBot="1" x14ac:dyDescent="0.25">
      <c r="B1829" s="5">
        <v>1824</v>
      </c>
      <c r="C1829" s="5">
        <v>334.37876833785214</v>
      </c>
      <c r="D1829" s="45"/>
    </row>
    <row r="1830" spans="2:4" ht="16" thickBot="1" x14ac:dyDescent="0.25">
      <c r="B1830" s="4">
        <v>1825</v>
      </c>
      <c r="C1830" s="4">
        <v>66.900440424223973</v>
      </c>
      <c r="D1830" s="45"/>
    </row>
    <row r="1831" spans="2:4" ht="16" thickBot="1" x14ac:dyDescent="0.25">
      <c r="B1831" s="5">
        <v>1826</v>
      </c>
      <c r="C1831" s="5">
        <v>303.1589939251561</v>
      </c>
      <c r="D1831" s="45"/>
    </row>
    <row r="1832" spans="2:4" ht="16" thickBot="1" x14ac:dyDescent="0.25">
      <c r="B1832" s="4">
        <v>1827</v>
      </c>
      <c r="C1832" s="4">
        <v>193.90436997025265</v>
      </c>
      <c r="D1832" s="45"/>
    </row>
    <row r="1833" spans="2:4" ht="16" thickBot="1" x14ac:dyDescent="0.25">
      <c r="B1833" s="5">
        <v>1828</v>
      </c>
      <c r="C1833" s="5">
        <v>221.53693925360182</v>
      </c>
      <c r="D1833" s="45"/>
    </row>
    <row r="1834" spans="2:4" ht="16" thickBot="1" x14ac:dyDescent="0.25">
      <c r="B1834" s="4">
        <v>1829</v>
      </c>
      <c r="C1834" s="4">
        <v>220.96399327756339</v>
      </c>
      <c r="D1834" s="45"/>
    </row>
    <row r="1835" spans="2:4" ht="16" thickBot="1" x14ac:dyDescent="0.25">
      <c r="B1835" s="5">
        <v>1830</v>
      </c>
      <c r="C1835" s="5">
        <v>129.59870083456937</v>
      </c>
      <c r="D1835" s="45"/>
    </row>
    <row r="1836" spans="2:4" ht="16" thickBot="1" x14ac:dyDescent="0.25">
      <c r="B1836" s="4">
        <v>1831</v>
      </c>
      <c r="C1836" s="4">
        <v>95.072488092705413</v>
      </c>
      <c r="D1836" s="45"/>
    </row>
    <row r="1837" spans="2:4" ht="16" thickBot="1" x14ac:dyDescent="0.25">
      <c r="B1837" s="5">
        <v>1832</v>
      </c>
      <c r="C1837" s="5">
        <v>319.84336482304599</v>
      </c>
      <c r="D1837" s="45"/>
    </row>
    <row r="1838" spans="2:4" ht="16" thickBot="1" x14ac:dyDescent="0.25">
      <c r="B1838" s="4">
        <v>1833</v>
      </c>
      <c r="C1838" s="4">
        <v>195.39736567309998</v>
      </c>
      <c r="D1838" s="45"/>
    </row>
    <row r="1839" spans="2:4" ht="16" thickBot="1" x14ac:dyDescent="0.25">
      <c r="B1839" s="5">
        <v>1834</v>
      </c>
      <c r="C1839" s="5">
        <v>244.74315256589298</v>
      </c>
      <c r="D1839" s="45"/>
    </row>
    <row r="1840" spans="2:4" ht="16" thickBot="1" x14ac:dyDescent="0.25">
      <c r="B1840" s="4">
        <v>1835</v>
      </c>
      <c r="C1840" s="4">
        <v>180.70226170785511</v>
      </c>
      <c r="D1840" s="45"/>
    </row>
    <row r="1841" spans="2:4" ht="16" thickBot="1" x14ac:dyDescent="0.25">
      <c r="B1841" s="5">
        <v>1836</v>
      </c>
      <c r="C1841" s="5">
        <v>187.63499527408237</v>
      </c>
      <c r="D1841" s="45"/>
    </row>
    <row r="1842" spans="2:4" ht="16" thickBot="1" x14ac:dyDescent="0.25">
      <c r="B1842" s="4">
        <v>1837</v>
      </c>
      <c r="C1842" s="4">
        <v>138.953370207956</v>
      </c>
      <c r="D1842" s="45"/>
    </row>
    <row r="1843" spans="2:4" ht="16" thickBot="1" x14ac:dyDescent="0.25">
      <c r="B1843" s="5">
        <v>1838</v>
      </c>
      <c r="C1843" s="5">
        <v>76.564161091082084</v>
      </c>
      <c r="D1843" s="45"/>
    </row>
    <row r="1844" spans="2:4" ht="16" thickBot="1" x14ac:dyDescent="0.25">
      <c r="B1844" s="4">
        <v>1839</v>
      </c>
      <c r="C1844" s="4">
        <v>208.35031212526025</v>
      </c>
      <c r="D1844" s="45"/>
    </row>
    <row r="1845" spans="2:4" ht="16" thickBot="1" x14ac:dyDescent="0.25">
      <c r="B1845" s="5">
        <v>1840</v>
      </c>
      <c r="C1845" s="5">
        <v>164.62928787011566</v>
      </c>
      <c r="D1845" s="45"/>
    </row>
    <row r="1846" spans="2:4" ht="16" thickBot="1" x14ac:dyDescent="0.25">
      <c r="B1846" s="4">
        <v>1841</v>
      </c>
      <c r="C1846" s="4">
        <v>289.91053096110517</v>
      </c>
      <c r="D1846" s="45"/>
    </row>
    <row r="1847" spans="2:4" ht="16" thickBot="1" x14ac:dyDescent="0.25">
      <c r="B1847" s="5">
        <v>1842</v>
      </c>
      <c r="C1847" s="5">
        <v>211.79290021459462</v>
      </c>
      <c r="D1847" s="45"/>
    </row>
    <row r="1848" spans="2:4" ht="16" thickBot="1" x14ac:dyDescent="0.25">
      <c r="B1848" s="4">
        <v>1843</v>
      </c>
      <c r="C1848" s="4">
        <v>152.34038739311313</v>
      </c>
      <c r="D1848" s="45"/>
    </row>
    <row r="1849" spans="2:4" ht="16" thickBot="1" x14ac:dyDescent="0.25">
      <c r="B1849" s="5">
        <v>1844</v>
      </c>
      <c r="C1849" s="5">
        <v>383.22680888669879</v>
      </c>
      <c r="D1849" s="45"/>
    </row>
    <row r="1850" spans="2:4" ht="16" thickBot="1" x14ac:dyDescent="0.25">
      <c r="B1850" s="4">
        <v>1845</v>
      </c>
      <c r="C1850" s="4">
        <v>67.123778472174294</v>
      </c>
      <c r="D1850" s="45"/>
    </row>
    <row r="1851" spans="2:4" ht="16" thickBot="1" x14ac:dyDescent="0.25">
      <c r="B1851" s="5">
        <v>1846</v>
      </c>
      <c r="C1851" s="5">
        <v>132.36249256854325</v>
      </c>
      <c r="D1851" s="45"/>
    </row>
    <row r="1852" spans="2:4" ht="16" thickBot="1" x14ac:dyDescent="0.25">
      <c r="B1852" s="4">
        <v>1847</v>
      </c>
      <c r="C1852" s="4">
        <v>142.44252530799625</v>
      </c>
      <c r="D1852" s="45"/>
    </row>
    <row r="1853" spans="2:4" ht="16" thickBot="1" x14ac:dyDescent="0.25">
      <c r="B1853" s="5">
        <v>1848</v>
      </c>
      <c r="C1853" s="5">
        <v>81.780630556806102</v>
      </c>
      <c r="D1853" s="45"/>
    </row>
    <row r="1854" spans="2:4" ht="16" thickBot="1" x14ac:dyDescent="0.25">
      <c r="B1854" s="4">
        <v>1849</v>
      </c>
      <c r="C1854" s="4">
        <v>118.52600181395745</v>
      </c>
      <c r="D1854" s="45"/>
    </row>
    <row r="1855" spans="2:4" ht="16" thickBot="1" x14ac:dyDescent="0.25">
      <c r="B1855" s="5">
        <v>1850</v>
      </c>
      <c r="C1855" s="5">
        <v>180.35122008388629</v>
      </c>
      <c r="D1855" s="45"/>
    </row>
    <row r="1856" spans="2:4" ht="16" thickBot="1" x14ac:dyDescent="0.25">
      <c r="B1856" s="4">
        <v>1851</v>
      </c>
      <c r="C1856" s="4">
        <v>112.4124836230404</v>
      </c>
      <c r="D1856" s="45"/>
    </row>
    <row r="1857" spans="2:4" ht="16" thickBot="1" x14ac:dyDescent="0.25">
      <c r="B1857" s="5">
        <v>1852</v>
      </c>
      <c r="C1857" s="5">
        <v>164.55658806160301</v>
      </c>
      <c r="D1857" s="45"/>
    </row>
    <row r="1858" spans="2:4" ht="16" thickBot="1" x14ac:dyDescent="0.25">
      <c r="B1858" s="4">
        <v>1853</v>
      </c>
      <c r="C1858" s="4">
        <v>116.22908481707512</v>
      </c>
      <c r="D1858" s="45"/>
    </row>
    <row r="1859" spans="2:4" ht="16" thickBot="1" x14ac:dyDescent="0.25">
      <c r="B1859" s="5">
        <v>1854</v>
      </c>
      <c r="C1859" s="5">
        <v>319.15443774023282</v>
      </c>
      <c r="D1859" s="45"/>
    </row>
    <row r="1860" spans="2:4" ht="16" thickBot="1" x14ac:dyDescent="0.25">
      <c r="B1860" s="4">
        <v>1855</v>
      </c>
      <c r="C1860" s="4">
        <v>65.792734858571436</v>
      </c>
      <c r="D1860" s="45"/>
    </row>
    <row r="1861" spans="2:4" ht="16" thickBot="1" x14ac:dyDescent="0.25">
      <c r="B1861" s="5">
        <v>1856</v>
      </c>
      <c r="C1861" s="5">
        <v>114.46271567117282</v>
      </c>
      <c r="D1861" s="45"/>
    </row>
    <row r="1862" spans="2:4" ht="16" thickBot="1" x14ac:dyDescent="0.25">
      <c r="B1862" s="4">
        <v>1857</v>
      </c>
      <c r="C1862" s="4">
        <v>96.641031791510272</v>
      </c>
      <c r="D1862" s="45"/>
    </row>
    <row r="1863" spans="2:4" ht="16" thickBot="1" x14ac:dyDescent="0.25">
      <c r="B1863" s="5">
        <v>1858</v>
      </c>
      <c r="C1863" s="5">
        <v>109.44725743129555</v>
      </c>
      <c r="D1863" s="45"/>
    </row>
    <row r="1864" spans="2:4" ht="16" thickBot="1" x14ac:dyDescent="0.25">
      <c r="B1864" s="4">
        <v>1859</v>
      </c>
      <c r="C1864" s="4">
        <v>177.65903829782607</v>
      </c>
      <c r="D1864" s="45"/>
    </row>
    <row r="1865" spans="2:4" ht="16" thickBot="1" x14ac:dyDescent="0.25">
      <c r="B1865" s="5">
        <v>1860</v>
      </c>
      <c r="C1865" s="5">
        <v>91.83601045584048</v>
      </c>
      <c r="D1865" s="45"/>
    </row>
    <row r="1866" spans="2:4" ht="16" thickBot="1" x14ac:dyDescent="0.25">
      <c r="B1866" s="4">
        <v>1861</v>
      </c>
      <c r="C1866" s="4">
        <v>133.15688069462846</v>
      </c>
      <c r="D1866" s="45"/>
    </row>
    <row r="1867" spans="2:4" ht="16" thickBot="1" x14ac:dyDescent="0.25">
      <c r="B1867" s="5">
        <v>1862</v>
      </c>
      <c r="C1867" s="5">
        <v>94.668099321692438</v>
      </c>
      <c r="D1867" s="45"/>
    </row>
    <row r="1868" spans="2:4" ht="16" thickBot="1" x14ac:dyDescent="0.25">
      <c r="B1868" s="4">
        <v>1863</v>
      </c>
      <c r="C1868" s="4">
        <v>212.96440259219301</v>
      </c>
      <c r="D1868" s="45"/>
    </row>
    <row r="1869" spans="2:4" ht="16" thickBot="1" x14ac:dyDescent="0.25">
      <c r="B1869" s="5">
        <v>1864</v>
      </c>
      <c r="C1869" s="5">
        <v>196.52985631609636</v>
      </c>
      <c r="D1869" s="45"/>
    </row>
    <row r="1870" spans="2:4" ht="16" thickBot="1" x14ac:dyDescent="0.25">
      <c r="B1870" s="4">
        <v>1865</v>
      </c>
      <c r="C1870" s="4">
        <v>165.98532193025315</v>
      </c>
      <c r="D1870" s="45"/>
    </row>
    <row r="1871" spans="2:4" ht="16" thickBot="1" x14ac:dyDescent="0.25">
      <c r="B1871" s="5">
        <v>1866</v>
      </c>
      <c r="C1871" s="5">
        <v>244.00957456079101</v>
      </c>
      <c r="D1871" s="45"/>
    </row>
    <row r="1872" spans="2:4" ht="16" thickBot="1" x14ac:dyDescent="0.25">
      <c r="B1872" s="4">
        <v>1867</v>
      </c>
      <c r="C1872" s="4">
        <v>78.544832705590551</v>
      </c>
      <c r="D1872" s="45"/>
    </row>
    <row r="1873" spans="2:4" ht="16" thickBot="1" x14ac:dyDescent="0.25">
      <c r="B1873" s="5">
        <v>1868</v>
      </c>
      <c r="C1873" s="5">
        <v>156.61167190687837</v>
      </c>
      <c r="D1873" s="45"/>
    </row>
    <row r="1874" spans="2:4" ht="16" thickBot="1" x14ac:dyDescent="0.25">
      <c r="B1874" s="4">
        <v>1869</v>
      </c>
      <c r="C1874" s="4">
        <v>337.79812113228388</v>
      </c>
      <c r="D1874" s="45"/>
    </row>
    <row r="1875" spans="2:4" ht="16" thickBot="1" x14ac:dyDescent="0.25">
      <c r="B1875" s="5">
        <v>1870</v>
      </c>
      <c r="C1875" s="5">
        <v>90.327119714849573</v>
      </c>
      <c r="D1875" s="45"/>
    </row>
    <row r="1876" spans="2:4" ht="16" thickBot="1" x14ac:dyDescent="0.25">
      <c r="B1876" s="4">
        <v>1871</v>
      </c>
      <c r="C1876" s="4">
        <v>128.49783294264043</v>
      </c>
      <c r="D1876" s="45"/>
    </row>
    <row r="1877" spans="2:4" ht="16" thickBot="1" x14ac:dyDescent="0.25">
      <c r="B1877" s="5">
        <v>1872</v>
      </c>
      <c r="C1877" s="5">
        <v>182.67862423872623</v>
      </c>
      <c r="D1877" s="45"/>
    </row>
    <row r="1878" spans="2:4" ht="16" thickBot="1" x14ac:dyDescent="0.25">
      <c r="B1878" s="4">
        <v>1873</v>
      </c>
      <c r="C1878" s="4">
        <v>61.011180011343313</v>
      </c>
      <c r="D1878" s="45"/>
    </row>
    <row r="1879" spans="2:4" ht="16" thickBot="1" x14ac:dyDescent="0.25">
      <c r="B1879" s="5">
        <v>1874</v>
      </c>
      <c r="C1879" s="5">
        <v>212.84032590302979</v>
      </c>
      <c r="D1879" s="45"/>
    </row>
    <row r="1880" spans="2:4" ht="16" thickBot="1" x14ac:dyDescent="0.25">
      <c r="B1880" s="4">
        <v>1875</v>
      </c>
      <c r="C1880" s="4">
        <v>257.55408904088119</v>
      </c>
      <c r="D1880" s="45"/>
    </row>
    <row r="1881" spans="2:4" ht="16" thickBot="1" x14ac:dyDescent="0.25">
      <c r="B1881" s="5">
        <v>1876</v>
      </c>
      <c r="C1881" s="5">
        <v>64.765412644342533</v>
      </c>
      <c r="D1881" s="45"/>
    </row>
    <row r="1882" spans="2:4" ht="16" thickBot="1" x14ac:dyDescent="0.25">
      <c r="B1882" s="4">
        <v>1877</v>
      </c>
      <c r="C1882" s="4">
        <v>101.35100179667174</v>
      </c>
      <c r="D1882" s="45"/>
    </row>
    <row r="1883" spans="2:4" ht="16" thickBot="1" x14ac:dyDescent="0.25">
      <c r="B1883" s="5">
        <v>1878</v>
      </c>
      <c r="C1883" s="5">
        <v>95.756773919405319</v>
      </c>
      <c r="D1883" s="45"/>
    </row>
    <row r="1884" spans="2:4" ht="16" thickBot="1" x14ac:dyDescent="0.25">
      <c r="B1884" s="4">
        <v>1879</v>
      </c>
      <c r="C1884" s="4">
        <v>310.41908830740243</v>
      </c>
      <c r="D1884" s="45"/>
    </row>
    <row r="1885" spans="2:4" ht="16" thickBot="1" x14ac:dyDescent="0.25">
      <c r="B1885" s="5">
        <v>1880</v>
      </c>
      <c r="C1885" s="5">
        <v>120.38487335412681</v>
      </c>
      <c r="D1885" s="45"/>
    </row>
    <row r="1886" spans="2:4" ht="16" thickBot="1" x14ac:dyDescent="0.25">
      <c r="B1886" s="4">
        <v>1881</v>
      </c>
      <c r="C1886" s="4">
        <v>100.1951746449883</v>
      </c>
      <c r="D1886" s="45"/>
    </row>
    <row r="1887" spans="2:4" ht="16" thickBot="1" x14ac:dyDescent="0.25">
      <c r="B1887" s="5">
        <v>1882</v>
      </c>
      <c r="C1887" s="5">
        <v>181.9462576418168</v>
      </c>
      <c r="D1887" s="45"/>
    </row>
    <row r="1888" spans="2:4" ht="16" thickBot="1" x14ac:dyDescent="0.25">
      <c r="B1888" s="4">
        <v>1883</v>
      </c>
      <c r="C1888" s="4">
        <v>125.13452858953883</v>
      </c>
      <c r="D1888" s="45"/>
    </row>
    <row r="1889" spans="2:4" ht="16" thickBot="1" x14ac:dyDescent="0.25">
      <c r="B1889" s="5">
        <v>1884</v>
      </c>
      <c r="C1889" s="5">
        <v>120.36647303846932</v>
      </c>
      <c r="D1889" s="45"/>
    </row>
    <row r="1890" spans="2:4" ht="16" thickBot="1" x14ac:dyDescent="0.25">
      <c r="B1890" s="4">
        <v>1885</v>
      </c>
      <c r="C1890" s="4">
        <v>180.18435169938465</v>
      </c>
      <c r="D1890" s="45"/>
    </row>
    <row r="1891" spans="2:4" ht="16" thickBot="1" x14ac:dyDescent="0.25">
      <c r="B1891" s="5">
        <v>1886</v>
      </c>
      <c r="C1891" s="5">
        <v>191.85501139172919</v>
      </c>
      <c r="D1891" s="45"/>
    </row>
    <row r="1892" spans="2:4" ht="16" thickBot="1" x14ac:dyDescent="0.25">
      <c r="B1892" s="4">
        <v>1887</v>
      </c>
      <c r="C1892" s="4">
        <v>168.42200768301936</v>
      </c>
      <c r="D1892" s="45"/>
    </row>
    <row r="1893" spans="2:4" ht="16" thickBot="1" x14ac:dyDescent="0.25">
      <c r="B1893" s="5">
        <v>1888</v>
      </c>
      <c r="C1893" s="5">
        <v>219.34647598951241</v>
      </c>
      <c r="D1893" s="45"/>
    </row>
    <row r="1894" spans="2:4" ht="16" thickBot="1" x14ac:dyDescent="0.25">
      <c r="B1894" s="4">
        <v>1889</v>
      </c>
      <c r="C1894" s="4">
        <v>211.35834367084132</v>
      </c>
      <c r="D1894" s="45"/>
    </row>
    <row r="1895" spans="2:4" ht="16" thickBot="1" x14ac:dyDescent="0.25">
      <c r="B1895" s="5">
        <v>1890</v>
      </c>
      <c r="C1895" s="5">
        <v>301.72383323172085</v>
      </c>
      <c r="D1895" s="45"/>
    </row>
    <row r="1896" spans="2:4" ht="16" thickBot="1" x14ac:dyDescent="0.25">
      <c r="B1896" s="4">
        <v>1891</v>
      </c>
      <c r="C1896" s="4">
        <v>71.143156836746513</v>
      </c>
      <c r="D1896" s="45"/>
    </row>
    <row r="1897" spans="2:4" ht="16" thickBot="1" x14ac:dyDescent="0.25">
      <c r="B1897" s="5">
        <v>1892</v>
      </c>
      <c r="C1897" s="5">
        <v>114.05718610611086</v>
      </c>
      <c r="D1897" s="45"/>
    </row>
    <row r="1898" spans="2:4" ht="16" thickBot="1" x14ac:dyDescent="0.25">
      <c r="B1898" s="4">
        <v>1893</v>
      </c>
      <c r="C1898" s="4">
        <v>190.76352901085838</v>
      </c>
      <c r="D1898" s="45"/>
    </row>
    <row r="1899" spans="2:4" ht="16" thickBot="1" x14ac:dyDescent="0.25">
      <c r="B1899" s="5">
        <v>1894</v>
      </c>
      <c r="C1899" s="5">
        <v>188.6431572112806</v>
      </c>
      <c r="D1899" s="45"/>
    </row>
    <row r="1900" spans="2:4" ht="16" thickBot="1" x14ac:dyDescent="0.25">
      <c r="B1900" s="4">
        <v>1895</v>
      </c>
      <c r="C1900" s="4">
        <v>204.32707191409088</v>
      </c>
      <c r="D1900" s="45"/>
    </row>
    <row r="1901" spans="2:4" ht="16" thickBot="1" x14ac:dyDescent="0.25">
      <c r="B1901" s="5">
        <v>1896</v>
      </c>
      <c r="C1901" s="5">
        <v>84.926335515197721</v>
      </c>
      <c r="D1901" s="45"/>
    </row>
    <row r="1902" spans="2:4" ht="16" thickBot="1" x14ac:dyDescent="0.25">
      <c r="B1902" s="4">
        <v>1897</v>
      </c>
      <c r="C1902" s="4">
        <v>192.95112497274002</v>
      </c>
      <c r="D1902" s="45"/>
    </row>
    <row r="1903" spans="2:4" ht="16" thickBot="1" x14ac:dyDescent="0.25">
      <c r="B1903" s="5">
        <v>1898</v>
      </c>
      <c r="C1903" s="5">
        <v>92.637427656708553</v>
      </c>
      <c r="D1903" s="45"/>
    </row>
    <row r="1904" spans="2:4" ht="16" thickBot="1" x14ac:dyDescent="0.25">
      <c r="B1904" s="4">
        <v>1899</v>
      </c>
      <c r="C1904" s="4">
        <v>287.42989590397752</v>
      </c>
      <c r="D1904" s="45"/>
    </row>
    <row r="1905" spans="2:4" ht="16" thickBot="1" x14ac:dyDescent="0.25">
      <c r="B1905" s="5">
        <v>1900</v>
      </c>
      <c r="C1905" s="5">
        <v>128.85912996842484</v>
      </c>
      <c r="D1905" s="45"/>
    </row>
    <row r="1906" spans="2:4" ht="16" thickBot="1" x14ac:dyDescent="0.25">
      <c r="B1906" s="4">
        <v>1901</v>
      </c>
      <c r="C1906" s="4">
        <v>98.417610954442495</v>
      </c>
      <c r="D1906" s="45"/>
    </row>
    <row r="1907" spans="2:4" ht="16" thickBot="1" x14ac:dyDescent="0.25">
      <c r="B1907" s="5">
        <v>1902</v>
      </c>
      <c r="C1907" s="5">
        <v>179.75666011041906</v>
      </c>
      <c r="D1907" s="45"/>
    </row>
    <row r="1908" spans="2:4" ht="16" thickBot="1" x14ac:dyDescent="0.25">
      <c r="B1908" s="4">
        <v>1903</v>
      </c>
      <c r="C1908" s="4">
        <v>159.95917068077708</v>
      </c>
      <c r="D1908" s="45"/>
    </row>
    <row r="1909" spans="2:4" ht="16" thickBot="1" x14ac:dyDescent="0.25">
      <c r="B1909" s="5">
        <v>1904</v>
      </c>
      <c r="C1909" s="5">
        <v>191.73099688226142</v>
      </c>
      <c r="D1909" s="45"/>
    </row>
    <row r="1910" spans="2:4" ht="16" thickBot="1" x14ac:dyDescent="0.25">
      <c r="B1910" s="4">
        <v>1905</v>
      </c>
      <c r="C1910" s="4">
        <v>120.7475604860749</v>
      </c>
      <c r="D1910" s="45"/>
    </row>
    <row r="1911" spans="2:4" ht="16" thickBot="1" x14ac:dyDescent="0.25">
      <c r="B1911" s="5">
        <v>1906</v>
      </c>
      <c r="C1911" s="5">
        <v>163.1112659770497</v>
      </c>
      <c r="D1911" s="45"/>
    </row>
    <row r="1912" spans="2:4" ht="16" thickBot="1" x14ac:dyDescent="0.25">
      <c r="B1912" s="4">
        <v>1907</v>
      </c>
      <c r="C1912" s="4">
        <v>160.06588165442398</v>
      </c>
      <c r="D1912" s="45"/>
    </row>
    <row r="1913" spans="2:4" ht="16" thickBot="1" x14ac:dyDescent="0.25">
      <c r="B1913" s="5">
        <v>1908</v>
      </c>
      <c r="C1913" s="5">
        <v>274.61607769259314</v>
      </c>
      <c r="D1913" s="45"/>
    </row>
    <row r="1914" spans="2:4" ht="16" thickBot="1" x14ac:dyDescent="0.25">
      <c r="B1914" s="4">
        <v>1909</v>
      </c>
      <c r="C1914" s="4">
        <v>429.78495972254802</v>
      </c>
      <c r="D1914" s="45"/>
    </row>
    <row r="1915" spans="2:4" ht="16" thickBot="1" x14ac:dyDescent="0.25">
      <c r="B1915" s="5">
        <v>1910</v>
      </c>
      <c r="C1915" s="5">
        <v>61.48187622985072</v>
      </c>
      <c r="D1915" s="45"/>
    </row>
    <row r="1916" spans="2:4" ht="16" thickBot="1" x14ac:dyDescent="0.25">
      <c r="B1916" s="4">
        <v>1911</v>
      </c>
      <c r="C1916" s="4">
        <v>162.4124687409857</v>
      </c>
      <c r="D1916" s="45"/>
    </row>
    <row r="1917" spans="2:4" ht="16" thickBot="1" x14ac:dyDescent="0.25">
      <c r="B1917" s="5">
        <v>1912</v>
      </c>
      <c r="C1917" s="5">
        <v>267.18876068471081</v>
      </c>
      <c r="D1917" s="45"/>
    </row>
    <row r="1918" spans="2:4" ht="16" thickBot="1" x14ac:dyDescent="0.25">
      <c r="B1918" s="4">
        <v>1913</v>
      </c>
      <c r="C1918" s="4">
        <v>139.39658721424686</v>
      </c>
      <c r="D1918" s="45"/>
    </row>
    <row r="1919" spans="2:4" ht="16" thickBot="1" x14ac:dyDescent="0.25">
      <c r="B1919" s="5">
        <v>1914</v>
      </c>
      <c r="C1919" s="5">
        <v>368.88675853773043</v>
      </c>
      <c r="D1919" s="45"/>
    </row>
    <row r="1920" spans="2:4" ht="16" thickBot="1" x14ac:dyDescent="0.25">
      <c r="B1920" s="4">
        <v>1915</v>
      </c>
      <c r="C1920" s="4">
        <v>166.18171121128907</v>
      </c>
      <c r="D1920" s="45"/>
    </row>
    <row r="1921" spans="2:4" ht="16" thickBot="1" x14ac:dyDescent="0.25">
      <c r="B1921" s="5">
        <v>1916</v>
      </c>
      <c r="C1921" s="5">
        <v>287.44762874231537</v>
      </c>
      <c r="D1921" s="45"/>
    </row>
    <row r="1922" spans="2:4" ht="16" thickBot="1" x14ac:dyDescent="0.25">
      <c r="B1922" s="4">
        <v>1917</v>
      </c>
      <c r="C1922" s="4">
        <v>50.895303482009787</v>
      </c>
      <c r="D1922" s="45"/>
    </row>
    <row r="1923" spans="2:4" ht="16" thickBot="1" x14ac:dyDescent="0.25">
      <c r="B1923" s="5">
        <v>1918</v>
      </c>
      <c r="C1923" s="5">
        <v>122.9814018794568</v>
      </c>
      <c r="D1923" s="45"/>
    </row>
    <row r="1924" spans="2:4" ht="16" thickBot="1" x14ac:dyDescent="0.25">
      <c r="B1924" s="4">
        <v>1919</v>
      </c>
      <c r="C1924" s="4">
        <v>127.61669041358387</v>
      </c>
      <c r="D1924" s="45"/>
    </row>
    <row r="1925" spans="2:4" ht="16" thickBot="1" x14ac:dyDescent="0.25">
      <c r="B1925" s="5">
        <v>1920</v>
      </c>
      <c r="C1925" s="5">
        <v>167.40744958120899</v>
      </c>
      <c r="D1925" s="45"/>
    </row>
    <row r="1926" spans="2:4" ht="16" thickBot="1" x14ac:dyDescent="0.25">
      <c r="B1926" s="4">
        <v>1921</v>
      </c>
      <c r="C1926" s="4">
        <v>102.29746024540825</v>
      </c>
      <c r="D1926" s="45"/>
    </row>
    <row r="1927" spans="2:4" ht="16" thickBot="1" x14ac:dyDescent="0.25">
      <c r="B1927" s="5">
        <v>1922</v>
      </c>
      <c r="C1927" s="5">
        <v>187.25322657879076</v>
      </c>
      <c r="D1927" s="45"/>
    </row>
    <row r="1928" spans="2:4" ht="16" thickBot="1" x14ac:dyDescent="0.25">
      <c r="B1928" s="4">
        <v>1923</v>
      </c>
      <c r="C1928" s="4">
        <v>149.516596834495</v>
      </c>
      <c r="D1928" s="45"/>
    </row>
    <row r="1929" spans="2:4" ht="16" thickBot="1" x14ac:dyDescent="0.25">
      <c r="B1929" s="5">
        <v>1924</v>
      </c>
      <c r="C1929" s="5">
        <v>168.34070711728086</v>
      </c>
      <c r="D1929" s="45"/>
    </row>
    <row r="1930" spans="2:4" ht="16" thickBot="1" x14ac:dyDescent="0.25">
      <c r="B1930" s="4">
        <v>1925</v>
      </c>
      <c r="C1930" s="4">
        <v>153.42849493582378</v>
      </c>
      <c r="D1930" s="45"/>
    </row>
    <row r="1931" spans="2:4" ht="16" thickBot="1" x14ac:dyDescent="0.25">
      <c r="B1931" s="5">
        <v>1926</v>
      </c>
      <c r="C1931" s="5">
        <v>167.47357413648407</v>
      </c>
      <c r="D1931" s="45"/>
    </row>
    <row r="1932" spans="2:4" ht="16" thickBot="1" x14ac:dyDescent="0.25">
      <c r="B1932" s="4">
        <v>1927</v>
      </c>
      <c r="C1932" s="4">
        <v>117.73388730011148</v>
      </c>
      <c r="D1932" s="45"/>
    </row>
    <row r="1933" spans="2:4" ht="16" thickBot="1" x14ac:dyDescent="0.25">
      <c r="B1933" s="5">
        <v>1928</v>
      </c>
      <c r="C1933" s="5">
        <v>91.021367545346308</v>
      </c>
      <c r="D1933" s="45"/>
    </row>
    <row r="1934" spans="2:4" ht="16" thickBot="1" x14ac:dyDescent="0.25">
      <c r="B1934" s="4">
        <v>1929</v>
      </c>
      <c r="C1934" s="4">
        <v>78.48610647751579</v>
      </c>
      <c r="D1934" s="45"/>
    </row>
    <row r="1935" spans="2:4" ht="16" thickBot="1" x14ac:dyDescent="0.25">
      <c r="B1935" s="5">
        <v>1930</v>
      </c>
      <c r="C1935" s="5">
        <v>242.94252455201271</v>
      </c>
      <c r="D1935" s="45"/>
    </row>
    <row r="1936" spans="2:4" ht="16" thickBot="1" x14ac:dyDescent="0.25">
      <c r="B1936" s="4">
        <v>1931</v>
      </c>
      <c r="C1936" s="4">
        <v>156.06456994904272</v>
      </c>
      <c r="D1936" s="45"/>
    </row>
    <row r="1937" spans="2:4" ht="16" thickBot="1" x14ac:dyDescent="0.25">
      <c r="B1937" s="5">
        <v>1932</v>
      </c>
      <c r="C1937" s="5">
        <v>198.44894903545313</v>
      </c>
      <c r="D1937" s="45"/>
    </row>
    <row r="1938" spans="2:4" ht="16" thickBot="1" x14ac:dyDescent="0.25">
      <c r="B1938" s="4">
        <v>1933</v>
      </c>
      <c r="C1938" s="4">
        <v>139.0464075078464</v>
      </c>
      <c r="D1938" s="45"/>
    </row>
    <row r="1939" spans="2:4" ht="16" thickBot="1" x14ac:dyDescent="0.25">
      <c r="B1939" s="5">
        <v>1934</v>
      </c>
      <c r="C1939" s="5">
        <v>92.756977465357309</v>
      </c>
      <c r="D1939" s="45"/>
    </row>
    <row r="1940" spans="2:4" ht="16" thickBot="1" x14ac:dyDescent="0.25">
      <c r="B1940" s="4">
        <v>1935</v>
      </c>
      <c r="C1940" s="4">
        <v>168.92694186733166</v>
      </c>
      <c r="D1940" s="45"/>
    </row>
    <row r="1941" spans="2:4" ht="16" thickBot="1" x14ac:dyDescent="0.25">
      <c r="B1941" s="5">
        <v>1936</v>
      </c>
      <c r="C1941" s="5">
        <v>112.21639903358675</v>
      </c>
      <c r="D1941" s="45"/>
    </row>
    <row r="1942" spans="2:4" ht="16" thickBot="1" x14ac:dyDescent="0.25">
      <c r="B1942" s="4">
        <v>1937</v>
      </c>
      <c r="C1942" s="4">
        <v>140.23971584535826</v>
      </c>
      <c r="D1942" s="45"/>
    </row>
    <row r="1943" spans="2:4" ht="16" thickBot="1" x14ac:dyDescent="0.25">
      <c r="B1943" s="5">
        <v>1938</v>
      </c>
      <c r="C1943" s="5">
        <v>88.201941187768753</v>
      </c>
      <c r="D1943" s="45"/>
    </row>
    <row r="1944" spans="2:4" ht="16" thickBot="1" x14ac:dyDescent="0.25">
      <c r="B1944" s="4">
        <v>1939</v>
      </c>
      <c r="C1944" s="4">
        <v>104.39230636698308</v>
      </c>
      <c r="D1944" s="45"/>
    </row>
    <row r="1945" spans="2:4" ht="16" thickBot="1" x14ac:dyDescent="0.25">
      <c r="B1945" s="5">
        <v>1940</v>
      </c>
      <c r="C1945" s="5">
        <v>78.703776655543507</v>
      </c>
      <c r="D1945" s="45"/>
    </row>
    <row r="1946" spans="2:4" ht="16" thickBot="1" x14ac:dyDescent="0.25">
      <c r="B1946" s="4">
        <v>1941</v>
      </c>
      <c r="C1946" s="4">
        <v>328.40074548124886</v>
      </c>
      <c r="D1946" s="45"/>
    </row>
    <row r="1947" spans="2:4" ht="16" thickBot="1" x14ac:dyDescent="0.25">
      <c r="B1947" s="5">
        <v>1942</v>
      </c>
      <c r="C1947" s="5">
        <v>137.15086886117197</v>
      </c>
      <c r="D1947" s="45"/>
    </row>
    <row r="1948" spans="2:4" ht="16" thickBot="1" x14ac:dyDescent="0.25">
      <c r="B1948" s="4">
        <v>1943</v>
      </c>
      <c r="C1948" s="4">
        <v>271.93859354255443</v>
      </c>
      <c r="D1948" s="45"/>
    </row>
    <row r="1949" spans="2:4" ht="16" thickBot="1" x14ac:dyDescent="0.25">
      <c r="B1949" s="5">
        <v>1944</v>
      </c>
      <c r="C1949" s="5">
        <v>207.8583460474172</v>
      </c>
      <c r="D1949" s="45"/>
    </row>
    <row r="1950" spans="2:4" ht="16" thickBot="1" x14ac:dyDescent="0.25">
      <c r="B1950" s="4">
        <v>1945</v>
      </c>
      <c r="C1950" s="4">
        <v>260.12735472916802</v>
      </c>
      <c r="D1950" s="45"/>
    </row>
    <row r="1951" spans="2:4" ht="16" thickBot="1" x14ac:dyDescent="0.25">
      <c r="B1951" s="5">
        <v>1946</v>
      </c>
      <c r="C1951" s="5">
        <v>206.99873181651057</v>
      </c>
      <c r="D1951" s="45"/>
    </row>
    <row r="1952" spans="2:4" ht="16" thickBot="1" x14ac:dyDescent="0.25">
      <c r="B1952" s="4">
        <v>1947</v>
      </c>
      <c r="C1952" s="4">
        <v>114.30770313189781</v>
      </c>
      <c r="D1952" s="45"/>
    </row>
    <row r="1953" spans="2:4" ht="16" thickBot="1" x14ac:dyDescent="0.25">
      <c r="B1953" s="5">
        <v>1948</v>
      </c>
      <c r="C1953" s="5">
        <v>132.35550756420955</v>
      </c>
      <c r="D1953" s="45"/>
    </row>
    <row r="1954" spans="2:4" ht="16" thickBot="1" x14ac:dyDescent="0.25">
      <c r="B1954" s="4">
        <v>1949</v>
      </c>
      <c r="C1954" s="4">
        <v>113.67421636140907</v>
      </c>
      <c r="D1954" s="45"/>
    </row>
    <row r="1955" spans="2:4" ht="16" thickBot="1" x14ac:dyDescent="0.25">
      <c r="B1955" s="5">
        <v>1950</v>
      </c>
      <c r="C1955" s="5">
        <v>121.95728843837331</v>
      </c>
      <c r="D1955" s="45"/>
    </row>
    <row r="1956" spans="2:4" ht="16" thickBot="1" x14ac:dyDescent="0.25">
      <c r="B1956" s="4">
        <v>1951</v>
      </c>
      <c r="C1956" s="4">
        <v>94.035271259418778</v>
      </c>
      <c r="D1956" s="45"/>
    </row>
    <row r="1957" spans="2:4" ht="16" thickBot="1" x14ac:dyDescent="0.25">
      <c r="B1957" s="5">
        <v>1952</v>
      </c>
      <c r="C1957" s="5">
        <v>32.313020023114532</v>
      </c>
      <c r="D1957" s="45"/>
    </row>
    <row r="1958" spans="2:4" ht="16" thickBot="1" x14ac:dyDescent="0.25">
      <c r="B1958" s="4">
        <v>1953</v>
      </c>
      <c r="C1958" s="4">
        <v>225.99746846888749</v>
      </c>
      <c r="D1958" s="45"/>
    </row>
    <row r="1959" spans="2:4" ht="16" thickBot="1" x14ac:dyDescent="0.25">
      <c r="B1959" s="5">
        <v>1954</v>
      </c>
      <c r="C1959" s="5">
        <v>340.26847673747415</v>
      </c>
      <c r="D1959" s="45"/>
    </row>
    <row r="1960" spans="2:4" ht="16" thickBot="1" x14ac:dyDescent="0.25">
      <c r="B1960" s="4">
        <v>1955</v>
      </c>
      <c r="C1960" s="4">
        <v>94.208279015170092</v>
      </c>
      <c r="D1960" s="45"/>
    </row>
    <row r="1961" spans="2:4" ht="16" thickBot="1" x14ac:dyDescent="0.25">
      <c r="B1961" s="5">
        <v>1956</v>
      </c>
      <c r="C1961" s="5">
        <v>197.24000272482223</v>
      </c>
      <c r="D1961" s="45"/>
    </row>
    <row r="1962" spans="2:4" ht="16" thickBot="1" x14ac:dyDescent="0.25">
      <c r="B1962" s="4">
        <v>1957</v>
      </c>
      <c r="C1962" s="4">
        <v>141.12967778479216</v>
      </c>
      <c r="D1962" s="45"/>
    </row>
    <row r="1963" spans="2:4" ht="16" thickBot="1" x14ac:dyDescent="0.25">
      <c r="B1963" s="5">
        <v>1958</v>
      </c>
      <c r="C1963" s="5">
        <v>165.26180051276012</v>
      </c>
      <c r="D1963" s="45"/>
    </row>
    <row r="1964" spans="2:4" ht="16" thickBot="1" x14ac:dyDescent="0.25">
      <c r="B1964" s="4">
        <v>1959</v>
      </c>
      <c r="C1964" s="4">
        <v>164.63975102939628</v>
      </c>
      <c r="D1964" s="45"/>
    </row>
    <row r="1965" spans="2:4" ht="16" thickBot="1" x14ac:dyDescent="0.25">
      <c r="B1965" s="5">
        <v>1960</v>
      </c>
      <c r="C1965" s="5">
        <v>119.64805702184651</v>
      </c>
      <c r="D1965" s="45"/>
    </row>
    <row r="1966" spans="2:4" ht="16" thickBot="1" x14ac:dyDescent="0.25">
      <c r="B1966" s="4">
        <v>1961</v>
      </c>
      <c r="C1966" s="4">
        <v>105.36986411698339</v>
      </c>
      <c r="D1966" s="45"/>
    </row>
    <row r="1967" spans="2:4" ht="16" thickBot="1" x14ac:dyDescent="0.25">
      <c r="B1967" s="5">
        <v>1962</v>
      </c>
      <c r="C1967" s="5">
        <v>235.46580625564562</v>
      </c>
      <c r="D1967" s="45"/>
    </row>
    <row r="1968" spans="2:4" ht="16" thickBot="1" x14ac:dyDescent="0.25">
      <c r="B1968" s="4">
        <v>1963</v>
      </c>
      <c r="C1968" s="4">
        <v>250.36819070081683</v>
      </c>
      <c r="D1968" s="45"/>
    </row>
    <row r="1969" spans="2:4" ht="16" thickBot="1" x14ac:dyDescent="0.25">
      <c r="B1969" s="5">
        <v>1964</v>
      </c>
      <c r="C1969" s="5">
        <v>155.74855842812642</v>
      </c>
      <c r="D1969" s="45"/>
    </row>
    <row r="1970" spans="2:4" ht="16" thickBot="1" x14ac:dyDescent="0.25">
      <c r="B1970" s="4">
        <v>1965</v>
      </c>
      <c r="C1970" s="4">
        <v>289.86728088037967</v>
      </c>
      <c r="D1970" s="45"/>
    </row>
    <row r="1971" spans="2:4" ht="16" thickBot="1" x14ac:dyDescent="0.25">
      <c r="B1971" s="5">
        <v>1966</v>
      </c>
      <c r="C1971" s="5">
        <v>137.65025383115034</v>
      </c>
      <c r="D1971" s="45"/>
    </row>
    <row r="1972" spans="2:4" ht="16" thickBot="1" x14ac:dyDescent="0.25">
      <c r="B1972" s="4">
        <v>1967</v>
      </c>
      <c r="C1972" s="4">
        <v>92.826181936257768</v>
      </c>
      <c r="D1972" s="45"/>
    </row>
    <row r="1973" spans="2:4" ht="16" thickBot="1" x14ac:dyDescent="0.25">
      <c r="B1973" s="5">
        <v>1968</v>
      </c>
      <c r="C1973" s="5">
        <v>308.5902875902795</v>
      </c>
      <c r="D1973" s="45"/>
    </row>
    <row r="1974" spans="2:4" ht="16" thickBot="1" x14ac:dyDescent="0.25">
      <c r="B1974" s="4">
        <v>1969</v>
      </c>
      <c r="C1974" s="4">
        <v>79.109206772492115</v>
      </c>
      <c r="D1974" s="45"/>
    </row>
    <row r="1975" spans="2:4" ht="16" thickBot="1" x14ac:dyDescent="0.25">
      <c r="B1975" s="5">
        <v>1970</v>
      </c>
      <c r="C1975" s="5">
        <v>346.04950601487161</v>
      </c>
      <c r="D1975" s="45"/>
    </row>
    <row r="1976" spans="2:4" ht="16" thickBot="1" x14ac:dyDescent="0.25">
      <c r="B1976" s="4">
        <v>1971</v>
      </c>
      <c r="C1976" s="4">
        <v>94.980388725994217</v>
      </c>
      <c r="D1976" s="45"/>
    </row>
    <row r="1977" spans="2:4" ht="16" thickBot="1" x14ac:dyDescent="0.25">
      <c r="B1977" s="5">
        <v>1972</v>
      </c>
      <c r="C1977" s="5">
        <v>216.66612322611164</v>
      </c>
      <c r="D1977" s="45"/>
    </row>
    <row r="1978" spans="2:4" ht="16" thickBot="1" x14ac:dyDescent="0.25">
      <c r="B1978" s="4">
        <v>1973</v>
      </c>
      <c r="C1978" s="4">
        <v>166.49744354463289</v>
      </c>
      <c r="D1978" s="45"/>
    </row>
    <row r="1979" spans="2:4" ht="16" thickBot="1" x14ac:dyDescent="0.25">
      <c r="B1979" s="5">
        <v>1974</v>
      </c>
      <c r="C1979" s="5">
        <v>189.0222096992062</v>
      </c>
      <c r="D1979" s="45"/>
    </row>
    <row r="1980" spans="2:4" ht="16" thickBot="1" x14ac:dyDescent="0.25">
      <c r="B1980" s="4">
        <v>1975</v>
      </c>
      <c r="C1980" s="4">
        <v>243.35395754516213</v>
      </c>
      <c r="D1980" s="45"/>
    </row>
    <row r="1981" spans="2:4" ht="16" thickBot="1" x14ac:dyDescent="0.25">
      <c r="B1981" s="5">
        <v>1976</v>
      </c>
      <c r="C1981" s="5">
        <v>165.96964079135284</v>
      </c>
      <c r="D1981" s="45"/>
    </row>
    <row r="1982" spans="2:4" ht="16" thickBot="1" x14ac:dyDescent="0.25">
      <c r="B1982" s="4">
        <v>1977</v>
      </c>
      <c r="C1982" s="4">
        <v>38.396311657193571</v>
      </c>
      <c r="D1982" s="45"/>
    </row>
    <row r="1983" spans="2:4" ht="16" thickBot="1" x14ac:dyDescent="0.25">
      <c r="B1983" s="5">
        <v>1978</v>
      </c>
      <c r="C1983" s="5">
        <v>95.896856557375358</v>
      </c>
      <c r="D1983" s="45"/>
    </row>
    <row r="1984" spans="2:4" ht="16" thickBot="1" x14ac:dyDescent="0.25">
      <c r="B1984" s="4">
        <v>1979</v>
      </c>
      <c r="C1984" s="4">
        <v>176.30302647780354</v>
      </c>
      <c r="D1984" s="45"/>
    </row>
    <row r="1985" spans="2:4" ht="16" thickBot="1" x14ac:dyDescent="0.25">
      <c r="B1985" s="5">
        <v>1980</v>
      </c>
      <c r="C1985" s="5">
        <v>60.939289954472542</v>
      </c>
      <c r="D1985" s="45"/>
    </row>
    <row r="1986" spans="2:4" ht="16" thickBot="1" x14ac:dyDescent="0.25">
      <c r="B1986" s="4">
        <v>1981</v>
      </c>
      <c r="C1986" s="4">
        <v>409.85848633587955</v>
      </c>
      <c r="D1986" s="45"/>
    </row>
    <row r="1987" spans="2:4" ht="16" thickBot="1" x14ac:dyDescent="0.25">
      <c r="B1987" s="5">
        <v>1982</v>
      </c>
      <c r="C1987" s="5">
        <v>141.35561445555032</v>
      </c>
      <c r="D1987" s="45"/>
    </row>
    <row r="1988" spans="2:4" ht="16" thickBot="1" x14ac:dyDescent="0.25">
      <c r="B1988" s="4">
        <v>1983</v>
      </c>
      <c r="C1988" s="4">
        <v>56.334233416179451</v>
      </c>
      <c r="D1988" s="45"/>
    </row>
    <row r="1989" spans="2:4" ht="16" thickBot="1" x14ac:dyDescent="0.25">
      <c r="B1989" s="5">
        <v>1984</v>
      </c>
      <c r="C1989" s="5">
        <v>229.08112538268483</v>
      </c>
      <c r="D1989" s="45"/>
    </row>
    <row r="1990" spans="2:4" ht="16" thickBot="1" x14ac:dyDescent="0.25">
      <c r="B1990" s="4">
        <v>1985</v>
      </c>
      <c r="C1990" s="4">
        <v>272.28649447707699</v>
      </c>
      <c r="D1990" s="45"/>
    </row>
    <row r="1991" spans="2:4" ht="16" thickBot="1" x14ac:dyDescent="0.25">
      <c r="B1991" s="5">
        <v>1986</v>
      </c>
      <c r="C1991" s="5">
        <v>275.8455662464076</v>
      </c>
      <c r="D1991" s="45"/>
    </row>
    <row r="1992" spans="2:4" ht="16" thickBot="1" x14ac:dyDescent="0.25">
      <c r="B1992" s="4">
        <v>1987</v>
      </c>
      <c r="C1992" s="4">
        <v>191.93656430394682</v>
      </c>
      <c r="D1992" s="45"/>
    </row>
    <row r="1993" spans="2:4" ht="16" thickBot="1" x14ac:dyDescent="0.25">
      <c r="B1993" s="5">
        <v>1988</v>
      </c>
      <c r="C1993" s="5">
        <v>288.84732305666489</v>
      </c>
      <c r="D1993" s="45"/>
    </row>
    <row r="1994" spans="2:4" ht="16" thickBot="1" x14ac:dyDescent="0.25">
      <c r="B1994" s="4">
        <v>1989</v>
      </c>
      <c r="C1994" s="4">
        <v>172.63581813970262</v>
      </c>
      <c r="D1994" s="45"/>
    </row>
    <row r="1995" spans="2:4" ht="16" thickBot="1" x14ac:dyDescent="0.25">
      <c r="B1995" s="5">
        <v>1990</v>
      </c>
      <c r="C1995" s="5">
        <v>319.27941858241792</v>
      </c>
      <c r="D1995" s="45"/>
    </row>
    <row r="1996" spans="2:4" ht="16" thickBot="1" x14ac:dyDescent="0.25">
      <c r="B1996" s="4">
        <v>1991</v>
      </c>
      <c r="C1996" s="4">
        <v>231.77792278390271</v>
      </c>
      <c r="D1996" s="45"/>
    </row>
    <row r="1997" spans="2:4" ht="16" thickBot="1" x14ac:dyDescent="0.25">
      <c r="B1997" s="5">
        <v>1992</v>
      </c>
      <c r="C1997" s="5">
        <v>84.426463334280257</v>
      </c>
      <c r="D1997" s="45"/>
    </row>
    <row r="1998" spans="2:4" ht="16" thickBot="1" x14ac:dyDescent="0.25">
      <c r="B1998" s="4">
        <v>1993</v>
      </c>
      <c r="C1998" s="4">
        <v>197.0974556786021</v>
      </c>
      <c r="D1998" s="45"/>
    </row>
    <row r="1999" spans="2:4" ht="16" thickBot="1" x14ac:dyDescent="0.25">
      <c r="B1999" s="5">
        <v>1994</v>
      </c>
      <c r="C1999" s="5">
        <v>111.57386872382527</v>
      </c>
      <c r="D1999" s="45"/>
    </row>
    <row r="2000" spans="2:4" ht="16" thickBot="1" x14ac:dyDescent="0.25">
      <c r="B2000" s="4">
        <v>1995</v>
      </c>
      <c r="C2000" s="4">
        <v>190.63756247895597</v>
      </c>
      <c r="D2000" s="45"/>
    </row>
    <row r="2001" spans="2:4" ht="16" thickBot="1" x14ac:dyDescent="0.25">
      <c r="B2001" s="5">
        <v>1996</v>
      </c>
      <c r="C2001" s="5">
        <v>298.63502909392213</v>
      </c>
      <c r="D2001" s="45"/>
    </row>
    <row r="2002" spans="2:4" ht="16" thickBot="1" x14ac:dyDescent="0.25">
      <c r="B2002" s="4">
        <v>1997</v>
      </c>
      <c r="C2002" s="4">
        <v>141.55562975611733</v>
      </c>
      <c r="D2002" s="45"/>
    </row>
    <row r="2003" spans="2:4" ht="16" thickBot="1" x14ac:dyDescent="0.25">
      <c r="B2003" s="5">
        <v>1998</v>
      </c>
      <c r="C2003" s="5">
        <v>59.039230542948147</v>
      </c>
      <c r="D2003" s="45"/>
    </row>
    <row r="2004" spans="2:4" ht="16" thickBot="1" x14ac:dyDescent="0.25">
      <c r="B2004" s="4">
        <v>1999</v>
      </c>
      <c r="C2004" s="4">
        <v>91.617367736627912</v>
      </c>
      <c r="D2004" s="45"/>
    </row>
    <row r="2005" spans="2:4" ht="16" thickBot="1" x14ac:dyDescent="0.25">
      <c r="B2005" s="5">
        <v>2000</v>
      </c>
      <c r="C2005" s="5">
        <v>92.369844463060886</v>
      </c>
      <c r="D2005" s="45"/>
    </row>
    <row r="2006" spans="2:4" ht="16" thickBot="1" x14ac:dyDescent="0.25">
      <c r="B2006" s="4">
        <v>2001</v>
      </c>
      <c r="C2006" s="4">
        <v>80.841767049421591</v>
      </c>
      <c r="D2006" s="45"/>
    </row>
    <row r="2007" spans="2:4" ht="16" thickBot="1" x14ac:dyDescent="0.25">
      <c r="B2007" s="5">
        <v>2002</v>
      </c>
      <c r="C2007" s="5">
        <v>175.69666851602949</v>
      </c>
      <c r="D2007" s="45"/>
    </row>
    <row r="2008" spans="2:4" ht="16" thickBot="1" x14ac:dyDescent="0.25">
      <c r="B2008" s="4">
        <v>2003</v>
      </c>
      <c r="C2008" s="4">
        <v>140.81807539665192</v>
      </c>
      <c r="D2008" s="45"/>
    </row>
    <row r="2009" spans="2:4" ht="16" thickBot="1" x14ac:dyDescent="0.25">
      <c r="B2009" s="5">
        <v>2004</v>
      </c>
      <c r="C2009" s="5">
        <v>72.908056195428188</v>
      </c>
      <c r="D2009" s="45"/>
    </row>
    <row r="2010" spans="2:4" ht="16" thickBot="1" x14ac:dyDescent="0.25">
      <c r="B2010" s="4">
        <v>2005</v>
      </c>
      <c r="C2010" s="4">
        <v>146.5226902388317</v>
      </c>
      <c r="D2010" s="45"/>
    </row>
    <row r="2011" spans="2:4" ht="16" thickBot="1" x14ac:dyDescent="0.25">
      <c r="B2011" s="5">
        <v>2006</v>
      </c>
      <c r="C2011" s="5">
        <v>55.08767980848738</v>
      </c>
      <c r="D2011" s="45"/>
    </row>
    <row r="2012" spans="2:4" ht="16" thickBot="1" x14ac:dyDescent="0.25">
      <c r="B2012" s="4">
        <v>2007</v>
      </c>
      <c r="C2012" s="4">
        <v>244.84791189221838</v>
      </c>
      <c r="D2012" s="45"/>
    </row>
    <row r="2013" spans="2:4" ht="16" thickBot="1" x14ac:dyDescent="0.25">
      <c r="B2013" s="5">
        <v>2008</v>
      </c>
      <c r="C2013" s="5">
        <v>117.04758355329062</v>
      </c>
      <c r="D2013" s="45"/>
    </row>
    <row r="2014" spans="2:4" ht="16" thickBot="1" x14ac:dyDescent="0.25">
      <c r="B2014" s="4">
        <v>2009</v>
      </c>
      <c r="C2014" s="4">
        <v>251.98036567717287</v>
      </c>
      <c r="D2014" s="45"/>
    </row>
    <row r="2015" spans="2:4" ht="16" thickBot="1" x14ac:dyDescent="0.25">
      <c r="B2015" s="5">
        <v>2010</v>
      </c>
      <c r="C2015" s="5">
        <v>179.96398006964685</v>
      </c>
      <c r="D2015" s="45"/>
    </row>
    <row r="2016" spans="2:4" ht="16" thickBot="1" x14ac:dyDescent="0.25">
      <c r="B2016" s="4">
        <v>2011</v>
      </c>
      <c r="C2016" s="4">
        <v>189.0455840719745</v>
      </c>
      <c r="D2016" s="45"/>
    </row>
    <row r="2017" spans="2:4" ht="16" thickBot="1" x14ac:dyDescent="0.25">
      <c r="B2017" s="5">
        <v>2012</v>
      </c>
      <c r="C2017" s="5">
        <v>142.56431535851061</v>
      </c>
      <c r="D2017" s="45"/>
    </row>
    <row r="2018" spans="2:4" ht="16" thickBot="1" x14ac:dyDescent="0.25">
      <c r="B2018" s="4">
        <v>2013</v>
      </c>
      <c r="C2018" s="4">
        <v>79.581265157698496</v>
      </c>
      <c r="D2018" s="45"/>
    </row>
    <row r="2019" spans="2:4" ht="16" thickBot="1" x14ac:dyDescent="0.25">
      <c r="B2019" s="5">
        <v>2014</v>
      </c>
      <c r="C2019" s="5">
        <v>134.71368429356028</v>
      </c>
      <c r="D2019" s="45"/>
    </row>
    <row r="2020" spans="2:4" ht="16" thickBot="1" x14ac:dyDescent="0.25">
      <c r="B2020" s="4">
        <v>2015</v>
      </c>
      <c r="C2020" s="4">
        <v>194.78663854227912</v>
      </c>
      <c r="D2020" s="45"/>
    </row>
    <row r="2021" spans="2:4" ht="16" thickBot="1" x14ac:dyDescent="0.25">
      <c r="B2021" s="5">
        <v>2016</v>
      </c>
      <c r="C2021" s="5">
        <v>163.40587758124371</v>
      </c>
      <c r="D2021" s="45"/>
    </row>
    <row r="2022" spans="2:4" ht="16" thickBot="1" x14ac:dyDescent="0.25">
      <c r="B2022" s="4">
        <v>2017</v>
      </c>
      <c r="C2022" s="4">
        <v>147.75754030054389</v>
      </c>
      <c r="D2022" s="45"/>
    </row>
    <row r="2023" spans="2:4" ht="16" thickBot="1" x14ac:dyDescent="0.25">
      <c r="B2023" s="5">
        <v>2018</v>
      </c>
      <c r="C2023" s="5">
        <v>94.66249077662799</v>
      </c>
      <c r="D2023" s="45"/>
    </row>
    <row r="2024" spans="2:4" ht="16" thickBot="1" x14ac:dyDescent="0.25">
      <c r="B2024" s="4">
        <v>2019</v>
      </c>
      <c r="C2024" s="4">
        <v>190.26541096766061</v>
      </c>
      <c r="D2024" s="45"/>
    </row>
    <row r="2025" spans="2:4" ht="16" thickBot="1" x14ac:dyDescent="0.25">
      <c r="B2025" s="5">
        <v>2020</v>
      </c>
      <c r="C2025" s="5">
        <v>125.16272279033352</v>
      </c>
      <c r="D2025" s="45"/>
    </row>
    <row r="2026" spans="2:4" ht="16" thickBot="1" x14ac:dyDescent="0.25">
      <c r="B2026" s="4">
        <v>2021</v>
      </c>
      <c r="C2026" s="4">
        <v>138.25769239261908</v>
      </c>
      <c r="D2026" s="45"/>
    </row>
    <row r="2027" spans="2:4" ht="16" thickBot="1" x14ac:dyDescent="0.25">
      <c r="B2027" s="5">
        <v>2022</v>
      </c>
      <c r="C2027" s="5">
        <v>212.41844871030776</v>
      </c>
      <c r="D2027" s="45"/>
    </row>
    <row r="2028" spans="2:4" ht="16" thickBot="1" x14ac:dyDescent="0.25">
      <c r="B2028" s="4">
        <v>2023</v>
      </c>
      <c r="C2028" s="4">
        <v>230.04969458984712</v>
      </c>
      <c r="D2028" s="45"/>
    </row>
    <row r="2029" spans="2:4" ht="16" thickBot="1" x14ac:dyDescent="0.25">
      <c r="B2029" s="5">
        <v>2024</v>
      </c>
      <c r="C2029" s="5">
        <v>111.81793016251673</v>
      </c>
      <c r="D2029" s="45"/>
    </row>
    <row r="2030" spans="2:4" ht="16" thickBot="1" x14ac:dyDescent="0.25">
      <c r="B2030" s="4">
        <v>2025</v>
      </c>
      <c r="C2030" s="4">
        <v>144.98264209028071</v>
      </c>
      <c r="D2030" s="45"/>
    </row>
    <row r="2031" spans="2:4" ht="16" thickBot="1" x14ac:dyDescent="0.25">
      <c r="B2031" s="5">
        <v>2026</v>
      </c>
      <c r="C2031" s="5">
        <v>157.19645092108112</v>
      </c>
      <c r="D2031" s="45"/>
    </row>
    <row r="2032" spans="2:4" ht="16" thickBot="1" x14ac:dyDescent="0.25">
      <c r="B2032" s="4">
        <v>2027</v>
      </c>
      <c r="C2032" s="4">
        <v>83.838874481356669</v>
      </c>
      <c r="D2032" s="45"/>
    </row>
    <row r="2033" spans="2:4" ht="16" thickBot="1" x14ac:dyDescent="0.25">
      <c r="B2033" s="5">
        <v>2028</v>
      </c>
      <c r="C2033" s="5">
        <v>87.403534945186721</v>
      </c>
      <c r="D2033" s="45"/>
    </row>
    <row r="2034" spans="2:4" ht="16" thickBot="1" x14ac:dyDescent="0.25">
      <c r="B2034" s="4">
        <v>2029</v>
      </c>
      <c r="C2034" s="4">
        <v>75.280117774012808</v>
      </c>
      <c r="D2034" s="45"/>
    </row>
    <row r="2035" spans="2:4" ht="16" thickBot="1" x14ac:dyDescent="0.25">
      <c r="B2035" s="5">
        <v>2030</v>
      </c>
      <c r="C2035" s="5">
        <v>143.56187443186775</v>
      </c>
      <c r="D2035" s="45"/>
    </row>
    <row r="2036" spans="2:4" ht="16" thickBot="1" x14ac:dyDescent="0.25">
      <c r="B2036" s="4">
        <v>2031</v>
      </c>
      <c r="C2036" s="4">
        <v>96.670024299447292</v>
      </c>
      <c r="D2036" s="45"/>
    </row>
    <row r="2037" spans="2:4" ht="16" thickBot="1" x14ac:dyDescent="0.25">
      <c r="B2037" s="5">
        <v>2032</v>
      </c>
      <c r="C2037" s="5">
        <v>129.89811048067708</v>
      </c>
      <c r="D2037" s="45"/>
    </row>
    <row r="2038" spans="2:4" ht="16" thickBot="1" x14ac:dyDescent="0.25">
      <c r="B2038" s="4">
        <v>2033</v>
      </c>
      <c r="C2038" s="4">
        <v>93.870051690997911</v>
      </c>
      <c r="D2038" s="45"/>
    </row>
    <row r="2039" spans="2:4" ht="16" thickBot="1" x14ac:dyDescent="0.25">
      <c r="B2039" s="5">
        <v>2034</v>
      </c>
      <c r="C2039" s="5">
        <v>135.95459739500615</v>
      </c>
      <c r="D2039" s="45"/>
    </row>
    <row r="2040" spans="2:4" ht="16" thickBot="1" x14ac:dyDescent="0.25">
      <c r="B2040" s="4">
        <v>2035</v>
      </c>
      <c r="C2040" s="4">
        <v>125.38097695037149</v>
      </c>
      <c r="D2040" s="45"/>
    </row>
    <row r="2041" spans="2:4" ht="16" thickBot="1" x14ac:dyDescent="0.25">
      <c r="B2041" s="5">
        <v>2036</v>
      </c>
      <c r="C2041" s="5">
        <v>271.05183684343211</v>
      </c>
      <c r="D2041" s="45"/>
    </row>
    <row r="2042" spans="2:4" ht="16" thickBot="1" x14ac:dyDescent="0.25">
      <c r="B2042" s="4">
        <v>2037</v>
      </c>
      <c r="C2042" s="4">
        <v>245.20956056540174</v>
      </c>
      <c r="D2042" s="45"/>
    </row>
    <row r="2043" spans="2:4" ht="16" thickBot="1" x14ac:dyDescent="0.25">
      <c r="B2043" s="5">
        <v>2038</v>
      </c>
      <c r="C2043" s="5">
        <v>321.94697668501937</v>
      </c>
      <c r="D2043" s="45"/>
    </row>
    <row r="2044" spans="2:4" ht="16" thickBot="1" x14ac:dyDescent="0.25">
      <c r="B2044" s="4">
        <v>2039</v>
      </c>
      <c r="C2044" s="4">
        <v>221.26456439684796</v>
      </c>
      <c r="D2044" s="45"/>
    </row>
    <row r="2045" spans="2:4" ht="16" thickBot="1" x14ac:dyDescent="0.25">
      <c r="B2045" s="5">
        <v>2040</v>
      </c>
      <c r="C2045" s="5">
        <v>153.74386292499324</v>
      </c>
      <c r="D2045" s="45"/>
    </row>
    <row r="2046" spans="2:4" ht="16" thickBot="1" x14ac:dyDescent="0.25">
      <c r="B2046" s="4">
        <v>2041</v>
      </c>
      <c r="C2046" s="4">
        <v>176.01777114122356</v>
      </c>
      <c r="D2046" s="45"/>
    </row>
    <row r="2047" spans="2:4" ht="16" thickBot="1" x14ac:dyDescent="0.25">
      <c r="B2047" s="5">
        <v>2042</v>
      </c>
      <c r="C2047" s="5">
        <v>126.56909620612326</v>
      </c>
      <c r="D2047" s="45"/>
    </row>
    <row r="2048" spans="2:4" ht="16" thickBot="1" x14ac:dyDescent="0.25">
      <c r="B2048" s="4">
        <v>2043</v>
      </c>
      <c r="C2048" s="4">
        <v>100.64142262685813</v>
      </c>
      <c r="D2048" s="45"/>
    </row>
    <row r="2049" spans="2:4" ht="16" thickBot="1" x14ac:dyDescent="0.25">
      <c r="B2049" s="5">
        <v>2044</v>
      </c>
      <c r="C2049" s="5">
        <v>80.86577899946127</v>
      </c>
      <c r="D2049" s="45"/>
    </row>
    <row r="2050" spans="2:4" ht="16" thickBot="1" x14ac:dyDescent="0.25">
      <c r="B2050" s="4">
        <v>2045</v>
      </c>
      <c r="C2050" s="4">
        <v>242.69578704554596</v>
      </c>
      <c r="D2050" s="45"/>
    </row>
    <row r="2051" spans="2:4" ht="16" thickBot="1" x14ac:dyDescent="0.25">
      <c r="B2051" s="5">
        <v>2046</v>
      </c>
      <c r="C2051" s="5">
        <v>75.040848543944762</v>
      </c>
      <c r="D2051" s="45"/>
    </row>
    <row r="2052" spans="2:4" ht="16" thickBot="1" x14ac:dyDescent="0.25">
      <c r="B2052" s="4">
        <v>2047</v>
      </c>
      <c r="C2052" s="4">
        <v>163.39233994747676</v>
      </c>
      <c r="D2052" s="45"/>
    </row>
    <row r="2053" spans="2:4" ht="16" thickBot="1" x14ac:dyDescent="0.25">
      <c r="B2053" s="5">
        <v>2048</v>
      </c>
      <c r="C2053" s="5">
        <v>113.77602554262442</v>
      </c>
      <c r="D2053" s="45"/>
    </row>
    <row r="2054" spans="2:4" ht="16" thickBot="1" x14ac:dyDescent="0.25">
      <c r="B2054" s="4">
        <v>2049</v>
      </c>
      <c r="C2054" s="4">
        <v>120.11372633096254</v>
      </c>
      <c r="D2054" s="45"/>
    </row>
    <row r="2055" spans="2:4" ht="16" thickBot="1" x14ac:dyDescent="0.25">
      <c r="B2055" s="5">
        <v>2050</v>
      </c>
      <c r="C2055" s="5">
        <v>142.52164762098877</v>
      </c>
      <c r="D2055" s="45"/>
    </row>
    <row r="2056" spans="2:4" ht="16" thickBot="1" x14ac:dyDescent="0.25">
      <c r="B2056" s="4">
        <v>2051</v>
      </c>
      <c r="C2056" s="4">
        <v>114.90078127833414</v>
      </c>
      <c r="D2056" s="45"/>
    </row>
    <row r="2057" spans="2:4" ht="16" thickBot="1" x14ac:dyDescent="0.25">
      <c r="B2057" s="5">
        <v>2052</v>
      </c>
      <c r="C2057" s="5">
        <v>149.45006224793806</v>
      </c>
      <c r="D2057" s="45"/>
    </row>
    <row r="2058" spans="2:4" ht="16" thickBot="1" x14ac:dyDescent="0.25">
      <c r="B2058" s="4">
        <v>2053</v>
      </c>
      <c r="C2058" s="4">
        <v>107.89376295771028</v>
      </c>
      <c r="D2058" s="45"/>
    </row>
    <row r="2059" spans="2:4" ht="16" thickBot="1" x14ac:dyDescent="0.25">
      <c r="B2059" s="5">
        <v>2054</v>
      </c>
      <c r="C2059" s="5">
        <v>239.66003668572876</v>
      </c>
      <c r="D2059" s="45"/>
    </row>
    <row r="2060" spans="2:4" ht="16" thickBot="1" x14ac:dyDescent="0.25">
      <c r="B2060" s="4">
        <v>2055</v>
      </c>
      <c r="C2060" s="4">
        <v>56.017474260590468</v>
      </c>
      <c r="D2060" s="45"/>
    </row>
    <row r="2061" spans="2:4" ht="16" thickBot="1" x14ac:dyDescent="0.25">
      <c r="B2061" s="5">
        <v>2056</v>
      </c>
      <c r="C2061" s="5">
        <v>92.585597493749574</v>
      </c>
      <c r="D2061" s="45"/>
    </row>
    <row r="2062" spans="2:4" ht="16" thickBot="1" x14ac:dyDescent="0.25">
      <c r="B2062" s="4">
        <v>2057</v>
      </c>
      <c r="C2062" s="4">
        <v>96.597934775427305</v>
      </c>
      <c r="D2062" s="45"/>
    </row>
    <row r="2063" spans="2:4" ht="16" thickBot="1" x14ac:dyDescent="0.25">
      <c r="B2063" s="5">
        <v>2058</v>
      </c>
      <c r="C2063" s="5">
        <v>231.34062244567366</v>
      </c>
      <c r="D2063" s="45"/>
    </row>
    <row r="2064" spans="2:4" ht="16" thickBot="1" x14ac:dyDescent="0.25">
      <c r="B2064" s="4">
        <v>2059</v>
      </c>
      <c r="C2064" s="4">
        <v>390.02405040903801</v>
      </c>
      <c r="D2064" s="45"/>
    </row>
    <row r="2065" spans="2:4" ht="16" thickBot="1" x14ac:dyDescent="0.25">
      <c r="B2065" s="5">
        <v>2060</v>
      </c>
      <c r="C2065" s="5">
        <v>420.99016265516508</v>
      </c>
      <c r="D2065" s="45"/>
    </row>
    <row r="2066" spans="2:4" ht="16" thickBot="1" x14ac:dyDescent="0.25">
      <c r="B2066" s="4">
        <v>2061</v>
      </c>
      <c r="C2066" s="4">
        <v>223.70400241625478</v>
      </c>
      <c r="D2066" s="45"/>
    </row>
    <row r="2067" spans="2:4" ht="16" thickBot="1" x14ac:dyDescent="0.25">
      <c r="B2067" s="5">
        <v>2062</v>
      </c>
      <c r="C2067" s="5">
        <v>134.93805768983427</v>
      </c>
      <c r="D2067" s="45"/>
    </row>
    <row r="2068" spans="2:4" ht="16" thickBot="1" x14ac:dyDescent="0.25">
      <c r="B2068" s="4">
        <v>2063</v>
      </c>
      <c r="C2068" s="4">
        <v>128.13435945979478</v>
      </c>
      <c r="D2068" s="45"/>
    </row>
    <row r="2069" spans="2:4" ht="16" thickBot="1" x14ac:dyDescent="0.25">
      <c r="B2069" s="5">
        <v>2064</v>
      </c>
      <c r="C2069" s="5">
        <v>99.947224325427882</v>
      </c>
      <c r="D2069" s="45"/>
    </row>
    <row r="2070" spans="2:4" ht="16" thickBot="1" x14ac:dyDescent="0.25">
      <c r="B2070" s="4">
        <v>2065</v>
      </c>
      <c r="C2070" s="4">
        <v>43.157097584590993</v>
      </c>
      <c r="D2070" s="45"/>
    </row>
    <row r="2071" spans="2:4" ht="16" thickBot="1" x14ac:dyDescent="0.25">
      <c r="B2071" s="5">
        <v>2066</v>
      </c>
      <c r="C2071" s="5">
        <v>218.40195099571631</v>
      </c>
      <c r="D2071" s="45"/>
    </row>
    <row r="2072" spans="2:4" ht="16" thickBot="1" x14ac:dyDescent="0.25">
      <c r="B2072" s="4">
        <v>2067</v>
      </c>
      <c r="C2072" s="4">
        <v>119.82881404008907</v>
      </c>
      <c r="D2072" s="45"/>
    </row>
    <row r="2073" spans="2:4" ht="16" thickBot="1" x14ac:dyDescent="0.25">
      <c r="B2073" s="5">
        <v>2068</v>
      </c>
      <c r="C2073" s="5">
        <v>209.38726397269272</v>
      </c>
      <c r="D2073" s="45"/>
    </row>
    <row r="2074" spans="2:4" ht="16" thickBot="1" x14ac:dyDescent="0.25">
      <c r="B2074" s="4">
        <v>2069</v>
      </c>
      <c r="C2074" s="4">
        <v>128.49910273130496</v>
      </c>
      <c r="D2074" s="45"/>
    </row>
    <row r="2075" spans="2:4" ht="16" thickBot="1" x14ac:dyDescent="0.25">
      <c r="B2075" s="5">
        <v>2070</v>
      </c>
      <c r="C2075" s="5">
        <v>280.48809360652928</v>
      </c>
      <c r="D2075" s="45"/>
    </row>
    <row r="2076" spans="2:4" ht="16" thickBot="1" x14ac:dyDescent="0.25">
      <c r="B2076" s="4">
        <v>2071</v>
      </c>
      <c r="C2076" s="4">
        <v>101.66515171070213</v>
      </c>
      <c r="D2076" s="45"/>
    </row>
    <row r="2077" spans="2:4" ht="16" thickBot="1" x14ac:dyDescent="0.25">
      <c r="B2077" s="5">
        <v>2072</v>
      </c>
      <c r="C2077" s="5">
        <v>71.449204670240519</v>
      </c>
      <c r="D2077" s="45"/>
    </row>
    <row r="2078" spans="2:4" ht="16" thickBot="1" x14ac:dyDescent="0.25">
      <c r="B2078" s="4">
        <v>2073</v>
      </c>
      <c r="C2078" s="4">
        <v>193.27522304523407</v>
      </c>
      <c r="D2078" s="45"/>
    </row>
    <row r="2079" spans="2:4" ht="16" thickBot="1" x14ac:dyDescent="0.25">
      <c r="B2079" s="5">
        <v>2074</v>
      </c>
      <c r="C2079" s="5">
        <v>199.51966882495915</v>
      </c>
      <c r="D2079" s="45"/>
    </row>
    <row r="2080" spans="2:4" ht="16" thickBot="1" x14ac:dyDescent="0.25">
      <c r="B2080" s="4">
        <v>2075</v>
      </c>
      <c r="C2080" s="4">
        <v>136.18615140651184</v>
      </c>
      <c r="D2080" s="45"/>
    </row>
    <row r="2081" spans="2:4" ht="16" thickBot="1" x14ac:dyDescent="0.25">
      <c r="B2081" s="5">
        <v>2076</v>
      </c>
      <c r="C2081" s="5">
        <v>124.24086909094872</v>
      </c>
      <c r="D2081" s="45"/>
    </row>
    <row r="2082" spans="2:4" ht="16" thickBot="1" x14ac:dyDescent="0.25">
      <c r="B2082" s="4">
        <v>2077</v>
      </c>
      <c r="C2082" s="4">
        <v>202.01402186027576</v>
      </c>
      <c r="D2082" s="45"/>
    </row>
    <row r="2083" spans="2:4" ht="16" thickBot="1" x14ac:dyDescent="0.25">
      <c r="B2083" s="5">
        <v>2078</v>
      </c>
      <c r="C2083" s="5">
        <v>138.41982661856443</v>
      </c>
      <c r="D2083" s="45"/>
    </row>
    <row r="2084" spans="2:4" ht="16" thickBot="1" x14ac:dyDescent="0.25">
      <c r="B2084" s="4">
        <v>2079</v>
      </c>
      <c r="C2084" s="4">
        <v>167.35933155513479</v>
      </c>
      <c r="D2084" s="45"/>
    </row>
    <row r="2085" spans="2:4" ht="16" thickBot="1" x14ac:dyDescent="0.25">
      <c r="B2085" s="5">
        <v>2080</v>
      </c>
      <c r="C2085" s="5">
        <v>102.67226380701662</v>
      </c>
      <c r="D2085" s="45"/>
    </row>
    <row r="2086" spans="2:4" ht="16" thickBot="1" x14ac:dyDescent="0.25">
      <c r="B2086" s="4">
        <v>2081</v>
      </c>
      <c r="C2086" s="4">
        <v>271.7196283712168</v>
      </c>
      <c r="D2086" s="45"/>
    </row>
    <row r="2087" spans="2:4" ht="16" thickBot="1" x14ac:dyDescent="0.25">
      <c r="B2087" s="5">
        <v>2082</v>
      </c>
      <c r="C2087" s="5">
        <v>102.07556345878622</v>
      </c>
      <c r="D2087" s="45"/>
    </row>
    <row r="2088" spans="2:4" ht="16" thickBot="1" x14ac:dyDescent="0.25">
      <c r="B2088" s="4">
        <v>2083</v>
      </c>
      <c r="C2088" s="4">
        <v>110.76443034816303</v>
      </c>
      <c r="D2088" s="45"/>
    </row>
    <row r="2089" spans="2:4" ht="16" thickBot="1" x14ac:dyDescent="0.25">
      <c r="B2089" s="5">
        <v>2084</v>
      </c>
      <c r="C2089" s="5">
        <v>245.83944228836381</v>
      </c>
      <c r="D2089" s="45"/>
    </row>
    <row r="2090" spans="2:4" ht="16" thickBot="1" x14ac:dyDescent="0.25">
      <c r="B2090" s="4">
        <v>2085</v>
      </c>
      <c r="C2090" s="4">
        <v>191.76751765931826</v>
      </c>
      <c r="D2090" s="45"/>
    </row>
    <row r="2091" spans="2:4" ht="16" thickBot="1" x14ac:dyDescent="0.25">
      <c r="B2091" s="5">
        <v>2086</v>
      </c>
      <c r="C2091" s="5">
        <v>76.519685701773426</v>
      </c>
      <c r="D2091" s="45"/>
    </row>
    <row r="2092" spans="2:4" ht="16" thickBot="1" x14ac:dyDescent="0.25">
      <c r="B2092" s="4">
        <v>2087</v>
      </c>
      <c r="C2092" s="4">
        <v>497.93521263524661</v>
      </c>
      <c r="D2092" s="45"/>
    </row>
    <row r="2093" spans="2:4" ht="16" thickBot="1" x14ac:dyDescent="0.25">
      <c r="B2093" s="5">
        <v>2088</v>
      </c>
      <c r="C2093" s="5">
        <v>204.92433138876547</v>
      </c>
      <c r="D2093" s="45"/>
    </row>
    <row r="2094" spans="2:4" ht="16" thickBot="1" x14ac:dyDescent="0.25">
      <c r="B2094" s="4">
        <v>2089</v>
      </c>
      <c r="C2094" s="4">
        <v>311.11478573238065</v>
      </c>
      <c r="D2094" s="45"/>
    </row>
    <row r="2095" spans="2:4" ht="16" thickBot="1" x14ac:dyDescent="0.25">
      <c r="B2095" s="5">
        <v>2090</v>
      </c>
      <c r="C2095" s="5">
        <v>310.10416672527197</v>
      </c>
      <c r="D2095" s="45"/>
    </row>
    <row r="2096" spans="2:4" ht="16" thickBot="1" x14ac:dyDescent="0.25">
      <c r="B2096" s="4">
        <v>2091</v>
      </c>
      <c r="C2096" s="4">
        <v>175.42473389832125</v>
      </c>
      <c r="D2096" s="45"/>
    </row>
    <row r="2097" spans="2:4" ht="16" thickBot="1" x14ac:dyDescent="0.25">
      <c r="B2097" s="5">
        <v>2092</v>
      </c>
      <c r="C2097" s="5">
        <v>74.861326755431648</v>
      </c>
      <c r="D2097" s="45"/>
    </row>
    <row r="2098" spans="2:4" ht="16" thickBot="1" x14ac:dyDescent="0.25">
      <c r="B2098" s="4">
        <v>2093</v>
      </c>
      <c r="C2098" s="4">
        <v>198.33902777367467</v>
      </c>
      <c r="D2098" s="45"/>
    </row>
    <row r="2099" spans="2:4" ht="16" thickBot="1" x14ac:dyDescent="0.25">
      <c r="B2099" s="5">
        <v>2094</v>
      </c>
      <c r="C2099" s="5">
        <v>52.195237480897383</v>
      </c>
      <c r="D2099" s="45"/>
    </row>
    <row r="2100" spans="2:4" ht="16" thickBot="1" x14ac:dyDescent="0.25">
      <c r="B2100" s="4">
        <v>2095</v>
      </c>
      <c r="C2100" s="4">
        <v>64.014692433455465</v>
      </c>
      <c r="D2100" s="45"/>
    </row>
    <row r="2101" spans="2:4" ht="16" thickBot="1" x14ac:dyDescent="0.25">
      <c r="B2101" s="5">
        <v>2096</v>
      </c>
      <c r="C2101" s="5">
        <v>451.82257066412808</v>
      </c>
      <c r="D2101" s="45"/>
    </row>
    <row r="2102" spans="2:4" ht="16" thickBot="1" x14ac:dyDescent="0.25">
      <c r="B2102" s="4">
        <v>2097</v>
      </c>
      <c r="C2102" s="4">
        <v>92.183854245920301</v>
      </c>
      <c r="D2102" s="45"/>
    </row>
    <row r="2103" spans="2:4" ht="16" thickBot="1" x14ac:dyDescent="0.25">
      <c r="B2103" s="5">
        <v>2098</v>
      </c>
      <c r="C2103" s="5">
        <v>120.35269343967182</v>
      </c>
      <c r="D2103" s="45"/>
    </row>
    <row r="2104" spans="2:4" ht="16" thickBot="1" x14ac:dyDescent="0.25">
      <c r="B2104" s="4">
        <v>2099</v>
      </c>
      <c r="C2104" s="4">
        <v>189.14575960740092</v>
      </c>
      <c r="D2104" s="45"/>
    </row>
    <row r="2105" spans="2:4" ht="16" thickBot="1" x14ac:dyDescent="0.25">
      <c r="B2105" s="5">
        <v>2100</v>
      </c>
      <c r="C2105" s="5">
        <v>267.37148729475808</v>
      </c>
      <c r="D2105" s="45"/>
    </row>
    <row r="2106" spans="2:4" ht="16" thickBot="1" x14ac:dyDescent="0.25">
      <c r="B2106" s="4">
        <v>2101</v>
      </c>
      <c r="C2106" s="4">
        <v>117.80114494196245</v>
      </c>
      <c r="D2106" s="45"/>
    </row>
    <row r="2107" spans="2:4" ht="16" thickBot="1" x14ac:dyDescent="0.25">
      <c r="B2107" s="5">
        <v>2102</v>
      </c>
      <c r="C2107" s="5">
        <v>236.10551459648619</v>
      </c>
      <c r="D2107" s="45"/>
    </row>
    <row r="2108" spans="2:4" ht="16" thickBot="1" x14ac:dyDescent="0.25">
      <c r="B2108" s="4">
        <v>2103</v>
      </c>
      <c r="C2108" s="4">
        <v>216.4327431012407</v>
      </c>
      <c r="D2108" s="45"/>
    </row>
    <row r="2109" spans="2:4" ht="16" thickBot="1" x14ac:dyDescent="0.25">
      <c r="B2109" s="5">
        <v>2104</v>
      </c>
      <c r="C2109" s="5">
        <v>73.848375500803016</v>
      </c>
      <c r="D2109" s="45"/>
    </row>
    <row r="2110" spans="2:4" ht="16" thickBot="1" x14ac:dyDescent="0.25">
      <c r="B2110" s="4">
        <v>2105</v>
      </c>
      <c r="C2110" s="4">
        <v>198.22463813186971</v>
      </c>
      <c r="D2110" s="45"/>
    </row>
    <row r="2111" spans="2:4" ht="16" thickBot="1" x14ac:dyDescent="0.25">
      <c r="B2111" s="5">
        <v>2106</v>
      </c>
      <c r="C2111" s="5">
        <v>375.32801111521889</v>
      </c>
      <c r="D2111" s="45"/>
    </row>
    <row r="2112" spans="2:4" ht="16" thickBot="1" x14ac:dyDescent="0.25">
      <c r="B2112" s="4">
        <v>2107</v>
      </c>
      <c r="C2112" s="4">
        <v>224.28647781860744</v>
      </c>
      <c r="D2112" s="45"/>
    </row>
    <row r="2113" spans="2:4" ht="16" thickBot="1" x14ac:dyDescent="0.25">
      <c r="B2113" s="5">
        <v>2108</v>
      </c>
      <c r="C2113" s="5">
        <v>86.416738205824771</v>
      </c>
      <c r="D2113" s="45"/>
    </row>
    <row r="2114" spans="2:4" ht="16" thickBot="1" x14ac:dyDescent="0.25">
      <c r="B2114" s="4">
        <v>2109</v>
      </c>
      <c r="C2114" s="4">
        <v>256.86250177232591</v>
      </c>
      <c r="D2114" s="45"/>
    </row>
    <row r="2115" spans="2:4" ht="16" thickBot="1" x14ac:dyDescent="0.25">
      <c r="B2115" s="5">
        <v>2110</v>
      </c>
      <c r="C2115" s="5">
        <v>278.16329267947344</v>
      </c>
      <c r="D2115" s="45"/>
    </row>
    <row r="2116" spans="2:4" ht="16" thickBot="1" x14ac:dyDescent="0.25">
      <c r="B2116" s="4">
        <v>2111</v>
      </c>
      <c r="C2116" s="4">
        <v>227.85447534507631</v>
      </c>
      <c r="D2116" s="45"/>
    </row>
    <row r="2117" spans="2:4" ht="16" thickBot="1" x14ac:dyDescent="0.25">
      <c r="B2117" s="5">
        <v>2112</v>
      </c>
      <c r="C2117" s="5">
        <v>201.51891169198117</v>
      </c>
      <c r="D2117" s="45"/>
    </row>
    <row r="2118" spans="2:4" ht="16" thickBot="1" x14ac:dyDescent="0.25">
      <c r="B2118" s="4">
        <v>2113</v>
      </c>
      <c r="C2118" s="4">
        <v>263.86506220787078</v>
      </c>
      <c r="D2118" s="45"/>
    </row>
    <row r="2119" spans="2:4" ht="16" thickBot="1" x14ac:dyDescent="0.25">
      <c r="B2119" s="5">
        <v>2114</v>
      </c>
      <c r="C2119" s="5">
        <v>146.67271037846186</v>
      </c>
      <c r="D2119" s="45"/>
    </row>
    <row r="2120" spans="2:4" ht="16" thickBot="1" x14ac:dyDescent="0.25">
      <c r="B2120" s="4">
        <v>2115</v>
      </c>
      <c r="C2120" s="4">
        <v>146.60357745684601</v>
      </c>
      <c r="D2120" s="45"/>
    </row>
    <row r="2121" spans="2:4" ht="16" thickBot="1" x14ac:dyDescent="0.25">
      <c r="B2121" s="5">
        <v>2116</v>
      </c>
      <c r="C2121" s="5">
        <v>92.088598169473954</v>
      </c>
      <c r="D2121" s="45"/>
    </row>
    <row r="2122" spans="2:4" ht="16" thickBot="1" x14ac:dyDescent="0.25">
      <c r="B2122" s="4">
        <v>2117</v>
      </c>
      <c r="C2122" s="4">
        <v>119.08618646178171</v>
      </c>
      <c r="D2122" s="45"/>
    </row>
    <row r="2123" spans="2:4" ht="16" thickBot="1" x14ac:dyDescent="0.25">
      <c r="B2123" s="5">
        <v>2118</v>
      </c>
      <c r="C2123" s="5">
        <v>194.86366415673876</v>
      </c>
      <c r="D2123" s="45"/>
    </row>
    <row r="2124" spans="2:4" ht="16" thickBot="1" x14ac:dyDescent="0.25">
      <c r="B2124" s="4">
        <v>2119</v>
      </c>
      <c r="C2124" s="4">
        <v>318.24752715780471</v>
      </c>
      <c r="D2124" s="45"/>
    </row>
    <row r="2125" spans="2:4" ht="16" thickBot="1" x14ac:dyDescent="0.25">
      <c r="B2125" s="5">
        <v>2120</v>
      </c>
      <c r="C2125" s="5">
        <v>100.95977279170222</v>
      </c>
      <c r="D2125" s="45"/>
    </row>
    <row r="2126" spans="2:4" ht="16" thickBot="1" x14ac:dyDescent="0.25">
      <c r="B2126" s="4">
        <v>2121</v>
      </c>
      <c r="C2126" s="4">
        <v>190.31990088176101</v>
      </c>
      <c r="D2126" s="45"/>
    </row>
    <row r="2127" spans="2:4" ht="16" thickBot="1" x14ac:dyDescent="0.25">
      <c r="B2127" s="5">
        <v>2122</v>
      </c>
      <c r="C2127" s="5">
        <v>442.59395471643666</v>
      </c>
      <c r="D2127" s="45"/>
    </row>
    <row r="2128" spans="2:4" ht="16" thickBot="1" x14ac:dyDescent="0.25">
      <c r="B2128" s="4">
        <v>2123</v>
      </c>
      <c r="C2128" s="4">
        <v>28.137281459117379</v>
      </c>
      <c r="D2128" s="45"/>
    </row>
    <row r="2129" spans="2:4" ht="16" thickBot="1" x14ac:dyDescent="0.25">
      <c r="B2129" s="5">
        <v>2124</v>
      </c>
      <c r="C2129" s="5">
        <v>89.200496623405414</v>
      </c>
      <c r="D2129" s="45"/>
    </row>
    <row r="2130" spans="2:4" ht="16" thickBot="1" x14ac:dyDescent="0.25">
      <c r="B2130" s="4">
        <v>2125</v>
      </c>
      <c r="C2130" s="4">
        <v>132.02041869982787</v>
      </c>
      <c r="D2130" s="45"/>
    </row>
    <row r="2131" spans="2:4" ht="16" thickBot="1" x14ac:dyDescent="0.25">
      <c r="B2131" s="5">
        <v>2126</v>
      </c>
      <c r="C2131" s="5">
        <v>106.31486281552142</v>
      </c>
      <c r="D2131" s="45"/>
    </row>
    <row r="2132" spans="2:4" ht="16" thickBot="1" x14ac:dyDescent="0.25">
      <c r="B2132" s="4">
        <v>2127</v>
      </c>
      <c r="C2132" s="4">
        <v>142.37433378379816</v>
      </c>
      <c r="D2132" s="45"/>
    </row>
    <row r="2133" spans="2:4" ht="16" thickBot="1" x14ac:dyDescent="0.25">
      <c r="B2133" s="5">
        <v>2128</v>
      </c>
      <c r="C2133" s="5">
        <v>263.12157628588346</v>
      </c>
      <c r="D2133" s="45"/>
    </row>
    <row r="2134" spans="2:4" ht="16" thickBot="1" x14ac:dyDescent="0.25">
      <c r="B2134" s="4">
        <v>2129</v>
      </c>
      <c r="C2134" s="4">
        <v>240.01000759999658</v>
      </c>
      <c r="D2134" s="45"/>
    </row>
    <row r="2135" spans="2:4" ht="16" thickBot="1" x14ac:dyDescent="0.25">
      <c r="B2135" s="5">
        <v>2130</v>
      </c>
      <c r="C2135" s="5">
        <v>104.31125701328723</v>
      </c>
      <c r="D2135" s="45"/>
    </row>
    <row r="2136" spans="2:4" ht="16" thickBot="1" x14ac:dyDescent="0.25">
      <c r="B2136" s="4">
        <v>2131</v>
      </c>
      <c r="C2136" s="4">
        <v>156.6647766555929</v>
      </c>
      <c r="D2136" s="45"/>
    </row>
    <row r="2137" spans="2:4" ht="16" thickBot="1" x14ac:dyDescent="0.25">
      <c r="B2137" s="5">
        <v>2132</v>
      </c>
      <c r="C2137" s="5">
        <v>167.29910944245299</v>
      </c>
      <c r="D2137" s="45"/>
    </row>
    <row r="2138" spans="2:4" ht="16" thickBot="1" x14ac:dyDescent="0.25">
      <c r="B2138" s="4">
        <v>2133</v>
      </c>
      <c r="C2138" s="4">
        <v>105.60630705489727</v>
      </c>
      <c r="D2138" s="45"/>
    </row>
    <row r="2139" spans="2:4" ht="16" thickBot="1" x14ac:dyDescent="0.25">
      <c r="B2139" s="5">
        <v>2134</v>
      </c>
      <c r="C2139" s="5">
        <v>151.59200552572088</v>
      </c>
      <c r="D2139" s="45"/>
    </row>
    <row r="2140" spans="2:4" ht="16" thickBot="1" x14ac:dyDescent="0.25">
      <c r="B2140" s="4">
        <v>2135</v>
      </c>
      <c r="C2140" s="4">
        <v>389.76213544140626</v>
      </c>
      <c r="D2140" s="45"/>
    </row>
    <row r="2141" spans="2:4" ht="16" thickBot="1" x14ac:dyDescent="0.25">
      <c r="B2141" s="5">
        <v>2136</v>
      </c>
      <c r="C2141" s="5">
        <v>167.47138183554731</v>
      </c>
      <c r="D2141" s="45"/>
    </row>
    <row r="2142" spans="2:4" ht="16" thickBot="1" x14ac:dyDescent="0.25">
      <c r="B2142" s="4">
        <v>2137</v>
      </c>
      <c r="C2142" s="4">
        <v>179.32018703313773</v>
      </c>
      <c r="D2142" s="45"/>
    </row>
    <row r="2143" spans="2:4" ht="16" thickBot="1" x14ac:dyDescent="0.25">
      <c r="B2143" s="5">
        <v>2138</v>
      </c>
      <c r="C2143" s="5">
        <v>276.41989533661172</v>
      </c>
      <c r="D2143" s="45"/>
    </row>
    <row r="2144" spans="2:4" ht="16" thickBot="1" x14ac:dyDescent="0.25">
      <c r="B2144" s="4">
        <v>2139</v>
      </c>
      <c r="C2144" s="4">
        <v>79.618768441587278</v>
      </c>
      <c r="D2144" s="45"/>
    </row>
    <row r="2145" spans="2:4" ht="16" thickBot="1" x14ac:dyDescent="0.25">
      <c r="B2145" s="5">
        <v>2140</v>
      </c>
      <c r="C2145" s="5">
        <v>81.529963969079645</v>
      </c>
      <c r="D2145" s="45"/>
    </row>
    <row r="2146" spans="2:4" ht="16" thickBot="1" x14ac:dyDescent="0.25">
      <c r="B2146" s="4">
        <v>2141</v>
      </c>
      <c r="C2146" s="4">
        <v>28.505975482221299</v>
      </c>
      <c r="D2146" s="45"/>
    </row>
    <row r="2147" spans="2:4" ht="16" thickBot="1" x14ac:dyDescent="0.25">
      <c r="B2147" s="5">
        <v>2142</v>
      </c>
      <c r="C2147" s="5">
        <v>197.23591250014047</v>
      </c>
      <c r="D2147" s="45"/>
    </row>
    <row r="2148" spans="2:4" ht="16" thickBot="1" x14ac:dyDescent="0.25">
      <c r="B2148" s="4">
        <v>2143</v>
      </c>
      <c r="C2148" s="4">
        <v>82.552490115985975</v>
      </c>
      <c r="D2148" s="45"/>
    </row>
    <row r="2149" spans="2:4" ht="16" thickBot="1" x14ac:dyDescent="0.25">
      <c r="B2149" s="5">
        <v>2144</v>
      </c>
      <c r="C2149" s="5">
        <v>150.45713156682154</v>
      </c>
      <c r="D2149" s="45"/>
    </row>
    <row r="2150" spans="2:4" ht="16" thickBot="1" x14ac:dyDescent="0.25">
      <c r="B2150" s="4">
        <v>2145</v>
      </c>
      <c r="C2150" s="4">
        <v>75.427143942856475</v>
      </c>
      <c r="D2150" s="45"/>
    </row>
    <row r="2151" spans="2:4" ht="16" thickBot="1" x14ac:dyDescent="0.25">
      <c r="B2151" s="5">
        <v>2146</v>
      </c>
      <c r="C2151" s="5">
        <v>132.20877224079459</v>
      </c>
      <c r="D2151" s="45"/>
    </row>
    <row r="2152" spans="2:4" ht="16" thickBot="1" x14ac:dyDescent="0.25">
      <c r="B2152" s="4">
        <v>2147</v>
      </c>
      <c r="C2152" s="4">
        <v>143.43759612290472</v>
      </c>
      <c r="D2152" s="45"/>
    </row>
    <row r="2153" spans="2:4" ht="16" thickBot="1" x14ac:dyDescent="0.25">
      <c r="B2153" s="5">
        <v>2148</v>
      </c>
      <c r="C2153" s="5">
        <v>104.49315575345877</v>
      </c>
      <c r="D2153" s="45"/>
    </row>
    <row r="2154" spans="2:4" ht="16" thickBot="1" x14ac:dyDescent="0.25">
      <c r="B2154" s="4">
        <v>2149</v>
      </c>
      <c r="C2154" s="4">
        <v>165.03791829360205</v>
      </c>
      <c r="D2154" s="45"/>
    </row>
    <row r="2155" spans="2:4" ht="16" thickBot="1" x14ac:dyDescent="0.25">
      <c r="B2155" s="5">
        <v>2150</v>
      </c>
      <c r="C2155" s="5">
        <v>138.71019780203841</v>
      </c>
      <c r="D2155" s="45"/>
    </row>
    <row r="2156" spans="2:4" ht="16" thickBot="1" x14ac:dyDescent="0.25">
      <c r="B2156" s="4">
        <v>2151</v>
      </c>
      <c r="C2156" s="4">
        <v>201.24368857128661</v>
      </c>
      <c r="D2156" s="45"/>
    </row>
    <row r="2157" spans="2:4" ht="16" thickBot="1" x14ac:dyDescent="0.25">
      <c r="B2157" s="5">
        <v>2152</v>
      </c>
      <c r="C2157" s="5">
        <v>208.19698940650488</v>
      </c>
      <c r="D2157" s="45"/>
    </row>
    <row r="2158" spans="2:4" ht="16" thickBot="1" x14ac:dyDescent="0.25">
      <c r="B2158" s="4">
        <v>2153</v>
      </c>
      <c r="C2158" s="4">
        <v>135.53396196261636</v>
      </c>
      <c r="D2158" s="45"/>
    </row>
    <row r="2159" spans="2:4" ht="16" thickBot="1" x14ac:dyDescent="0.25">
      <c r="B2159" s="5">
        <v>2154</v>
      </c>
      <c r="C2159" s="5">
        <v>615.72432824212353</v>
      </c>
      <c r="D2159" s="45"/>
    </row>
    <row r="2160" spans="2:4" ht="16" thickBot="1" x14ac:dyDescent="0.25">
      <c r="B2160" s="4">
        <v>2155</v>
      </c>
      <c r="C2160" s="4">
        <v>144.45293510786098</v>
      </c>
      <c r="D2160" s="45"/>
    </row>
    <row r="2161" spans="2:4" ht="16" thickBot="1" x14ac:dyDescent="0.25">
      <c r="B2161" s="5">
        <v>2156</v>
      </c>
      <c r="C2161" s="5">
        <v>176.06899601106795</v>
      </c>
      <c r="D2161" s="45"/>
    </row>
    <row r="2162" spans="2:4" ht="16" thickBot="1" x14ac:dyDescent="0.25">
      <c r="B2162" s="4">
        <v>2157</v>
      </c>
      <c r="C2162" s="4">
        <v>101.2172395732906</v>
      </c>
      <c r="D2162" s="45"/>
    </row>
    <row r="2163" spans="2:4" ht="16" thickBot="1" x14ac:dyDescent="0.25">
      <c r="B2163" s="5">
        <v>2158</v>
      </c>
      <c r="C2163" s="5">
        <v>84.171454464486601</v>
      </c>
      <c r="D2163" s="45"/>
    </row>
    <row r="2164" spans="2:4" ht="16" thickBot="1" x14ac:dyDescent="0.25">
      <c r="B2164" s="4">
        <v>2159</v>
      </c>
      <c r="C2164" s="4">
        <v>141.7845167245768</v>
      </c>
      <c r="D2164" s="45"/>
    </row>
    <row r="2165" spans="2:4" ht="16" thickBot="1" x14ac:dyDescent="0.25">
      <c r="B2165" s="5">
        <v>2160</v>
      </c>
      <c r="C2165" s="5">
        <v>245.27580516426096</v>
      </c>
      <c r="D2165" s="45"/>
    </row>
    <row r="2166" spans="2:4" ht="16" thickBot="1" x14ac:dyDescent="0.25">
      <c r="B2166" s="4">
        <v>2161</v>
      </c>
      <c r="C2166" s="4">
        <v>88.380456791950238</v>
      </c>
      <c r="D2166" s="45"/>
    </row>
    <row r="2167" spans="2:4" ht="16" thickBot="1" x14ac:dyDescent="0.25">
      <c r="B2167" s="5">
        <v>2162</v>
      </c>
      <c r="C2167" s="5">
        <v>174.77640644328551</v>
      </c>
      <c r="D2167" s="45"/>
    </row>
    <row r="2168" spans="2:4" ht="16" thickBot="1" x14ac:dyDescent="0.25">
      <c r="B2168" s="4">
        <v>2163</v>
      </c>
      <c r="C2168" s="4">
        <v>347.43664816537699</v>
      </c>
      <c r="D2168" s="45"/>
    </row>
    <row r="2169" spans="2:4" ht="16" thickBot="1" x14ac:dyDescent="0.25">
      <c r="B2169" s="5">
        <v>2164</v>
      </c>
      <c r="C2169" s="5">
        <v>99.598852027578062</v>
      </c>
      <c r="D2169" s="45"/>
    </row>
    <row r="2170" spans="2:4" ht="16" thickBot="1" x14ac:dyDescent="0.25">
      <c r="B2170" s="4">
        <v>2165</v>
      </c>
      <c r="C2170" s="4">
        <v>160.35654199637347</v>
      </c>
      <c r="D2170" s="45"/>
    </row>
    <row r="2171" spans="2:4" ht="16" thickBot="1" x14ac:dyDescent="0.25">
      <c r="B2171" s="5">
        <v>2166</v>
      </c>
      <c r="C2171" s="5">
        <v>350.17580241407194</v>
      </c>
      <c r="D2171" s="45"/>
    </row>
    <row r="2172" spans="2:4" ht="16" thickBot="1" x14ac:dyDescent="0.25">
      <c r="B2172" s="4">
        <v>2167</v>
      </c>
      <c r="C2172" s="4">
        <v>96.977869938020746</v>
      </c>
      <c r="D2172" s="45"/>
    </row>
    <row r="2173" spans="2:4" ht="16" thickBot="1" x14ac:dyDescent="0.25">
      <c r="B2173" s="5">
        <v>2168</v>
      </c>
      <c r="C2173" s="5">
        <v>233.0760044378745</v>
      </c>
      <c r="D2173" s="45"/>
    </row>
    <row r="2174" spans="2:4" ht="16" thickBot="1" x14ac:dyDescent="0.25">
      <c r="B2174" s="4">
        <v>2169</v>
      </c>
      <c r="C2174" s="4">
        <v>142.63876933295839</v>
      </c>
      <c r="D2174" s="45"/>
    </row>
    <row r="2175" spans="2:4" ht="16" thickBot="1" x14ac:dyDescent="0.25">
      <c r="B2175" s="5">
        <v>2170</v>
      </c>
      <c r="C2175" s="5">
        <v>104.28951171168399</v>
      </c>
      <c r="D2175" s="45"/>
    </row>
    <row r="2176" spans="2:4" ht="16" thickBot="1" x14ac:dyDescent="0.25">
      <c r="B2176" s="4">
        <v>2171</v>
      </c>
      <c r="C2176" s="4">
        <v>161.45695945375837</v>
      </c>
      <c r="D2176" s="45"/>
    </row>
    <row r="2177" spans="2:4" ht="16" thickBot="1" x14ac:dyDescent="0.25">
      <c r="B2177" s="5">
        <v>2172</v>
      </c>
      <c r="C2177" s="5">
        <v>118.79796242190402</v>
      </c>
      <c r="D2177" s="45"/>
    </row>
    <row r="2178" spans="2:4" ht="16" thickBot="1" x14ac:dyDescent="0.25">
      <c r="B2178" s="4">
        <v>2173</v>
      </c>
      <c r="C2178" s="4">
        <v>160.1588340697156</v>
      </c>
      <c r="D2178" s="45"/>
    </row>
    <row r="2179" spans="2:4" ht="16" thickBot="1" x14ac:dyDescent="0.25">
      <c r="B2179" s="5">
        <v>2174</v>
      </c>
      <c r="C2179" s="5">
        <v>99.311142298228191</v>
      </c>
      <c r="D2179" s="45"/>
    </row>
    <row r="2180" spans="2:4" ht="16" thickBot="1" x14ac:dyDescent="0.25">
      <c r="B2180" s="4">
        <v>2175</v>
      </c>
      <c r="C2180" s="4">
        <v>95.793160828415409</v>
      </c>
      <c r="D2180" s="45"/>
    </row>
    <row r="2181" spans="2:4" ht="16" thickBot="1" x14ac:dyDescent="0.25">
      <c r="B2181" s="5">
        <v>2176</v>
      </c>
      <c r="C2181" s="5">
        <v>145.3638106236055</v>
      </c>
      <c r="D2181" s="45"/>
    </row>
    <row r="2182" spans="2:4" ht="16" thickBot="1" x14ac:dyDescent="0.25">
      <c r="B2182" s="4">
        <v>2177</v>
      </c>
      <c r="C2182" s="4">
        <v>134.07479356225369</v>
      </c>
      <c r="D2182" s="45"/>
    </row>
    <row r="2183" spans="2:4" ht="16" thickBot="1" x14ac:dyDescent="0.25">
      <c r="B2183" s="5">
        <v>2178</v>
      </c>
      <c r="C2183" s="5">
        <v>150.61310173745406</v>
      </c>
      <c r="D2183" s="45"/>
    </row>
    <row r="2184" spans="2:4" ht="16" thickBot="1" x14ac:dyDescent="0.25">
      <c r="B2184" s="4">
        <v>2179</v>
      </c>
      <c r="C2184" s="4">
        <v>69.934908437784273</v>
      </c>
      <c r="D2184" s="45"/>
    </row>
    <row r="2185" spans="2:4" ht="16" thickBot="1" x14ac:dyDescent="0.25">
      <c r="B2185" s="5">
        <v>2180</v>
      </c>
      <c r="C2185" s="5">
        <v>186.33272711327658</v>
      </c>
      <c r="D2185" s="45"/>
    </row>
    <row r="2186" spans="2:4" ht="16" thickBot="1" x14ac:dyDescent="0.25">
      <c r="B2186" s="4">
        <v>2181</v>
      </c>
      <c r="C2186" s="4">
        <v>57.045220256398217</v>
      </c>
      <c r="D2186" s="45"/>
    </row>
    <row r="2187" spans="2:4" ht="16" thickBot="1" x14ac:dyDescent="0.25">
      <c r="B2187" s="5">
        <v>2182</v>
      </c>
      <c r="C2187" s="5">
        <v>62.196061028624285</v>
      </c>
      <c r="D2187" s="45"/>
    </row>
    <row r="2188" spans="2:4" ht="16" thickBot="1" x14ac:dyDescent="0.25">
      <c r="B2188" s="4">
        <v>2183</v>
      </c>
      <c r="C2188" s="4">
        <v>97.469351576420422</v>
      </c>
      <c r="D2188" s="45"/>
    </row>
    <row r="2189" spans="2:4" ht="16" thickBot="1" x14ac:dyDescent="0.25">
      <c r="B2189" s="5">
        <v>2184</v>
      </c>
      <c r="C2189" s="5">
        <v>114.11099425434931</v>
      </c>
      <c r="D2189" s="45"/>
    </row>
    <row r="2190" spans="2:4" ht="16" thickBot="1" x14ac:dyDescent="0.25">
      <c r="B2190" s="4">
        <v>2185</v>
      </c>
      <c r="C2190" s="4">
        <v>144.01743963464838</v>
      </c>
      <c r="D2190" s="45"/>
    </row>
    <row r="2191" spans="2:4" ht="16" thickBot="1" x14ac:dyDescent="0.25">
      <c r="B2191" s="5">
        <v>2186</v>
      </c>
      <c r="C2191" s="5">
        <v>118.12000790376003</v>
      </c>
      <c r="D2191" s="45"/>
    </row>
    <row r="2192" spans="2:4" ht="16" thickBot="1" x14ac:dyDescent="0.25">
      <c r="B2192" s="4">
        <v>2187</v>
      </c>
      <c r="C2192" s="4">
        <v>156.12907092808885</v>
      </c>
      <c r="D2192" s="45"/>
    </row>
    <row r="2193" spans="2:4" ht="16" thickBot="1" x14ac:dyDescent="0.25">
      <c r="B2193" s="5">
        <v>2188</v>
      </c>
      <c r="C2193" s="5">
        <v>108.36414193861546</v>
      </c>
      <c r="D2193" s="45"/>
    </row>
    <row r="2194" spans="2:4" ht="16" thickBot="1" x14ac:dyDescent="0.25">
      <c r="B2194" s="4">
        <v>2189</v>
      </c>
      <c r="C2194" s="4">
        <v>250.25797876512954</v>
      </c>
      <c r="D2194" s="45"/>
    </row>
    <row r="2195" spans="2:4" ht="16" thickBot="1" x14ac:dyDescent="0.25">
      <c r="B2195" s="5">
        <v>2190</v>
      </c>
      <c r="C2195" s="5">
        <v>88.971350340673936</v>
      </c>
      <c r="D2195" s="45"/>
    </row>
    <row r="2196" spans="2:4" ht="16" thickBot="1" x14ac:dyDescent="0.25">
      <c r="B2196" s="4">
        <v>2191</v>
      </c>
      <c r="C2196" s="4">
        <v>124.36032244184483</v>
      </c>
      <c r="D2196" s="45"/>
    </row>
    <row r="2197" spans="2:4" ht="16" thickBot="1" x14ac:dyDescent="0.25">
      <c r="B2197" s="5">
        <v>2192</v>
      </c>
      <c r="C2197" s="5">
        <v>214.28174135541545</v>
      </c>
      <c r="D2197" s="45"/>
    </row>
    <row r="2198" spans="2:4" ht="16" thickBot="1" x14ac:dyDescent="0.25">
      <c r="B2198" s="4">
        <v>2193</v>
      </c>
      <c r="C2198" s="4">
        <v>108.3981195759299</v>
      </c>
      <c r="D2198" s="45"/>
    </row>
    <row r="2199" spans="2:4" ht="16" thickBot="1" x14ac:dyDescent="0.25">
      <c r="B2199" s="5">
        <v>2194</v>
      </c>
      <c r="C2199" s="5">
        <v>126.70178292675384</v>
      </c>
      <c r="D2199" s="45"/>
    </row>
    <row r="2200" spans="2:4" ht="16" thickBot="1" x14ac:dyDescent="0.25">
      <c r="B2200" s="4">
        <v>2195</v>
      </c>
      <c r="C2200" s="4">
        <v>155.65148896844303</v>
      </c>
      <c r="D2200" s="45"/>
    </row>
    <row r="2201" spans="2:4" ht="16" thickBot="1" x14ac:dyDescent="0.25">
      <c r="B2201" s="5">
        <v>2196</v>
      </c>
      <c r="C2201" s="5">
        <v>214.88480071226928</v>
      </c>
      <c r="D2201" s="45"/>
    </row>
    <row r="2202" spans="2:4" ht="16" thickBot="1" x14ac:dyDescent="0.25">
      <c r="B2202" s="4">
        <v>2197</v>
      </c>
      <c r="C2202" s="4">
        <v>191.12516677537869</v>
      </c>
      <c r="D2202" s="45"/>
    </row>
    <row r="2203" spans="2:4" ht="16" thickBot="1" x14ac:dyDescent="0.25">
      <c r="B2203" s="5">
        <v>2198</v>
      </c>
      <c r="C2203" s="5">
        <v>191.99596693680985</v>
      </c>
      <c r="D2203" s="45"/>
    </row>
    <row r="2204" spans="2:4" ht="16" thickBot="1" x14ac:dyDescent="0.25">
      <c r="B2204" s="4">
        <v>2199</v>
      </c>
      <c r="C2204" s="4">
        <v>241.10110593975949</v>
      </c>
      <c r="D2204" s="45"/>
    </row>
    <row r="2205" spans="2:4" ht="16" thickBot="1" x14ac:dyDescent="0.25">
      <c r="B2205" s="5">
        <v>2200</v>
      </c>
      <c r="C2205" s="5">
        <v>140.14542317617421</v>
      </c>
      <c r="D2205" s="45"/>
    </row>
    <row r="2206" spans="2:4" ht="16" thickBot="1" x14ac:dyDescent="0.25">
      <c r="B2206" s="4">
        <v>2201</v>
      </c>
      <c r="C2206" s="4">
        <v>222.07532237546747</v>
      </c>
      <c r="D2206" s="45"/>
    </row>
    <row r="2207" spans="2:4" ht="16" thickBot="1" x14ac:dyDescent="0.25">
      <c r="B2207" s="5">
        <v>2202</v>
      </c>
      <c r="C2207" s="5">
        <v>163.19624859026257</v>
      </c>
      <c r="D2207" s="45"/>
    </row>
    <row r="2208" spans="2:4" ht="16" thickBot="1" x14ac:dyDescent="0.25">
      <c r="B2208" s="4">
        <v>2203</v>
      </c>
      <c r="C2208" s="4">
        <v>133.79200531849497</v>
      </c>
      <c r="D2208" s="45"/>
    </row>
    <row r="2209" spans="2:4" ht="16" thickBot="1" x14ac:dyDescent="0.25">
      <c r="B2209" s="5">
        <v>2204</v>
      </c>
      <c r="C2209" s="5">
        <v>328.8134166688198</v>
      </c>
      <c r="D2209" s="45"/>
    </row>
    <row r="2210" spans="2:4" ht="16" thickBot="1" x14ac:dyDescent="0.25">
      <c r="B2210" s="4">
        <v>2205</v>
      </c>
      <c r="C2210" s="4">
        <v>334.94964224640307</v>
      </c>
      <c r="D2210" s="45"/>
    </row>
    <row r="2211" spans="2:4" ht="16" thickBot="1" x14ac:dyDescent="0.25">
      <c r="B2211" s="5">
        <v>2206</v>
      </c>
      <c r="C2211" s="5">
        <v>106.93912132353908</v>
      </c>
      <c r="D2211" s="45"/>
    </row>
    <row r="2212" spans="2:4" ht="16" thickBot="1" x14ac:dyDescent="0.25">
      <c r="B2212" s="4">
        <v>2207</v>
      </c>
      <c r="C2212" s="4">
        <v>156.03556739210177</v>
      </c>
      <c r="D2212" s="45"/>
    </row>
    <row r="2213" spans="2:4" ht="16" thickBot="1" x14ac:dyDescent="0.25">
      <c r="B2213" s="5">
        <v>2208</v>
      </c>
      <c r="C2213" s="5">
        <v>560.01613975431474</v>
      </c>
      <c r="D2213" s="45"/>
    </row>
    <row r="2214" spans="2:4" ht="16" thickBot="1" x14ac:dyDescent="0.25">
      <c r="B2214" s="4">
        <v>2209</v>
      </c>
      <c r="C2214" s="4">
        <v>194.27026724899861</v>
      </c>
      <c r="D2214" s="45"/>
    </row>
    <row r="2215" spans="2:4" ht="16" thickBot="1" x14ac:dyDescent="0.25">
      <c r="B2215" s="5">
        <v>2210</v>
      </c>
      <c r="C2215" s="5">
        <v>127.40408797536189</v>
      </c>
      <c r="D2215" s="45"/>
    </row>
    <row r="2216" spans="2:4" ht="16" thickBot="1" x14ac:dyDescent="0.25">
      <c r="B2216" s="4">
        <v>2211</v>
      </c>
      <c r="C2216" s="4">
        <v>309.1737854777478</v>
      </c>
      <c r="D2216" s="45"/>
    </row>
    <row r="2217" spans="2:4" ht="16" thickBot="1" x14ac:dyDescent="0.25">
      <c r="B2217" s="5">
        <v>2212</v>
      </c>
      <c r="C2217" s="5">
        <v>91.462114655235055</v>
      </c>
      <c r="D2217" s="45"/>
    </row>
    <row r="2218" spans="2:4" ht="16" thickBot="1" x14ac:dyDescent="0.25">
      <c r="B2218" s="4">
        <v>2213</v>
      </c>
      <c r="C2218" s="4">
        <v>161.49125792006282</v>
      </c>
      <c r="D2218" s="45"/>
    </row>
    <row r="2219" spans="2:4" ht="16" thickBot="1" x14ac:dyDescent="0.25">
      <c r="B2219" s="5">
        <v>2214</v>
      </c>
      <c r="C2219" s="5">
        <v>85.430500669711563</v>
      </c>
      <c r="D2219" s="45"/>
    </row>
    <row r="2220" spans="2:4" ht="16" thickBot="1" x14ac:dyDescent="0.25">
      <c r="B2220" s="4">
        <v>2215</v>
      </c>
      <c r="C2220" s="4">
        <v>172.98963238852872</v>
      </c>
      <c r="D2220" s="45"/>
    </row>
    <row r="2221" spans="2:4" ht="16" thickBot="1" x14ac:dyDescent="0.25">
      <c r="B2221" s="5">
        <v>2216</v>
      </c>
      <c r="C2221" s="5">
        <v>137.85217421544289</v>
      </c>
      <c r="D2221" s="45"/>
    </row>
    <row r="2222" spans="2:4" ht="16" thickBot="1" x14ac:dyDescent="0.25">
      <c r="B2222" s="4">
        <v>2217</v>
      </c>
      <c r="C2222" s="4">
        <v>89.237479663028722</v>
      </c>
      <c r="D2222" s="45"/>
    </row>
    <row r="2223" spans="2:4" ht="16" thickBot="1" x14ac:dyDescent="0.25">
      <c r="B2223" s="5">
        <v>2218</v>
      </c>
      <c r="C2223" s="5">
        <v>90.690287278660037</v>
      </c>
      <c r="D2223" s="45"/>
    </row>
    <row r="2224" spans="2:4" ht="16" thickBot="1" x14ac:dyDescent="0.25">
      <c r="B2224" s="4">
        <v>2219</v>
      </c>
      <c r="C2224" s="4">
        <v>189.49914965612038</v>
      </c>
      <c r="D2224" s="45"/>
    </row>
    <row r="2225" spans="2:4" ht="16" thickBot="1" x14ac:dyDescent="0.25">
      <c r="B2225" s="5">
        <v>2220</v>
      </c>
      <c r="C2225" s="5">
        <v>87.517744313510761</v>
      </c>
      <c r="D2225" s="45"/>
    </row>
    <row r="2226" spans="2:4" ht="16" thickBot="1" x14ac:dyDescent="0.25">
      <c r="B2226" s="4">
        <v>2221</v>
      </c>
      <c r="C2226" s="4">
        <v>131.60763403458333</v>
      </c>
      <c r="D2226" s="45"/>
    </row>
    <row r="2227" spans="2:4" ht="16" thickBot="1" x14ac:dyDescent="0.25">
      <c r="B2227" s="5">
        <v>2222</v>
      </c>
      <c r="C2227" s="5">
        <v>149.60864954098025</v>
      </c>
      <c r="D2227" s="45"/>
    </row>
    <row r="2228" spans="2:4" ht="16" thickBot="1" x14ac:dyDescent="0.25">
      <c r="B2228" s="4">
        <v>2223</v>
      </c>
      <c r="C2228" s="4">
        <v>101.22279296394439</v>
      </c>
      <c r="D2228" s="45"/>
    </row>
    <row r="2229" spans="2:4" ht="16" thickBot="1" x14ac:dyDescent="0.25">
      <c r="B2229" s="5">
        <v>2224</v>
      </c>
      <c r="C2229" s="5">
        <v>78.059482201180032</v>
      </c>
      <c r="D2229" s="45"/>
    </row>
    <row r="2230" spans="2:4" ht="16" thickBot="1" x14ac:dyDescent="0.25">
      <c r="B2230" s="4">
        <v>2225</v>
      </c>
      <c r="C2230" s="4">
        <v>289.38699351369468</v>
      </c>
      <c r="D2230" s="45"/>
    </row>
    <row r="2231" spans="2:4" ht="16" thickBot="1" x14ac:dyDescent="0.25">
      <c r="B2231" s="5">
        <v>2226</v>
      </c>
      <c r="C2231" s="5">
        <v>40.321215452781324</v>
      </c>
      <c r="D2231" s="45"/>
    </row>
    <row r="2232" spans="2:4" ht="16" thickBot="1" x14ac:dyDescent="0.25">
      <c r="B2232" s="4">
        <v>2227</v>
      </c>
      <c r="C2232" s="4">
        <v>212.65417805602388</v>
      </c>
      <c r="D2232" s="45"/>
    </row>
    <row r="2233" spans="2:4" ht="16" thickBot="1" x14ac:dyDescent="0.25">
      <c r="B2233" s="5">
        <v>2228</v>
      </c>
      <c r="C2233" s="5">
        <v>85.35027252854232</v>
      </c>
      <c r="D2233" s="45"/>
    </row>
    <row r="2234" spans="2:4" ht="16" thickBot="1" x14ac:dyDescent="0.25">
      <c r="B2234" s="4">
        <v>2229</v>
      </c>
      <c r="C2234" s="4">
        <v>95.417227027991032</v>
      </c>
      <c r="D2234" s="45"/>
    </row>
    <row r="2235" spans="2:4" ht="16" thickBot="1" x14ac:dyDescent="0.25">
      <c r="B2235" s="5">
        <v>2230</v>
      </c>
      <c r="C2235" s="5">
        <v>224.44665939398081</v>
      </c>
      <c r="D2235" s="45"/>
    </row>
    <row r="2236" spans="2:4" ht="16" thickBot="1" x14ac:dyDescent="0.25">
      <c r="B2236" s="4">
        <v>2231</v>
      </c>
      <c r="C2236" s="4">
        <v>241.84552815970744</v>
      </c>
      <c r="D2236" s="45"/>
    </row>
    <row r="2237" spans="2:4" ht="16" thickBot="1" x14ac:dyDescent="0.25">
      <c r="B2237" s="5">
        <v>2232</v>
      </c>
      <c r="C2237" s="5">
        <v>95.072696565247512</v>
      </c>
      <c r="D2237" s="45"/>
    </row>
    <row r="2238" spans="2:4" ht="16" thickBot="1" x14ac:dyDescent="0.25">
      <c r="B2238" s="4">
        <v>2233</v>
      </c>
      <c r="C2238" s="4">
        <v>216.82554302527865</v>
      </c>
      <c r="D2238" s="45"/>
    </row>
    <row r="2239" spans="2:4" ht="16" thickBot="1" x14ac:dyDescent="0.25">
      <c r="B2239" s="5">
        <v>2234</v>
      </c>
      <c r="C2239" s="5">
        <v>413.44488063147679</v>
      </c>
      <c r="D2239" s="45"/>
    </row>
    <row r="2240" spans="2:4" ht="16" thickBot="1" x14ac:dyDescent="0.25">
      <c r="B2240" s="4">
        <v>2235</v>
      </c>
      <c r="C2240" s="4">
        <v>111.68024884062365</v>
      </c>
      <c r="D2240" s="45"/>
    </row>
    <row r="2241" spans="2:4" ht="16" thickBot="1" x14ac:dyDescent="0.25">
      <c r="B2241" s="5">
        <v>2236</v>
      </c>
      <c r="C2241" s="5">
        <v>180.58299434548701</v>
      </c>
      <c r="D2241" s="45"/>
    </row>
    <row r="2242" spans="2:4" ht="16" thickBot="1" x14ac:dyDescent="0.25">
      <c r="B2242" s="4">
        <v>2237</v>
      </c>
      <c r="C2242" s="4">
        <v>249.79660213255329</v>
      </c>
      <c r="D2242" s="45"/>
    </row>
    <row r="2243" spans="2:4" ht="16" thickBot="1" x14ac:dyDescent="0.25">
      <c r="B2243" s="5">
        <v>2238</v>
      </c>
      <c r="C2243" s="5">
        <v>203.36704242383379</v>
      </c>
      <c r="D2243" s="45"/>
    </row>
    <row r="2244" spans="2:4" ht="16" thickBot="1" x14ac:dyDescent="0.25">
      <c r="B2244" s="4">
        <v>2239</v>
      </c>
      <c r="C2244" s="4">
        <v>93.31043312451591</v>
      </c>
      <c r="D2244" s="45"/>
    </row>
    <row r="2245" spans="2:4" ht="16" thickBot="1" x14ac:dyDescent="0.25">
      <c r="B2245" s="5">
        <v>2240</v>
      </c>
      <c r="C2245" s="5">
        <v>116.84587961118696</v>
      </c>
      <c r="D2245" s="45"/>
    </row>
    <row r="2246" spans="2:4" ht="16" thickBot="1" x14ac:dyDescent="0.25">
      <c r="B2246" s="4">
        <v>2241</v>
      </c>
      <c r="C2246" s="4">
        <v>263.24649422874757</v>
      </c>
      <c r="D2246" s="45"/>
    </row>
    <row r="2247" spans="2:4" ht="16" thickBot="1" x14ac:dyDescent="0.25">
      <c r="B2247" s="5">
        <v>2242</v>
      </c>
      <c r="C2247" s="5">
        <v>96.173243508726827</v>
      </c>
      <c r="D2247" s="45"/>
    </row>
    <row r="2248" spans="2:4" ht="16" thickBot="1" x14ac:dyDescent="0.25">
      <c r="B2248" s="4">
        <v>2243</v>
      </c>
      <c r="C2248" s="4">
        <v>187.00602344061994</v>
      </c>
      <c r="D2248" s="45"/>
    </row>
    <row r="2249" spans="2:4" ht="16" thickBot="1" x14ac:dyDescent="0.25">
      <c r="B2249" s="5">
        <v>2244</v>
      </c>
      <c r="C2249" s="5">
        <v>153.20371045748516</v>
      </c>
      <c r="D2249" s="45"/>
    </row>
    <row r="2250" spans="2:4" ht="16" thickBot="1" x14ac:dyDescent="0.25">
      <c r="B2250" s="4">
        <v>2245</v>
      </c>
      <c r="C2250" s="4">
        <v>278.89357958062243</v>
      </c>
      <c r="D2250" s="45"/>
    </row>
    <row r="2251" spans="2:4" ht="16" thickBot="1" x14ac:dyDescent="0.25">
      <c r="B2251" s="5">
        <v>2246</v>
      </c>
      <c r="C2251" s="5">
        <v>183.07567046249994</v>
      </c>
      <c r="D2251" s="45"/>
    </row>
    <row r="2252" spans="2:4" ht="16" thickBot="1" x14ac:dyDescent="0.25">
      <c r="B2252" s="4">
        <v>2247</v>
      </c>
      <c r="C2252" s="4">
        <v>143.71182052684239</v>
      </c>
      <c r="D2252" s="45"/>
    </row>
    <row r="2253" spans="2:4" ht="16" thickBot="1" x14ac:dyDescent="0.25">
      <c r="B2253" s="5">
        <v>2248</v>
      </c>
      <c r="C2253" s="5">
        <v>136.23263839255245</v>
      </c>
      <c r="D2253" s="45"/>
    </row>
    <row r="2254" spans="2:4" ht="16" thickBot="1" x14ac:dyDescent="0.25">
      <c r="B2254" s="4">
        <v>2249</v>
      </c>
      <c r="C2254" s="4">
        <v>98.726648880136736</v>
      </c>
      <c r="D2254" s="45"/>
    </row>
    <row r="2255" spans="2:4" ht="16" thickBot="1" x14ac:dyDescent="0.25">
      <c r="B2255" s="5">
        <v>2250</v>
      </c>
      <c r="C2255" s="5">
        <v>110.64012847162027</v>
      </c>
      <c r="D2255" s="45"/>
    </row>
    <row r="2256" spans="2:4" ht="16" thickBot="1" x14ac:dyDescent="0.25">
      <c r="B2256" s="4">
        <v>2251</v>
      </c>
      <c r="C2256" s="4">
        <v>117.73658100765896</v>
      </c>
      <c r="D2256" s="45"/>
    </row>
    <row r="2257" spans="2:4" ht="16" thickBot="1" x14ac:dyDescent="0.25">
      <c r="B2257" s="5">
        <v>2252</v>
      </c>
      <c r="C2257" s="5">
        <v>85.005534205663835</v>
      </c>
      <c r="D2257" s="45"/>
    </row>
    <row r="2258" spans="2:4" ht="16" thickBot="1" x14ac:dyDescent="0.25">
      <c r="B2258" s="4">
        <v>2253</v>
      </c>
      <c r="C2258" s="4">
        <v>133.30726756066096</v>
      </c>
      <c r="D2258" s="45"/>
    </row>
    <row r="2259" spans="2:4" ht="16" thickBot="1" x14ac:dyDescent="0.25">
      <c r="B2259" s="5">
        <v>2254</v>
      </c>
      <c r="C2259" s="5">
        <v>158.86000024390839</v>
      </c>
      <c r="D2259" s="45"/>
    </row>
    <row r="2260" spans="2:4" ht="16" thickBot="1" x14ac:dyDescent="0.25">
      <c r="B2260" s="4">
        <v>2255</v>
      </c>
      <c r="C2260" s="4">
        <v>172.46024122720695</v>
      </c>
      <c r="D2260" s="45"/>
    </row>
    <row r="2261" spans="2:4" ht="16" thickBot="1" x14ac:dyDescent="0.25">
      <c r="B2261" s="5">
        <v>2256</v>
      </c>
      <c r="C2261" s="5">
        <v>97.689074875571137</v>
      </c>
      <c r="D2261" s="45"/>
    </row>
    <row r="2262" spans="2:4" ht="16" thickBot="1" x14ac:dyDescent="0.25">
      <c r="B2262" s="4">
        <v>2257</v>
      </c>
      <c r="C2262" s="4">
        <v>101.12129948488972</v>
      </c>
      <c r="D2262" s="45"/>
    </row>
    <row r="2263" spans="2:4" ht="16" thickBot="1" x14ac:dyDescent="0.25">
      <c r="B2263" s="5">
        <v>2258</v>
      </c>
      <c r="C2263" s="5">
        <v>146.39826752800315</v>
      </c>
      <c r="D2263" s="45"/>
    </row>
    <row r="2264" spans="2:4" ht="16" thickBot="1" x14ac:dyDescent="0.25">
      <c r="B2264" s="4">
        <v>2259</v>
      </c>
      <c r="C2264" s="4">
        <v>187.03022266133368</v>
      </c>
      <c r="D2264" s="45"/>
    </row>
    <row r="2265" spans="2:4" ht="16" thickBot="1" x14ac:dyDescent="0.25">
      <c r="B2265" s="5">
        <v>2260</v>
      </c>
      <c r="C2265" s="5">
        <v>199.34589966839042</v>
      </c>
      <c r="D2265" s="45"/>
    </row>
    <row r="2266" spans="2:4" ht="16" thickBot="1" x14ac:dyDescent="0.25">
      <c r="B2266" s="4">
        <v>2261</v>
      </c>
      <c r="C2266" s="4">
        <v>212.5614318506988</v>
      </c>
      <c r="D2266" s="45"/>
    </row>
    <row r="2267" spans="2:4" ht="16" thickBot="1" x14ac:dyDescent="0.25">
      <c r="B2267" s="5">
        <v>2262</v>
      </c>
      <c r="C2267" s="5">
        <v>215.95913102979671</v>
      </c>
      <c r="D2267" s="45"/>
    </row>
    <row r="2268" spans="2:4" ht="16" thickBot="1" x14ac:dyDescent="0.25">
      <c r="B2268" s="4">
        <v>2263</v>
      </c>
      <c r="C2268" s="4">
        <v>126.48813880664123</v>
      </c>
      <c r="D2268" s="45"/>
    </row>
    <row r="2269" spans="2:4" ht="16" thickBot="1" x14ac:dyDescent="0.25">
      <c r="B2269" s="5">
        <v>2264</v>
      </c>
      <c r="C2269" s="5">
        <v>391.86710879672455</v>
      </c>
      <c r="D2269" s="45"/>
    </row>
    <row r="2270" spans="2:4" ht="16" thickBot="1" x14ac:dyDescent="0.25">
      <c r="B2270" s="4">
        <v>2265</v>
      </c>
      <c r="C2270" s="4">
        <v>93.526320231018616</v>
      </c>
      <c r="D2270" s="45"/>
    </row>
    <row r="2271" spans="2:4" ht="16" thickBot="1" x14ac:dyDescent="0.25">
      <c r="B2271" s="5">
        <v>2266</v>
      </c>
      <c r="C2271" s="5">
        <v>278.24198723280068</v>
      </c>
      <c r="D2271" s="45"/>
    </row>
    <row r="2272" spans="2:4" ht="16" thickBot="1" x14ac:dyDescent="0.25">
      <c r="B2272" s="4">
        <v>2267</v>
      </c>
      <c r="C2272" s="4">
        <v>68.400096793010562</v>
      </c>
      <c r="D2272" s="45"/>
    </row>
    <row r="2273" spans="2:4" ht="16" thickBot="1" x14ac:dyDescent="0.25">
      <c r="B2273" s="5">
        <v>2268</v>
      </c>
      <c r="C2273" s="5">
        <v>99.406718734759181</v>
      </c>
      <c r="D2273" s="45"/>
    </row>
    <row r="2274" spans="2:4" ht="16" thickBot="1" x14ac:dyDescent="0.25">
      <c r="B2274" s="4">
        <v>2269</v>
      </c>
      <c r="C2274" s="4">
        <v>250.62471189167678</v>
      </c>
      <c r="D2274" s="45"/>
    </row>
    <row r="2275" spans="2:4" ht="16" thickBot="1" x14ac:dyDescent="0.25">
      <c r="B2275" s="5">
        <v>2270</v>
      </c>
      <c r="C2275" s="5">
        <v>181.36230817837372</v>
      </c>
      <c r="D2275" s="45"/>
    </row>
    <row r="2276" spans="2:4" ht="16" thickBot="1" x14ac:dyDescent="0.25">
      <c r="B2276" s="4">
        <v>2271</v>
      </c>
      <c r="C2276" s="4">
        <v>302.90270332197571</v>
      </c>
      <c r="D2276" s="45"/>
    </row>
    <row r="2277" spans="2:4" ht="16" thickBot="1" x14ac:dyDescent="0.25">
      <c r="B2277" s="5">
        <v>2272</v>
      </c>
      <c r="C2277" s="5">
        <v>64.187528546374125</v>
      </c>
      <c r="D2277" s="45"/>
    </row>
    <row r="2278" spans="2:4" ht="16" thickBot="1" x14ac:dyDescent="0.25">
      <c r="B2278" s="4">
        <v>2273</v>
      </c>
      <c r="C2278" s="4">
        <v>119.92818858349493</v>
      </c>
      <c r="D2278" s="45"/>
    </row>
    <row r="2279" spans="2:4" ht="16" thickBot="1" x14ac:dyDescent="0.25">
      <c r="B2279" s="5">
        <v>2274</v>
      </c>
      <c r="C2279" s="5">
        <v>220.75473725911127</v>
      </c>
      <c r="D2279" s="45"/>
    </row>
    <row r="2280" spans="2:4" ht="16" thickBot="1" x14ac:dyDescent="0.25">
      <c r="B2280" s="4">
        <v>2275</v>
      </c>
      <c r="C2280" s="4">
        <v>159.81879708872964</v>
      </c>
      <c r="D2280" s="45"/>
    </row>
    <row r="2281" spans="2:4" ht="16" thickBot="1" x14ac:dyDescent="0.25">
      <c r="B2281" s="5">
        <v>2276</v>
      </c>
      <c r="C2281" s="5">
        <v>151.62917481299993</v>
      </c>
      <c r="D2281" s="45"/>
    </row>
    <row r="2282" spans="2:4" ht="16" thickBot="1" x14ac:dyDescent="0.25">
      <c r="B2282" s="4">
        <v>2277</v>
      </c>
      <c r="C2282" s="4">
        <v>96.094594648805725</v>
      </c>
      <c r="D2282" s="45"/>
    </row>
    <row r="2283" spans="2:4" ht="16" thickBot="1" x14ac:dyDescent="0.25">
      <c r="B2283" s="5">
        <v>2278</v>
      </c>
      <c r="C2283" s="5">
        <v>574.81317504343781</v>
      </c>
      <c r="D2283" s="45"/>
    </row>
    <row r="2284" spans="2:4" ht="16" thickBot="1" x14ac:dyDescent="0.25">
      <c r="B2284" s="4">
        <v>2279</v>
      </c>
      <c r="C2284" s="4">
        <v>103.34497150030531</v>
      </c>
      <c r="D2284" s="45"/>
    </row>
    <row r="2285" spans="2:4" ht="16" thickBot="1" x14ac:dyDescent="0.25">
      <c r="B2285" s="5">
        <v>2280</v>
      </c>
      <c r="C2285" s="5">
        <v>203.41187806207068</v>
      </c>
      <c r="D2285" s="45"/>
    </row>
    <row r="2286" spans="2:4" ht="16" thickBot="1" x14ac:dyDescent="0.25">
      <c r="B2286" s="4">
        <v>2281</v>
      </c>
      <c r="C2286" s="4">
        <v>124.87469669183676</v>
      </c>
      <c r="D2286" s="45"/>
    </row>
    <row r="2287" spans="2:4" ht="16" thickBot="1" x14ac:dyDescent="0.25">
      <c r="B2287" s="5">
        <v>2282</v>
      </c>
      <c r="C2287" s="5">
        <v>23.680535790626969</v>
      </c>
      <c r="D2287" s="45"/>
    </row>
    <row r="2288" spans="2:4" ht="16" thickBot="1" x14ac:dyDescent="0.25">
      <c r="B2288" s="4">
        <v>2283</v>
      </c>
      <c r="C2288" s="4">
        <v>67.069600010156606</v>
      </c>
      <c r="D2288" s="45"/>
    </row>
    <row r="2289" spans="2:4" ht="16" thickBot="1" x14ac:dyDescent="0.25">
      <c r="B2289" s="5">
        <v>2284</v>
      </c>
      <c r="C2289" s="5">
        <v>133.23411729675522</v>
      </c>
      <c r="D2289" s="45"/>
    </row>
    <row r="2290" spans="2:4" ht="16" thickBot="1" x14ac:dyDescent="0.25">
      <c r="B2290" s="4">
        <v>2285</v>
      </c>
      <c r="C2290" s="4">
        <v>97.113633454834783</v>
      </c>
      <c r="D2290" s="45"/>
    </row>
    <row r="2291" spans="2:4" ht="16" thickBot="1" x14ac:dyDescent="0.25">
      <c r="B2291" s="5">
        <v>2286</v>
      </c>
      <c r="C2291" s="5">
        <v>120.18268324382007</v>
      </c>
      <c r="D2291" s="45"/>
    </row>
    <row r="2292" spans="2:4" ht="16" thickBot="1" x14ac:dyDescent="0.25">
      <c r="B2292" s="4">
        <v>2287</v>
      </c>
      <c r="C2292" s="4">
        <v>121.03403298143407</v>
      </c>
      <c r="D2292" s="45"/>
    </row>
    <row r="2293" spans="2:4" ht="16" thickBot="1" x14ac:dyDescent="0.25">
      <c r="B2293" s="5">
        <v>2288</v>
      </c>
      <c r="C2293" s="5">
        <v>110.63443295221774</v>
      </c>
      <c r="D2293" s="45"/>
    </row>
    <row r="2294" spans="2:4" ht="16" thickBot="1" x14ac:dyDescent="0.25">
      <c r="B2294" s="4">
        <v>2289</v>
      </c>
      <c r="C2294" s="4">
        <v>73.69732685853154</v>
      </c>
      <c r="D2294" s="45"/>
    </row>
    <row r="2295" spans="2:4" ht="16" thickBot="1" x14ac:dyDescent="0.25">
      <c r="B2295" s="5">
        <v>2290</v>
      </c>
      <c r="C2295" s="5">
        <v>112.56995084240656</v>
      </c>
      <c r="D2295" s="45"/>
    </row>
    <row r="2296" spans="2:4" ht="16" thickBot="1" x14ac:dyDescent="0.25">
      <c r="B2296" s="4">
        <v>2291</v>
      </c>
      <c r="C2296" s="4">
        <v>146.99023198912568</v>
      </c>
      <c r="D2296" s="45"/>
    </row>
    <row r="2297" spans="2:4" ht="16" thickBot="1" x14ac:dyDescent="0.25">
      <c r="B2297" s="5">
        <v>2292</v>
      </c>
      <c r="C2297" s="5">
        <v>293.69767390540312</v>
      </c>
      <c r="D2297" s="45"/>
    </row>
    <row r="2298" spans="2:4" ht="16" thickBot="1" x14ac:dyDescent="0.25">
      <c r="B2298" s="4">
        <v>2293</v>
      </c>
      <c r="C2298" s="4">
        <v>379.03879477722415</v>
      </c>
      <c r="D2298" s="45"/>
    </row>
    <row r="2299" spans="2:4" ht="16" thickBot="1" x14ac:dyDescent="0.25">
      <c r="B2299" s="5">
        <v>2294</v>
      </c>
      <c r="C2299" s="5">
        <v>159.13886226118711</v>
      </c>
      <c r="D2299" s="45"/>
    </row>
    <row r="2300" spans="2:4" ht="16" thickBot="1" x14ac:dyDescent="0.25">
      <c r="B2300" s="4">
        <v>2295</v>
      </c>
      <c r="C2300" s="4">
        <v>320.55882350852778</v>
      </c>
      <c r="D2300" s="45"/>
    </row>
    <row r="2301" spans="2:4" ht="16" thickBot="1" x14ac:dyDescent="0.25">
      <c r="B2301" s="5">
        <v>2296</v>
      </c>
      <c r="C2301" s="5">
        <v>74.625711408386351</v>
      </c>
      <c r="D2301" s="45"/>
    </row>
    <row r="2302" spans="2:4" ht="16" thickBot="1" x14ac:dyDescent="0.25">
      <c r="B2302" s="4">
        <v>2297</v>
      </c>
      <c r="C2302" s="4">
        <v>197.72766118380375</v>
      </c>
      <c r="D2302" s="45"/>
    </row>
    <row r="2303" spans="2:4" ht="16" thickBot="1" x14ac:dyDescent="0.25">
      <c r="B2303" s="5">
        <v>2298</v>
      </c>
      <c r="C2303" s="5">
        <v>452.5228789001564</v>
      </c>
      <c r="D2303" s="45"/>
    </row>
    <row r="2304" spans="2:4" ht="16" thickBot="1" x14ac:dyDescent="0.25">
      <c r="B2304" s="4">
        <v>2299</v>
      </c>
      <c r="C2304" s="4">
        <v>155.19851430759854</v>
      </c>
      <c r="D2304" s="45"/>
    </row>
    <row r="2305" spans="2:4" ht="16" thickBot="1" x14ac:dyDescent="0.25">
      <c r="B2305" s="5">
        <v>2300</v>
      </c>
      <c r="C2305" s="5">
        <v>133.49037998196971</v>
      </c>
      <c r="D2305" s="45"/>
    </row>
    <row r="2306" spans="2:4" ht="16" thickBot="1" x14ac:dyDescent="0.25">
      <c r="B2306" s="4">
        <v>2301</v>
      </c>
      <c r="C2306" s="4">
        <v>93.584538200158562</v>
      </c>
      <c r="D2306" s="45"/>
    </row>
    <row r="2307" spans="2:4" ht="16" thickBot="1" x14ac:dyDescent="0.25">
      <c r="B2307" s="5">
        <v>2302</v>
      </c>
      <c r="C2307" s="5">
        <v>187.61920219894196</v>
      </c>
      <c r="D2307" s="45"/>
    </row>
    <row r="2308" spans="2:4" ht="16" thickBot="1" x14ac:dyDescent="0.25">
      <c r="B2308" s="4">
        <v>2303</v>
      </c>
      <c r="C2308" s="4">
        <v>283.39828241332106</v>
      </c>
      <c r="D2308" s="45"/>
    </row>
    <row r="2309" spans="2:4" ht="16" thickBot="1" x14ac:dyDescent="0.25">
      <c r="B2309" s="5">
        <v>2304</v>
      </c>
      <c r="C2309" s="5">
        <v>102.8897585001893</v>
      </c>
      <c r="D2309" s="45"/>
    </row>
    <row r="2310" spans="2:4" ht="16" thickBot="1" x14ac:dyDescent="0.25">
      <c r="B2310" s="4">
        <v>2305</v>
      </c>
      <c r="C2310" s="4">
        <v>220.61834746152678</v>
      </c>
      <c r="D2310" s="45"/>
    </row>
    <row r="2311" spans="2:4" ht="16" thickBot="1" x14ac:dyDescent="0.25">
      <c r="B2311" s="5">
        <v>2306</v>
      </c>
      <c r="C2311" s="5">
        <v>217.5068464907946</v>
      </c>
      <c r="D2311" s="45"/>
    </row>
    <row r="2312" spans="2:4" ht="16" thickBot="1" x14ac:dyDescent="0.25">
      <c r="B2312" s="4">
        <v>2307</v>
      </c>
      <c r="C2312" s="4">
        <v>103.58908216824194</v>
      </c>
      <c r="D2312" s="45"/>
    </row>
    <row r="2313" spans="2:4" ht="16" thickBot="1" x14ac:dyDescent="0.25">
      <c r="B2313" s="5">
        <v>2308</v>
      </c>
      <c r="C2313" s="5">
        <v>737.65922551132917</v>
      </c>
      <c r="D2313" s="45"/>
    </row>
    <row r="2314" spans="2:4" ht="16" thickBot="1" x14ac:dyDescent="0.25">
      <c r="B2314" s="4">
        <v>2309</v>
      </c>
      <c r="C2314" s="4">
        <v>457.55030021254066</v>
      </c>
      <c r="D2314" s="45"/>
    </row>
    <row r="2315" spans="2:4" ht="16" thickBot="1" x14ac:dyDescent="0.25">
      <c r="B2315" s="5">
        <v>2310</v>
      </c>
      <c r="C2315" s="5">
        <v>131.65664885866298</v>
      </c>
      <c r="D2315" s="45"/>
    </row>
    <row r="2316" spans="2:4" ht="16" thickBot="1" x14ac:dyDescent="0.25">
      <c r="B2316" s="4">
        <v>2311</v>
      </c>
      <c r="C2316" s="4">
        <v>117.54093907734027</v>
      </c>
      <c r="D2316" s="45"/>
    </row>
    <row r="2317" spans="2:4" ht="16" thickBot="1" x14ac:dyDescent="0.25">
      <c r="B2317" s="5">
        <v>2312</v>
      </c>
      <c r="C2317" s="5">
        <v>91.884553773081947</v>
      </c>
      <c r="D2317" s="45"/>
    </row>
    <row r="2318" spans="2:4" ht="16" thickBot="1" x14ac:dyDescent="0.25">
      <c r="B2318" s="4">
        <v>2313</v>
      </c>
      <c r="C2318" s="4">
        <v>108.69872782429731</v>
      </c>
      <c r="D2318" s="45"/>
    </row>
    <row r="2319" spans="2:4" ht="16" thickBot="1" x14ac:dyDescent="0.25">
      <c r="B2319" s="5">
        <v>2314</v>
      </c>
      <c r="C2319" s="5">
        <v>223.75231990697264</v>
      </c>
      <c r="D2319" s="45"/>
    </row>
    <row r="2320" spans="2:4" ht="16" thickBot="1" x14ac:dyDescent="0.25">
      <c r="B2320" s="4">
        <v>2315</v>
      </c>
      <c r="C2320" s="4">
        <v>257.6169003540482</v>
      </c>
      <c r="D2320" s="45"/>
    </row>
    <row r="2321" spans="2:4" ht="16" thickBot="1" x14ac:dyDescent="0.25">
      <c r="B2321" s="5">
        <v>2316</v>
      </c>
      <c r="C2321" s="5">
        <v>184.18417065845622</v>
      </c>
      <c r="D2321" s="45"/>
    </row>
    <row r="2322" spans="2:4" ht="16" thickBot="1" x14ac:dyDescent="0.25">
      <c r="B2322" s="4">
        <v>2317</v>
      </c>
      <c r="C2322" s="4">
        <v>118.02716943343897</v>
      </c>
      <c r="D2322" s="45"/>
    </row>
    <row r="2323" spans="2:4" ht="16" thickBot="1" x14ac:dyDescent="0.25">
      <c r="B2323" s="5">
        <v>2318</v>
      </c>
      <c r="C2323" s="5">
        <v>226.36042501781941</v>
      </c>
      <c r="D2323" s="45"/>
    </row>
    <row r="2324" spans="2:4" ht="16" thickBot="1" x14ac:dyDescent="0.25">
      <c r="B2324" s="4">
        <v>2319</v>
      </c>
      <c r="C2324" s="4">
        <v>210.26636590863674</v>
      </c>
      <c r="D2324" s="45"/>
    </row>
    <row r="2325" spans="2:4" ht="16" thickBot="1" x14ac:dyDescent="0.25">
      <c r="B2325" s="5">
        <v>2320</v>
      </c>
      <c r="C2325" s="5">
        <v>238.56692064491551</v>
      </c>
      <c r="D2325" s="45"/>
    </row>
    <row r="2326" spans="2:4" ht="16" thickBot="1" x14ac:dyDescent="0.25">
      <c r="B2326" s="4">
        <v>2321</v>
      </c>
      <c r="C2326" s="4">
        <v>107.9355079295443</v>
      </c>
      <c r="D2326" s="45"/>
    </row>
    <row r="2327" spans="2:4" ht="16" thickBot="1" x14ac:dyDescent="0.25">
      <c r="B2327" s="5">
        <v>2322</v>
      </c>
      <c r="C2327" s="5">
        <v>219.46818543710759</v>
      </c>
      <c r="D2327" s="45"/>
    </row>
    <row r="2328" spans="2:4" ht="16" thickBot="1" x14ac:dyDescent="0.25">
      <c r="B2328" s="4">
        <v>2323</v>
      </c>
      <c r="C2328" s="4">
        <v>167.35465534378562</v>
      </c>
      <c r="D2328" s="45"/>
    </row>
    <row r="2329" spans="2:4" ht="16" thickBot="1" x14ac:dyDescent="0.25">
      <c r="B2329" s="5">
        <v>2324</v>
      </c>
      <c r="C2329" s="5">
        <v>84.878963056618844</v>
      </c>
      <c r="D2329" s="45"/>
    </row>
    <row r="2330" spans="2:4" ht="16" thickBot="1" x14ac:dyDescent="0.25">
      <c r="B2330" s="4">
        <v>2325</v>
      </c>
      <c r="C2330" s="4">
        <v>96.288357711549608</v>
      </c>
      <c r="D2330" s="45"/>
    </row>
    <row r="2331" spans="2:4" ht="16" thickBot="1" x14ac:dyDescent="0.25">
      <c r="B2331" s="5">
        <v>2326</v>
      </c>
      <c r="C2331" s="5">
        <v>150.63950895966019</v>
      </c>
      <c r="D2331" s="45"/>
    </row>
    <row r="2332" spans="2:4" ht="16" thickBot="1" x14ac:dyDescent="0.25">
      <c r="B2332" s="4">
        <v>2327</v>
      </c>
      <c r="C2332" s="4">
        <v>110.82805313167532</v>
      </c>
      <c r="D2332" s="45"/>
    </row>
    <row r="2333" spans="2:4" ht="16" thickBot="1" x14ac:dyDescent="0.25">
      <c r="B2333" s="5">
        <v>2328</v>
      </c>
      <c r="C2333" s="5">
        <v>371.35246580841988</v>
      </c>
      <c r="D2333" s="45"/>
    </row>
    <row r="2334" spans="2:4" ht="16" thickBot="1" x14ac:dyDescent="0.25">
      <c r="B2334" s="4">
        <v>2329</v>
      </c>
      <c r="C2334" s="4">
        <v>97.406118090284409</v>
      </c>
      <c r="D2334" s="45"/>
    </row>
    <row r="2335" spans="2:4" ht="16" thickBot="1" x14ac:dyDescent="0.25">
      <c r="B2335" s="5">
        <v>2330</v>
      </c>
      <c r="C2335" s="5">
        <v>380.27109816421626</v>
      </c>
      <c r="D2335" s="45"/>
    </row>
    <row r="2336" spans="2:4" ht="16" thickBot="1" x14ac:dyDescent="0.25">
      <c r="B2336" s="4">
        <v>2331</v>
      </c>
      <c r="C2336" s="4">
        <v>144.79688090599944</v>
      </c>
      <c r="D2336" s="45"/>
    </row>
    <row r="2337" spans="2:4" ht="16" thickBot="1" x14ac:dyDescent="0.25">
      <c r="B2337" s="5">
        <v>2332</v>
      </c>
      <c r="C2337" s="5">
        <v>197.61084451853662</v>
      </c>
      <c r="D2337" s="45"/>
    </row>
    <row r="2338" spans="2:4" ht="16" thickBot="1" x14ac:dyDescent="0.25">
      <c r="B2338" s="4">
        <v>2333</v>
      </c>
      <c r="C2338" s="4">
        <v>165.60907349755084</v>
      </c>
      <c r="D2338" s="45"/>
    </row>
    <row r="2339" spans="2:4" ht="16" thickBot="1" x14ac:dyDescent="0.25">
      <c r="B2339" s="5">
        <v>2334</v>
      </c>
      <c r="C2339" s="5">
        <v>108.15479031898131</v>
      </c>
      <c r="D2339" s="45"/>
    </row>
    <row r="2340" spans="2:4" ht="16" thickBot="1" x14ac:dyDescent="0.25">
      <c r="B2340" s="4">
        <v>2335</v>
      </c>
      <c r="C2340" s="4">
        <v>166.11330852999438</v>
      </c>
      <c r="D2340" s="45"/>
    </row>
    <row r="2341" spans="2:4" ht="16" thickBot="1" x14ac:dyDescent="0.25">
      <c r="B2341" s="5">
        <v>2336</v>
      </c>
      <c r="C2341" s="5">
        <v>169.57789088514758</v>
      </c>
      <c r="D2341" s="45"/>
    </row>
    <row r="2342" spans="2:4" ht="16" thickBot="1" x14ac:dyDescent="0.25">
      <c r="B2342" s="4">
        <v>2337</v>
      </c>
      <c r="C2342" s="4">
        <v>62.165868634996343</v>
      </c>
      <c r="D2342" s="45"/>
    </row>
    <row r="2343" spans="2:4" ht="16" thickBot="1" x14ac:dyDescent="0.25">
      <c r="B2343" s="5">
        <v>2338</v>
      </c>
      <c r="C2343" s="5">
        <v>339.44389945152989</v>
      </c>
      <c r="D2343" s="45"/>
    </row>
    <row r="2344" spans="2:4" ht="16" thickBot="1" x14ac:dyDescent="0.25">
      <c r="B2344" s="4">
        <v>2339</v>
      </c>
      <c r="C2344" s="4">
        <v>192.7733271486488</v>
      </c>
      <c r="D2344" s="45"/>
    </row>
    <row r="2345" spans="2:4" ht="16" thickBot="1" x14ac:dyDescent="0.25">
      <c r="B2345" s="5">
        <v>2340</v>
      </c>
      <c r="C2345" s="5">
        <v>83.049238732957889</v>
      </c>
      <c r="D2345" s="45"/>
    </row>
    <row r="2346" spans="2:4" ht="16" thickBot="1" x14ac:dyDescent="0.25">
      <c r="B2346" s="4">
        <v>2341</v>
      </c>
      <c r="C2346" s="4">
        <v>298.71084711933889</v>
      </c>
      <c r="D2346" s="45"/>
    </row>
    <row r="2347" spans="2:4" ht="16" thickBot="1" x14ac:dyDescent="0.25">
      <c r="B2347" s="5">
        <v>2342</v>
      </c>
      <c r="C2347" s="5">
        <v>87.495860903712043</v>
      </c>
      <c r="D2347" s="45"/>
    </row>
    <row r="2348" spans="2:4" ht="16" thickBot="1" x14ac:dyDescent="0.25">
      <c r="B2348" s="4">
        <v>2343</v>
      </c>
      <c r="C2348" s="4">
        <v>315.94639673002206</v>
      </c>
      <c r="D2348" s="45"/>
    </row>
    <row r="2349" spans="2:4" ht="16" thickBot="1" x14ac:dyDescent="0.25">
      <c r="B2349" s="5">
        <v>2344</v>
      </c>
      <c r="C2349" s="5">
        <v>63.128098438061905</v>
      </c>
      <c r="D2349" s="45"/>
    </row>
    <row r="2350" spans="2:4" ht="16" thickBot="1" x14ac:dyDescent="0.25">
      <c r="B2350" s="4">
        <v>2345</v>
      </c>
      <c r="C2350" s="4">
        <v>201.69307378013895</v>
      </c>
      <c r="D2350" s="45"/>
    </row>
    <row r="2351" spans="2:4" ht="16" thickBot="1" x14ac:dyDescent="0.25">
      <c r="B2351" s="5">
        <v>2346</v>
      </c>
      <c r="C2351" s="5">
        <v>48.22787623443056</v>
      </c>
      <c r="D2351" s="45"/>
    </row>
    <row r="2352" spans="2:4" ht="16" thickBot="1" x14ac:dyDescent="0.25">
      <c r="B2352" s="4">
        <v>2347</v>
      </c>
      <c r="C2352" s="4">
        <v>129.96525562033696</v>
      </c>
      <c r="D2352" s="45"/>
    </row>
    <row r="2353" spans="2:4" ht="16" thickBot="1" x14ac:dyDescent="0.25">
      <c r="B2353" s="5">
        <v>2348</v>
      </c>
      <c r="C2353" s="5">
        <v>86.401994082691658</v>
      </c>
      <c r="D2353" s="45"/>
    </row>
    <row r="2354" spans="2:4" ht="16" thickBot="1" x14ac:dyDescent="0.25">
      <c r="B2354" s="4">
        <v>2349</v>
      </c>
      <c r="C2354" s="4">
        <v>81.318629522704455</v>
      </c>
      <c r="D2354" s="45"/>
    </row>
    <row r="2355" spans="2:4" ht="16" thickBot="1" x14ac:dyDescent="0.25">
      <c r="B2355" s="5">
        <v>2350</v>
      </c>
      <c r="C2355" s="5">
        <v>155.70810142330589</v>
      </c>
      <c r="D2355" s="45"/>
    </row>
    <row r="2356" spans="2:4" ht="16" thickBot="1" x14ac:dyDescent="0.25">
      <c r="B2356" s="4">
        <v>2351</v>
      </c>
      <c r="C2356" s="4">
        <v>107.40662881763839</v>
      </c>
      <c r="D2356" s="45"/>
    </row>
    <row r="2357" spans="2:4" ht="16" thickBot="1" x14ac:dyDescent="0.25">
      <c r="B2357" s="5">
        <v>2352</v>
      </c>
      <c r="C2357" s="5">
        <v>89.461299271755024</v>
      </c>
      <c r="D2357" s="45"/>
    </row>
    <row r="2358" spans="2:4" ht="16" thickBot="1" x14ac:dyDescent="0.25">
      <c r="B2358" s="4">
        <v>2353</v>
      </c>
      <c r="C2358" s="4">
        <v>140.11294495729783</v>
      </c>
      <c r="D2358" s="45"/>
    </row>
    <row r="2359" spans="2:4" ht="16" thickBot="1" x14ac:dyDescent="0.25">
      <c r="B2359" s="5">
        <v>2354</v>
      </c>
      <c r="C2359" s="5">
        <v>62.257763659841309</v>
      </c>
      <c r="D2359" s="45"/>
    </row>
    <row r="2360" spans="2:4" ht="16" thickBot="1" x14ac:dyDescent="0.25">
      <c r="B2360" s="4">
        <v>2355</v>
      </c>
      <c r="C2360" s="4">
        <v>103.30608435086921</v>
      </c>
      <c r="D2360" s="45"/>
    </row>
    <row r="2361" spans="2:4" ht="16" thickBot="1" x14ac:dyDescent="0.25">
      <c r="B2361" s="5">
        <v>2356</v>
      </c>
      <c r="C2361" s="5">
        <v>63.518726602585055</v>
      </c>
      <c r="D2361" s="45"/>
    </row>
    <row r="2362" spans="2:4" ht="16" thickBot="1" x14ac:dyDescent="0.25">
      <c r="B2362" s="4">
        <v>2357</v>
      </c>
      <c r="C2362" s="4">
        <v>100.52798725444686</v>
      </c>
      <c r="D2362" s="45"/>
    </row>
    <row r="2363" spans="2:4" ht="16" thickBot="1" x14ac:dyDescent="0.25">
      <c r="B2363" s="5">
        <v>2358</v>
      </c>
      <c r="C2363" s="5">
        <v>115.82744904298767</v>
      </c>
      <c r="D2363" s="45"/>
    </row>
    <row r="2364" spans="2:4" ht="16" thickBot="1" x14ac:dyDescent="0.25">
      <c r="B2364" s="4">
        <v>2359</v>
      </c>
      <c r="C2364" s="4">
        <v>156.99512517828308</v>
      </c>
      <c r="D2364" s="45"/>
    </row>
    <row r="2365" spans="2:4" ht="16" thickBot="1" x14ac:dyDescent="0.25">
      <c r="B2365" s="5">
        <v>2360</v>
      </c>
      <c r="C2365" s="5">
        <v>95.185293608611374</v>
      </c>
      <c r="D2365" s="45"/>
    </row>
    <row r="2366" spans="2:4" ht="16" thickBot="1" x14ac:dyDescent="0.25">
      <c r="B2366" s="4">
        <v>2361</v>
      </c>
      <c r="C2366" s="4">
        <v>173.67901330304582</v>
      </c>
      <c r="D2366" s="45"/>
    </row>
    <row r="2367" spans="2:4" ht="16" thickBot="1" x14ac:dyDescent="0.25">
      <c r="B2367" s="5">
        <v>2362</v>
      </c>
      <c r="C2367" s="5">
        <v>223.34773484383442</v>
      </c>
      <c r="D2367" s="45"/>
    </row>
    <row r="2368" spans="2:4" ht="16" thickBot="1" x14ac:dyDescent="0.25">
      <c r="B2368" s="4">
        <v>2363</v>
      </c>
      <c r="C2368" s="4">
        <v>222.27744805837295</v>
      </c>
      <c r="D2368" s="45"/>
    </row>
    <row r="2369" spans="2:4" ht="16" thickBot="1" x14ac:dyDescent="0.25">
      <c r="B2369" s="5">
        <v>2364</v>
      </c>
      <c r="C2369" s="5">
        <v>245.79466642126087</v>
      </c>
      <c r="D2369" s="45"/>
    </row>
    <row r="2370" spans="2:4" ht="16" thickBot="1" x14ac:dyDescent="0.25">
      <c r="B2370" s="4">
        <v>2365</v>
      </c>
      <c r="C2370" s="4">
        <v>248.50767956039786</v>
      </c>
      <c r="D2370" s="45"/>
    </row>
    <row r="2371" spans="2:4" ht="16" thickBot="1" x14ac:dyDescent="0.25">
      <c r="B2371" s="5">
        <v>2366</v>
      </c>
      <c r="C2371" s="5">
        <v>68.950948544031831</v>
      </c>
      <c r="D2371" s="45"/>
    </row>
    <row r="2372" spans="2:4" ht="16" thickBot="1" x14ac:dyDescent="0.25">
      <c r="B2372" s="4">
        <v>2367</v>
      </c>
      <c r="C2372" s="4">
        <v>123.03245827054414</v>
      </c>
      <c r="D2372" s="45"/>
    </row>
    <row r="2373" spans="2:4" ht="16" thickBot="1" x14ac:dyDescent="0.25">
      <c r="B2373" s="5">
        <v>2368</v>
      </c>
      <c r="C2373" s="5">
        <v>80.740884311827955</v>
      </c>
      <c r="D2373" s="45"/>
    </row>
    <row r="2374" spans="2:4" ht="16" thickBot="1" x14ac:dyDescent="0.25">
      <c r="B2374" s="4">
        <v>2369</v>
      </c>
      <c r="C2374" s="4">
        <v>109.05857147583357</v>
      </c>
      <c r="D2374" s="45"/>
    </row>
    <row r="2375" spans="2:4" ht="16" thickBot="1" x14ac:dyDescent="0.25">
      <c r="B2375" s="5">
        <v>2370</v>
      </c>
      <c r="C2375" s="5">
        <v>203.87062050744956</v>
      </c>
      <c r="D2375" s="45"/>
    </row>
    <row r="2376" spans="2:4" ht="16" thickBot="1" x14ac:dyDescent="0.25">
      <c r="B2376" s="4">
        <v>2371</v>
      </c>
      <c r="C2376" s="4">
        <v>106.65597254003248</v>
      </c>
      <c r="D2376" s="45"/>
    </row>
    <row r="2377" spans="2:4" ht="16" thickBot="1" x14ac:dyDescent="0.25">
      <c r="B2377" s="5">
        <v>2372</v>
      </c>
      <c r="C2377" s="5">
        <v>156.92219067038272</v>
      </c>
      <c r="D2377" s="45"/>
    </row>
    <row r="2378" spans="2:4" ht="16" thickBot="1" x14ac:dyDescent="0.25">
      <c r="B2378" s="4">
        <v>2373</v>
      </c>
      <c r="C2378" s="4">
        <v>210.53971506273791</v>
      </c>
      <c r="D2378" s="45"/>
    </row>
    <row r="2379" spans="2:4" ht="16" thickBot="1" x14ac:dyDescent="0.25">
      <c r="B2379" s="5">
        <v>2374</v>
      </c>
      <c r="C2379" s="5">
        <v>187.43970177079981</v>
      </c>
      <c r="D2379" s="45"/>
    </row>
    <row r="2380" spans="2:4" ht="16" thickBot="1" x14ac:dyDescent="0.25">
      <c r="B2380" s="4">
        <v>2375</v>
      </c>
      <c r="C2380" s="4">
        <v>245.91897247154404</v>
      </c>
      <c r="D2380" s="45"/>
    </row>
    <row r="2381" spans="2:4" ht="16" thickBot="1" x14ac:dyDescent="0.25">
      <c r="B2381" s="5">
        <v>2376</v>
      </c>
      <c r="C2381" s="5">
        <v>195.83002731342202</v>
      </c>
      <c r="D2381" s="45"/>
    </row>
    <row r="2382" spans="2:4" ht="16" thickBot="1" x14ac:dyDescent="0.25">
      <c r="B2382" s="4">
        <v>2377</v>
      </c>
      <c r="C2382" s="4">
        <v>106.08905266610169</v>
      </c>
      <c r="D2382" s="45"/>
    </row>
    <row r="2383" spans="2:4" ht="16" thickBot="1" x14ac:dyDescent="0.25">
      <c r="B2383" s="5">
        <v>2378</v>
      </c>
      <c r="C2383" s="5">
        <v>134.92756892665395</v>
      </c>
      <c r="D2383" s="45"/>
    </row>
    <row r="2384" spans="2:4" ht="16" thickBot="1" x14ac:dyDescent="0.25">
      <c r="B2384" s="4">
        <v>2379</v>
      </c>
      <c r="C2384" s="4">
        <v>121.04770198109844</v>
      </c>
      <c r="D2384" s="45"/>
    </row>
    <row r="2385" spans="2:4" ht="16" thickBot="1" x14ac:dyDescent="0.25">
      <c r="B2385" s="5">
        <v>2380</v>
      </c>
      <c r="C2385" s="5">
        <v>155.58541189735607</v>
      </c>
      <c r="D2385" s="45"/>
    </row>
    <row r="2386" spans="2:4" ht="16" thickBot="1" x14ac:dyDescent="0.25">
      <c r="B2386" s="4">
        <v>2381</v>
      </c>
      <c r="C2386" s="4">
        <v>334.39528119864724</v>
      </c>
      <c r="D2386" s="45"/>
    </row>
    <row r="2387" spans="2:4" ht="16" thickBot="1" x14ac:dyDescent="0.25">
      <c r="B2387" s="5">
        <v>2382</v>
      </c>
      <c r="C2387" s="5">
        <v>137.10160807842473</v>
      </c>
      <c r="D2387" s="45"/>
    </row>
    <row r="2388" spans="2:4" ht="16" thickBot="1" x14ac:dyDescent="0.25">
      <c r="B2388" s="4">
        <v>2383</v>
      </c>
      <c r="C2388" s="4">
        <v>72.78574983494309</v>
      </c>
      <c r="D2388" s="45"/>
    </row>
    <row r="2389" spans="2:4" ht="16" thickBot="1" x14ac:dyDescent="0.25">
      <c r="B2389" s="5">
        <v>2384</v>
      </c>
      <c r="C2389" s="5">
        <v>130.47468521418023</v>
      </c>
      <c r="D2389" s="45"/>
    </row>
    <row r="2390" spans="2:4" ht="16" thickBot="1" x14ac:dyDescent="0.25">
      <c r="B2390" s="4">
        <v>2385</v>
      </c>
      <c r="C2390" s="4">
        <v>143.94625452100468</v>
      </c>
      <c r="D2390" s="45"/>
    </row>
    <row r="2391" spans="2:4" ht="16" thickBot="1" x14ac:dyDescent="0.25">
      <c r="B2391" s="5">
        <v>2386</v>
      </c>
      <c r="C2391" s="5">
        <v>148.10722735177512</v>
      </c>
      <c r="D2391" s="45"/>
    </row>
    <row r="2392" spans="2:4" ht="16" thickBot="1" x14ac:dyDescent="0.25">
      <c r="B2392" s="4">
        <v>2387</v>
      </c>
      <c r="C2392" s="4">
        <v>659.00936370790669</v>
      </c>
      <c r="D2392" s="45"/>
    </row>
    <row r="2393" spans="2:4" ht="16" thickBot="1" x14ac:dyDescent="0.25">
      <c r="B2393" s="5">
        <v>2388</v>
      </c>
      <c r="C2393" s="5">
        <v>241.97418256472346</v>
      </c>
      <c r="D2393" s="45"/>
    </row>
    <row r="2394" spans="2:4" ht="16" thickBot="1" x14ac:dyDescent="0.25">
      <c r="B2394" s="4">
        <v>2389</v>
      </c>
      <c r="C2394" s="4">
        <v>134.90305288365423</v>
      </c>
      <c r="D2394" s="45"/>
    </row>
    <row r="2395" spans="2:4" ht="16" thickBot="1" x14ac:dyDescent="0.25">
      <c r="B2395" s="5">
        <v>2390</v>
      </c>
      <c r="C2395" s="5">
        <v>166.00796673392549</v>
      </c>
      <c r="D2395" s="45"/>
    </row>
    <row r="2396" spans="2:4" ht="16" thickBot="1" x14ac:dyDescent="0.25">
      <c r="B2396" s="4">
        <v>2391</v>
      </c>
      <c r="C2396" s="4">
        <v>164.12312701698309</v>
      </c>
      <c r="D2396" s="45"/>
    </row>
    <row r="2397" spans="2:4" ht="16" thickBot="1" x14ac:dyDescent="0.25">
      <c r="B2397" s="5">
        <v>2392</v>
      </c>
      <c r="C2397" s="5">
        <v>207.87483616149464</v>
      </c>
      <c r="D2397" s="45"/>
    </row>
    <row r="2398" spans="2:4" ht="16" thickBot="1" x14ac:dyDescent="0.25">
      <c r="B2398" s="4">
        <v>2393</v>
      </c>
      <c r="C2398" s="4">
        <v>137.92622726830217</v>
      </c>
      <c r="D2398" s="45"/>
    </row>
    <row r="2399" spans="2:4" ht="16" thickBot="1" x14ac:dyDescent="0.25">
      <c r="B2399" s="5">
        <v>2394</v>
      </c>
      <c r="C2399" s="5">
        <v>112.81842050924547</v>
      </c>
      <c r="D2399" s="45"/>
    </row>
    <row r="2400" spans="2:4" ht="16" thickBot="1" x14ac:dyDescent="0.25">
      <c r="B2400" s="4">
        <v>2395</v>
      </c>
      <c r="C2400" s="4">
        <v>50.850568054481627</v>
      </c>
      <c r="D2400" s="45"/>
    </row>
    <row r="2401" spans="2:4" ht="16" thickBot="1" x14ac:dyDescent="0.25">
      <c r="B2401" s="5">
        <v>2396</v>
      </c>
      <c r="C2401" s="5">
        <v>206.16363403093985</v>
      </c>
      <c r="D2401" s="45"/>
    </row>
    <row r="2402" spans="2:4" ht="16" thickBot="1" x14ac:dyDescent="0.25">
      <c r="B2402" s="4">
        <v>2397</v>
      </c>
      <c r="C2402" s="4">
        <v>77.339219108219083</v>
      </c>
      <c r="D2402" s="45"/>
    </row>
    <row r="2403" spans="2:4" ht="16" thickBot="1" x14ac:dyDescent="0.25">
      <c r="B2403" s="5">
        <v>2398</v>
      </c>
      <c r="C2403" s="5">
        <v>78.538454072903662</v>
      </c>
      <c r="D2403" s="45"/>
    </row>
    <row r="2404" spans="2:4" ht="16" thickBot="1" x14ac:dyDescent="0.25">
      <c r="B2404" s="4">
        <v>2399</v>
      </c>
      <c r="C2404" s="4">
        <v>93.354551923631533</v>
      </c>
      <c r="D2404" s="45"/>
    </row>
    <row r="2405" spans="2:4" ht="16" thickBot="1" x14ac:dyDescent="0.25">
      <c r="B2405" s="5">
        <v>2400</v>
      </c>
      <c r="C2405" s="5">
        <v>180.64936634366006</v>
      </c>
      <c r="D2405" s="45"/>
    </row>
    <row r="2406" spans="2:4" ht="16" thickBot="1" x14ac:dyDescent="0.25">
      <c r="B2406" s="4">
        <v>2401</v>
      </c>
      <c r="C2406" s="4">
        <v>253.88706076211304</v>
      </c>
      <c r="D2406" s="45"/>
    </row>
    <row r="2407" spans="2:4" ht="16" thickBot="1" x14ac:dyDescent="0.25">
      <c r="B2407" s="5">
        <v>2402</v>
      </c>
      <c r="C2407" s="5">
        <v>108.63389788407395</v>
      </c>
      <c r="D2407" s="45"/>
    </row>
    <row r="2408" spans="2:4" ht="16" thickBot="1" x14ac:dyDescent="0.25">
      <c r="B2408" s="4">
        <v>2403</v>
      </c>
      <c r="C2408" s="4">
        <v>181.28125742341268</v>
      </c>
      <c r="D2408" s="45"/>
    </row>
    <row r="2409" spans="2:4" ht="16" thickBot="1" x14ac:dyDescent="0.25">
      <c r="B2409" s="5">
        <v>2404</v>
      </c>
      <c r="C2409" s="5">
        <v>159.73278090362848</v>
      </c>
      <c r="D2409" s="45"/>
    </row>
    <row r="2410" spans="2:4" ht="16" thickBot="1" x14ac:dyDescent="0.25">
      <c r="B2410" s="4">
        <v>2405</v>
      </c>
      <c r="C2410" s="4">
        <v>138.82519563739638</v>
      </c>
      <c r="D2410" s="45"/>
    </row>
    <row r="2411" spans="2:4" ht="16" thickBot="1" x14ac:dyDescent="0.25">
      <c r="B2411" s="5">
        <v>2406</v>
      </c>
      <c r="C2411" s="5">
        <v>166.20691134835948</v>
      </c>
      <c r="D2411" s="45"/>
    </row>
    <row r="2412" spans="2:4" ht="16" thickBot="1" x14ac:dyDescent="0.25">
      <c r="B2412" s="4">
        <v>2407</v>
      </c>
      <c r="C2412" s="4">
        <v>130.27411669932408</v>
      </c>
      <c r="D2412" s="45"/>
    </row>
    <row r="2413" spans="2:4" ht="16" thickBot="1" x14ac:dyDescent="0.25">
      <c r="B2413" s="5">
        <v>2408</v>
      </c>
      <c r="C2413" s="5">
        <v>80.027980573371011</v>
      </c>
      <c r="D2413" s="45"/>
    </row>
    <row r="2414" spans="2:4" ht="16" thickBot="1" x14ac:dyDescent="0.25">
      <c r="B2414" s="4">
        <v>2409</v>
      </c>
      <c r="C2414" s="4">
        <v>66.326011070680053</v>
      </c>
      <c r="D2414" s="45"/>
    </row>
    <row r="2415" spans="2:4" ht="16" thickBot="1" x14ac:dyDescent="0.25">
      <c r="B2415" s="5">
        <v>2410</v>
      </c>
      <c r="C2415" s="5">
        <v>173.72421140917399</v>
      </c>
      <c r="D2415" s="45"/>
    </row>
    <row r="2416" spans="2:4" ht="16" thickBot="1" x14ac:dyDescent="0.25">
      <c r="B2416" s="4">
        <v>2411</v>
      </c>
      <c r="C2416" s="4">
        <v>180.66069999615866</v>
      </c>
      <c r="D2416" s="45"/>
    </row>
    <row r="2417" spans="2:4" ht="16" thickBot="1" x14ac:dyDescent="0.25">
      <c r="B2417" s="5">
        <v>2412</v>
      </c>
      <c r="C2417" s="5">
        <v>208.13855492493224</v>
      </c>
      <c r="D2417" s="45"/>
    </row>
    <row r="2418" spans="2:4" ht="16" thickBot="1" x14ac:dyDescent="0.25">
      <c r="B2418" s="4">
        <v>2413</v>
      </c>
      <c r="C2418" s="4">
        <v>116.37190383119572</v>
      </c>
      <c r="D2418" s="45"/>
    </row>
    <row r="2419" spans="2:4" ht="16" thickBot="1" x14ac:dyDescent="0.25">
      <c r="B2419" s="5">
        <v>2414</v>
      </c>
      <c r="C2419" s="5">
        <v>200.90848840423095</v>
      </c>
      <c r="D2419" s="45"/>
    </row>
    <row r="2420" spans="2:4" ht="16" thickBot="1" x14ac:dyDescent="0.25">
      <c r="B2420" s="4">
        <v>2415</v>
      </c>
      <c r="C2420" s="4">
        <v>161.22040763982184</v>
      </c>
      <c r="D2420" s="45"/>
    </row>
    <row r="2421" spans="2:4" ht="16" thickBot="1" x14ac:dyDescent="0.25">
      <c r="B2421" s="5">
        <v>2416</v>
      </c>
      <c r="C2421" s="5">
        <v>108.57563811025683</v>
      </c>
      <c r="D2421" s="45"/>
    </row>
    <row r="2422" spans="2:4" ht="16" thickBot="1" x14ac:dyDescent="0.25">
      <c r="B2422" s="4">
        <v>2417</v>
      </c>
      <c r="C2422" s="4">
        <v>167.4089275064064</v>
      </c>
      <c r="D2422" s="45"/>
    </row>
    <row r="2423" spans="2:4" ht="16" thickBot="1" x14ac:dyDescent="0.25">
      <c r="B2423" s="5">
        <v>2418</v>
      </c>
      <c r="C2423" s="5">
        <v>95.571493195967818</v>
      </c>
      <c r="D2423" s="45"/>
    </row>
    <row r="2424" spans="2:4" ht="16" thickBot="1" x14ac:dyDescent="0.25">
      <c r="B2424" s="4">
        <v>2419</v>
      </c>
      <c r="C2424" s="4">
        <v>148.09673389077216</v>
      </c>
      <c r="D2424" s="45"/>
    </row>
    <row r="2425" spans="2:4" ht="16" thickBot="1" x14ac:dyDescent="0.25">
      <c r="B2425" s="5">
        <v>2420</v>
      </c>
      <c r="C2425" s="5">
        <v>108.75531006515487</v>
      </c>
      <c r="D2425" s="45"/>
    </row>
    <row r="2426" spans="2:4" ht="16" thickBot="1" x14ac:dyDescent="0.25">
      <c r="B2426" s="4">
        <v>2421</v>
      </c>
      <c r="C2426" s="4">
        <v>81.802473976162119</v>
      </c>
      <c r="D2426" s="45"/>
    </row>
    <row r="2427" spans="2:4" ht="16" thickBot="1" x14ac:dyDescent="0.25">
      <c r="B2427" s="5">
        <v>2422</v>
      </c>
      <c r="C2427" s="5">
        <v>91.205166465882925</v>
      </c>
      <c r="D2427" s="45"/>
    </row>
    <row r="2428" spans="2:4" ht="16" thickBot="1" x14ac:dyDescent="0.25">
      <c r="B2428" s="4">
        <v>2423</v>
      </c>
      <c r="C2428" s="4">
        <v>250.28102858011593</v>
      </c>
      <c r="D2428" s="45"/>
    </row>
    <row r="2429" spans="2:4" ht="16" thickBot="1" x14ac:dyDescent="0.25">
      <c r="B2429" s="5">
        <v>2424</v>
      </c>
      <c r="C2429" s="5">
        <v>202.58963224932234</v>
      </c>
      <c r="D2429" s="45"/>
    </row>
    <row r="2430" spans="2:4" ht="16" thickBot="1" x14ac:dyDescent="0.25">
      <c r="B2430" s="4">
        <v>2425</v>
      </c>
      <c r="C2430" s="4">
        <v>100.50030699297217</v>
      </c>
      <c r="D2430" s="45"/>
    </row>
    <row r="2431" spans="2:4" ht="16" thickBot="1" x14ac:dyDescent="0.25">
      <c r="B2431" s="5">
        <v>2426</v>
      </c>
      <c r="C2431" s="5">
        <v>94.957670317821453</v>
      </c>
      <c r="D2431" s="45"/>
    </row>
    <row r="2432" spans="2:4" ht="16" thickBot="1" x14ac:dyDescent="0.25">
      <c r="B2432" s="4">
        <v>2427</v>
      </c>
      <c r="C2432" s="4">
        <v>331.12395102968043</v>
      </c>
      <c r="D2432" s="45"/>
    </row>
    <row r="2433" spans="2:4" ht="16" thickBot="1" x14ac:dyDescent="0.25">
      <c r="B2433" s="5">
        <v>2428</v>
      </c>
      <c r="C2433" s="5">
        <v>164.2800168763975</v>
      </c>
      <c r="D2433" s="45"/>
    </row>
    <row r="2434" spans="2:4" ht="16" thickBot="1" x14ac:dyDescent="0.25">
      <c r="B2434" s="4">
        <v>2429</v>
      </c>
      <c r="C2434" s="4">
        <v>164.71389664754128</v>
      </c>
      <c r="D2434" s="45"/>
    </row>
    <row r="2435" spans="2:4" ht="16" thickBot="1" x14ac:dyDescent="0.25">
      <c r="B2435" s="5">
        <v>2430</v>
      </c>
      <c r="C2435" s="5">
        <v>114.41574667356983</v>
      </c>
      <c r="D2435" s="45"/>
    </row>
    <row r="2436" spans="2:4" ht="16" thickBot="1" x14ac:dyDescent="0.25">
      <c r="B2436" s="4">
        <v>2431</v>
      </c>
      <c r="C2436" s="4">
        <v>126.21387403131331</v>
      </c>
      <c r="D2436" s="45"/>
    </row>
    <row r="2437" spans="2:4" ht="16" thickBot="1" x14ac:dyDescent="0.25">
      <c r="B2437" s="5">
        <v>2432</v>
      </c>
      <c r="C2437" s="5">
        <v>212.33419308880124</v>
      </c>
      <c r="D2437" s="45"/>
    </row>
    <row r="2438" spans="2:4" ht="16" thickBot="1" x14ac:dyDescent="0.25">
      <c r="B2438" s="4">
        <v>2433</v>
      </c>
      <c r="C2438" s="4">
        <v>114.80136422661818</v>
      </c>
      <c r="D2438" s="45"/>
    </row>
    <row r="2439" spans="2:4" ht="16" thickBot="1" x14ac:dyDescent="0.25">
      <c r="B2439" s="5">
        <v>2434</v>
      </c>
      <c r="C2439" s="5">
        <v>99.361794937318408</v>
      </c>
      <c r="D2439" s="45"/>
    </row>
    <row r="2440" spans="2:4" ht="16" thickBot="1" x14ac:dyDescent="0.25">
      <c r="B2440" s="4">
        <v>2435</v>
      </c>
      <c r="C2440" s="4">
        <v>130.18447762509118</v>
      </c>
      <c r="D2440" s="45"/>
    </row>
    <row r="2441" spans="2:4" ht="16" thickBot="1" x14ac:dyDescent="0.25">
      <c r="B2441" s="5">
        <v>2436</v>
      </c>
      <c r="C2441" s="5">
        <v>135.04722057737789</v>
      </c>
      <c r="D2441" s="45"/>
    </row>
    <row r="2442" spans="2:4" ht="16" thickBot="1" x14ac:dyDescent="0.25">
      <c r="B2442" s="4">
        <v>2437</v>
      </c>
      <c r="C2442" s="4">
        <v>103.31478649483168</v>
      </c>
      <c r="D2442" s="45"/>
    </row>
    <row r="2443" spans="2:4" ht="16" thickBot="1" x14ac:dyDescent="0.25">
      <c r="B2443" s="5">
        <v>2438</v>
      </c>
      <c r="C2443" s="5">
        <v>429.05957428660707</v>
      </c>
      <c r="D2443" s="45"/>
    </row>
    <row r="2444" spans="2:4" ht="16" thickBot="1" x14ac:dyDescent="0.25">
      <c r="B2444" s="4">
        <v>2439</v>
      </c>
      <c r="C2444" s="4">
        <v>103.92077544858988</v>
      </c>
      <c r="D2444" s="45"/>
    </row>
    <row r="2445" spans="2:4" ht="16" thickBot="1" x14ac:dyDescent="0.25">
      <c r="B2445" s="5">
        <v>2440</v>
      </c>
      <c r="C2445" s="5">
        <v>234.81360213998096</v>
      </c>
      <c r="D2445" s="45"/>
    </row>
    <row r="2446" spans="2:4" ht="16" thickBot="1" x14ac:dyDescent="0.25">
      <c r="B2446" s="4">
        <v>2441</v>
      </c>
      <c r="C2446" s="4">
        <v>76.585004732706366</v>
      </c>
      <c r="D2446" s="45"/>
    </row>
    <row r="2447" spans="2:4" ht="16" thickBot="1" x14ac:dyDescent="0.25">
      <c r="B2447" s="5">
        <v>2442</v>
      </c>
      <c r="C2447" s="5">
        <v>211.24609705754438</v>
      </c>
      <c r="D2447" s="45"/>
    </row>
    <row r="2448" spans="2:4" ht="16" thickBot="1" x14ac:dyDescent="0.25">
      <c r="B2448" s="4">
        <v>2443</v>
      </c>
      <c r="C2448" s="4">
        <v>165.17752818568829</v>
      </c>
      <c r="D2448" s="45"/>
    </row>
    <row r="2449" spans="2:4" ht="16" thickBot="1" x14ac:dyDescent="0.25">
      <c r="B2449" s="5">
        <v>2444</v>
      </c>
      <c r="C2449" s="5">
        <v>46.394576122933003</v>
      </c>
      <c r="D2449" s="45"/>
    </row>
    <row r="2450" spans="2:4" ht="16" thickBot="1" x14ac:dyDescent="0.25">
      <c r="B2450" s="4">
        <v>2445</v>
      </c>
      <c r="C2450" s="4">
        <v>382.55964695703466</v>
      </c>
      <c r="D2450" s="45"/>
    </row>
    <row r="2451" spans="2:4" ht="16" thickBot="1" x14ac:dyDescent="0.25">
      <c r="B2451" s="5">
        <v>2446</v>
      </c>
      <c r="C2451" s="5">
        <v>146.2877180073159</v>
      </c>
      <c r="D2451" s="45"/>
    </row>
    <row r="2452" spans="2:4" ht="16" thickBot="1" x14ac:dyDescent="0.25">
      <c r="B2452" s="4">
        <v>2447</v>
      </c>
      <c r="C2452" s="4">
        <v>110.44143427867532</v>
      </c>
      <c r="D2452" s="45"/>
    </row>
    <row r="2453" spans="2:4" ht="16" thickBot="1" x14ac:dyDescent="0.25">
      <c r="B2453" s="5">
        <v>2448</v>
      </c>
      <c r="C2453" s="5">
        <v>197.2158532518265</v>
      </c>
      <c r="D2453" s="45"/>
    </row>
    <row r="2454" spans="2:4" ht="16" thickBot="1" x14ac:dyDescent="0.25">
      <c r="B2454" s="4">
        <v>2449</v>
      </c>
      <c r="C2454" s="4">
        <v>102.29000897745352</v>
      </c>
      <c r="D2454" s="45"/>
    </row>
    <row r="2455" spans="2:4" ht="16" thickBot="1" x14ac:dyDescent="0.25">
      <c r="B2455" s="5">
        <v>2450</v>
      </c>
      <c r="C2455" s="5">
        <v>419.91312692539083</v>
      </c>
      <c r="D2455" s="45"/>
    </row>
    <row r="2456" spans="2:4" ht="16" thickBot="1" x14ac:dyDescent="0.25">
      <c r="B2456" s="4">
        <v>2451</v>
      </c>
      <c r="C2456" s="4">
        <v>203.20626117580048</v>
      </c>
      <c r="D2456" s="45"/>
    </row>
    <row r="2457" spans="2:4" ht="16" thickBot="1" x14ac:dyDescent="0.25">
      <c r="B2457" s="5">
        <v>2452</v>
      </c>
      <c r="C2457" s="5">
        <v>97.914293602452588</v>
      </c>
      <c r="D2457" s="45"/>
    </row>
    <row r="2458" spans="2:4" ht="16" thickBot="1" x14ac:dyDescent="0.25">
      <c r="B2458" s="4">
        <v>2453</v>
      </c>
      <c r="C2458" s="4">
        <v>98.383178962726348</v>
      </c>
      <c r="D2458" s="45"/>
    </row>
    <row r="2459" spans="2:4" ht="16" thickBot="1" x14ac:dyDescent="0.25">
      <c r="B2459" s="5">
        <v>2454</v>
      </c>
      <c r="C2459" s="5">
        <v>305.71975234693139</v>
      </c>
      <c r="D2459" s="45"/>
    </row>
    <row r="2460" spans="2:4" ht="16" thickBot="1" x14ac:dyDescent="0.25">
      <c r="B2460" s="4">
        <v>2455</v>
      </c>
      <c r="C2460" s="4">
        <v>118.55217577366398</v>
      </c>
      <c r="D2460" s="45"/>
    </row>
    <row r="2461" spans="2:4" ht="16" thickBot="1" x14ac:dyDescent="0.25">
      <c r="B2461" s="5">
        <v>2456</v>
      </c>
      <c r="C2461" s="5">
        <v>251.69041085275018</v>
      </c>
      <c r="D2461" s="45"/>
    </row>
    <row r="2462" spans="2:4" ht="16" thickBot="1" x14ac:dyDescent="0.25">
      <c r="B2462" s="4">
        <v>2457</v>
      </c>
      <c r="C2462" s="4">
        <v>68.75167628749081</v>
      </c>
      <c r="D2462" s="45"/>
    </row>
    <row r="2463" spans="2:4" ht="16" thickBot="1" x14ac:dyDescent="0.25">
      <c r="B2463" s="5">
        <v>2458</v>
      </c>
      <c r="C2463" s="5">
        <v>92.970023928957616</v>
      </c>
      <c r="D2463" s="45"/>
    </row>
    <row r="2464" spans="2:4" ht="16" thickBot="1" x14ac:dyDescent="0.25">
      <c r="B2464" s="4">
        <v>2459</v>
      </c>
      <c r="C2464" s="4">
        <v>206.12832475844138</v>
      </c>
      <c r="D2464" s="45"/>
    </row>
    <row r="2465" spans="2:4" ht="16" thickBot="1" x14ac:dyDescent="0.25">
      <c r="B2465" s="5">
        <v>2460</v>
      </c>
      <c r="C2465" s="5">
        <v>110.97859462883436</v>
      </c>
      <c r="D2465" s="45"/>
    </row>
    <row r="2466" spans="2:4" ht="16" thickBot="1" x14ac:dyDescent="0.25">
      <c r="B2466" s="4">
        <v>2461</v>
      </c>
      <c r="C2466" s="4">
        <v>146.70611025544329</v>
      </c>
      <c r="D2466" s="45"/>
    </row>
    <row r="2467" spans="2:4" ht="16" thickBot="1" x14ac:dyDescent="0.25">
      <c r="B2467" s="5">
        <v>2462</v>
      </c>
      <c r="C2467" s="5">
        <v>226.49832066227455</v>
      </c>
      <c r="D2467" s="45"/>
    </row>
    <row r="2468" spans="2:4" ht="16" thickBot="1" x14ac:dyDescent="0.25">
      <c r="B2468" s="4">
        <v>2463</v>
      </c>
      <c r="C2468" s="4">
        <v>298.03850827018243</v>
      </c>
      <c r="D2468" s="45"/>
    </row>
    <row r="2469" spans="2:4" ht="16" thickBot="1" x14ac:dyDescent="0.25">
      <c r="B2469" s="5">
        <v>2464</v>
      </c>
      <c r="C2469" s="5">
        <v>31.359952856256061</v>
      </c>
      <c r="D2469" s="45"/>
    </row>
    <row r="2470" spans="2:4" ht="16" thickBot="1" x14ac:dyDescent="0.25">
      <c r="B2470" s="4">
        <v>2465</v>
      </c>
      <c r="C2470" s="4">
        <v>331.94135908439853</v>
      </c>
      <c r="D2470" s="45"/>
    </row>
    <row r="2471" spans="2:4" ht="16" thickBot="1" x14ac:dyDescent="0.25">
      <c r="B2471" s="5">
        <v>2466</v>
      </c>
      <c r="C2471" s="5">
        <v>117.71736666868775</v>
      </c>
      <c r="D2471" s="45"/>
    </row>
    <row r="2472" spans="2:4" ht="16" thickBot="1" x14ac:dyDescent="0.25">
      <c r="B2472" s="4">
        <v>2467</v>
      </c>
      <c r="C2472" s="4">
        <v>184.03334751596512</v>
      </c>
      <c r="D2472" s="45"/>
    </row>
    <row r="2473" spans="2:4" ht="16" thickBot="1" x14ac:dyDescent="0.25">
      <c r="B2473" s="5">
        <v>2468</v>
      </c>
      <c r="C2473" s="5">
        <v>217.66136171803927</v>
      </c>
      <c r="D2473" s="45"/>
    </row>
    <row r="2474" spans="2:4" ht="16" thickBot="1" x14ac:dyDescent="0.25">
      <c r="B2474" s="4">
        <v>2469</v>
      </c>
      <c r="C2474" s="4">
        <v>110.54782413415123</v>
      </c>
      <c r="D2474" s="45"/>
    </row>
    <row r="2475" spans="2:4" ht="16" thickBot="1" x14ac:dyDescent="0.25">
      <c r="B2475" s="5">
        <v>2470</v>
      </c>
      <c r="C2475" s="5">
        <v>208.45876992391462</v>
      </c>
      <c r="D2475" s="45"/>
    </row>
    <row r="2476" spans="2:4" ht="16" thickBot="1" x14ac:dyDescent="0.25">
      <c r="B2476" s="4">
        <v>2471</v>
      </c>
      <c r="C2476" s="4">
        <v>131.96228241231407</v>
      </c>
      <c r="D2476" s="45"/>
    </row>
    <row r="2477" spans="2:4" ht="16" thickBot="1" x14ac:dyDescent="0.25">
      <c r="B2477" s="5">
        <v>2472</v>
      </c>
      <c r="C2477" s="5">
        <v>132.37042345995536</v>
      </c>
      <c r="D2477" s="45"/>
    </row>
    <row r="2478" spans="2:4" ht="16" thickBot="1" x14ac:dyDescent="0.25">
      <c r="B2478" s="4">
        <v>2473</v>
      </c>
      <c r="C2478" s="4">
        <v>241.52686553916556</v>
      </c>
      <c r="D2478" s="45"/>
    </row>
    <row r="2479" spans="2:4" ht="16" thickBot="1" x14ac:dyDescent="0.25">
      <c r="B2479" s="5">
        <v>2474</v>
      </c>
      <c r="C2479" s="5">
        <v>217.38698782155737</v>
      </c>
      <c r="D2479" s="45"/>
    </row>
    <row r="2480" spans="2:4" ht="16" thickBot="1" x14ac:dyDescent="0.25">
      <c r="B2480" s="4">
        <v>2475</v>
      </c>
      <c r="C2480" s="4">
        <v>236.94582175582039</v>
      </c>
      <c r="D2480" s="45"/>
    </row>
    <row r="2481" spans="2:4" ht="16" thickBot="1" x14ac:dyDescent="0.25">
      <c r="B2481" s="5">
        <v>2476</v>
      </c>
      <c r="C2481" s="5">
        <v>138.46919915821388</v>
      </c>
      <c r="D2481" s="45"/>
    </row>
    <row r="2482" spans="2:4" ht="16" thickBot="1" x14ac:dyDescent="0.25">
      <c r="B2482" s="4">
        <v>2477</v>
      </c>
      <c r="C2482" s="4">
        <v>94.280795254266437</v>
      </c>
      <c r="D2482" s="45"/>
    </row>
    <row r="2483" spans="2:4" ht="16" thickBot="1" x14ac:dyDescent="0.25">
      <c r="B2483" s="5">
        <v>2478</v>
      </c>
      <c r="C2483" s="5">
        <v>93.650899151749186</v>
      </c>
      <c r="D2483" s="45"/>
    </row>
    <row r="2484" spans="2:4" ht="16" thickBot="1" x14ac:dyDescent="0.25">
      <c r="B2484" s="4">
        <v>2479</v>
      </c>
      <c r="C2484" s="4">
        <v>308.03858304968304</v>
      </c>
      <c r="D2484" s="45"/>
    </row>
    <row r="2485" spans="2:4" ht="16" thickBot="1" x14ac:dyDescent="0.25">
      <c r="B2485" s="5">
        <v>2480</v>
      </c>
      <c r="C2485" s="5">
        <v>117.81026858965367</v>
      </c>
      <c r="D2485" s="45"/>
    </row>
    <row r="2486" spans="2:4" ht="16" thickBot="1" x14ac:dyDescent="0.25">
      <c r="B2486" s="4">
        <v>2481</v>
      </c>
      <c r="C2486" s="4">
        <v>134.00346256155834</v>
      </c>
      <c r="D2486" s="45"/>
    </row>
    <row r="2487" spans="2:4" ht="16" thickBot="1" x14ac:dyDescent="0.25">
      <c r="B2487" s="5">
        <v>2482</v>
      </c>
      <c r="C2487" s="5">
        <v>208.62143216667374</v>
      </c>
      <c r="D2487" s="45"/>
    </row>
    <row r="2488" spans="2:4" ht="16" thickBot="1" x14ac:dyDescent="0.25">
      <c r="B2488" s="4">
        <v>2483</v>
      </c>
      <c r="C2488" s="4">
        <v>121.37586051270084</v>
      </c>
      <c r="D2488" s="45"/>
    </row>
    <row r="2489" spans="2:4" ht="16" thickBot="1" x14ac:dyDescent="0.25">
      <c r="B2489" s="5">
        <v>2484</v>
      </c>
      <c r="C2489" s="5">
        <v>177.35201874181527</v>
      </c>
      <c r="D2489" s="45"/>
    </row>
    <row r="2490" spans="2:4" ht="16" thickBot="1" x14ac:dyDescent="0.25">
      <c r="B2490" s="4">
        <v>2485</v>
      </c>
      <c r="C2490" s="4">
        <v>95.494540541254125</v>
      </c>
      <c r="D2490" s="45"/>
    </row>
    <row r="2491" spans="2:4" ht="16" thickBot="1" x14ac:dyDescent="0.25">
      <c r="B2491" s="5">
        <v>2486</v>
      </c>
      <c r="C2491" s="5">
        <v>132.82978279059884</v>
      </c>
      <c r="D2491" s="45"/>
    </row>
    <row r="2492" spans="2:4" ht="16" thickBot="1" x14ac:dyDescent="0.25">
      <c r="B2492" s="4">
        <v>2487</v>
      </c>
      <c r="C2492" s="4">
        <v>174.52719160316164</v>
      </c>
      <c r="D2492" s="45"/>
    </row>
    <row r="2493" spans="2:4" ht="16" thickBot="1" x14ac:dyDescent="0.25">
      <c r="B2493" s="5">
        <v>2488</v>
      </c>
      <c r="C2493" s="5">
        <v>137.89315051955683</v>
      </c>
      <c r="D2493" s="45"/>
    </row>
    <row r="2494" spans="2:4" ht="16" thickBot="1" x14ac:dyDescent="0.25">
      <c r="B2494" s="4">
        <v>2489</v>
      </c>
      <c r="C2494" s="4">
        <v>81.599025811164154</v>
      </c>
      <c r="D2494" s="45"/>
    </row>
    <row r="2495" spans="2:4" ht="16" thickBot="1" x14ac:dyDescent="0.25">
      <c r="B2495" s="5">
        <v>2490</v>
      </c>
      <c r="C2495" s="5">
        <v>61.259323788267999</v>
      </c>
      <c r="D2495" s="45"/>
    </row>
    <row r="2496" spans="2:4" ht="16" thickBot="1" x14ac:dyDescent="0.25">
      <c r="B2496" s="4">
        <v>2491</v>
      </c>
      <c r="C2496" s="4">
        <v>169.76692303601098</v>
      </c>
      <c r="D2496" s="45"/>
    </row>
    <row r="2497" spans="2:4" ht="16" thickBot="1" x14ac:dyDescent="0.25">
      <c r="B2497" s="5">
        <v>2492</v>
      </c>
      <c r="C2497" s="5">
        <v>441.26843209826063</v>
      </c>
      <c r="D2497" s="45"/>
    </row>
    <row r="2498" spans="2:4" ht="16" thickBot="1" x14ac:dyDescent="0.25">
      <c r="B2498" s="4">
        <v>2493</v>
      </c>
      <c r="C2498" s="4">
        <v>44.893607886210916</v>
      </c>
      <c r="D2498" s="45"/>
    </row>
    <row r="2499" spans="2:4" ht="16" thickBot="1" x14ac:dyDescent="0.25">
      <c r="B2499" s="5">
        <v>2494</v>
      </c>
      <c r="C2499" s="5">
        <v>166.70220522020023</v>
      </c>
      <c r="D2499" s="45"/>
    </row>
    <row r="2500" spans="2:4" ht="16" thickBot="1" x14ac:dyDescent="0.25">
      <c r="B2500" s="4">
        <v>2495</v>
      </c>
      <c r="C2500" s="4">
        <v>72.076631760681678</v>
      </c>
      <c r="D2500" s="45"/>
    </row>
    <row r="2501" spans="2:4" ht="16" thickBot="1" x14ac:dyDescent="0.25">
      <c r="B2501" s="5">
        <v>2496</v>
      </c>
      <c r="C2501" s="5">
        <v>66.431478174249719</v>
      </c>
      <c r="D2501" s="45"/>
    </row>
    <row r="2502" spans="2:4" ht="16" thickBot="1" x14ac:dyDescent="0.25">
      <c r="B2502" s="4">
        <v>2497</v>
      </c>
      <c r="C2502" s="4">
        <v>252.12969756869612</v>
      </c>
      <c r="D2502" s="45"/>
    </row>
    <row r="2503" spans="2:4" ht="16" thickBot="1" x14ac:dyDescent="0.25">
      <c r="B2503" s="5">
        <v>2498</v>
      </c>
      <c r="C2503" s="5">
        <v>184.42339390862864</v>
      </c>
      <c r="D2503" s="45"/>
    </row>
    <row r="2504" spans="2:4" ht="16" thickBot="1" x14ac:dyDescent="0.25">
      <c r="B2504" s="4">
        <v>2499</v>
      </c>
      <c r="C2504" s="4">
        <v>76.349159900656431</v>
      </c>
      <c r="D2504" s="45"/>
    </row>
    <row r="2505" spans="2:4" ht="16" thickBot="1" x14ac:dyDescent="0.25">
      <c r="B2505" s="5">
        <v>2500</v>
      </c>
      <c r="C2505" s="5">
        <v>95.688675413086415</v>
      </c>
      <c r="D2505" s="45"/>
    </row>
    <row r="2506" spans="2:4" ht="16" thickBot="1" x14ac:dyDescent="0.25">
      <c r="B2506" s="4">
        <v>2501</v>
      </c>
      <c r="C2506" s="4">
        <v>220.77362224873158</v>
      </c>
      <c r="D2506" s="45"/>
    </row>
    <row r="2507" spans="2:4" ht="16" thickBot="1" x14ac:dyDescent="0.25">
      <c r="B2507" s="5">
        <v>2502</v>
      </c>
      <c r="C2507" s="5">
        <v>172.70808792933633</v>
      </c>
      <c r="D2507" s="45"/>
    </row>
    <row r="2508" spans="2:4" ht="16" thickBot="1" x14ac:dyDescent="0.25">
      <c r="B2508" s="4">
        <v>2503</v>
      </c>
      <c r="C2508" s="4">
        <v>270.66947380153658</v>
      </c>
      <c r="D2508" s="45"/>
    </row>
    <row r="2509" spans="2:4" ht="16" thickBot="1" x14ac:dyDescent="0.25">
      <c r="B2509" s="5">
        <v>2504</v>
      </c>
      <c r="C2509" s="5">
        <v>65.345378597007908</v>
      </c>
      <c r="D2509" s="45"/>
    </row>
    <row r="2510" spans="2:4" ht="16" thickBot="1" x14ac:dyDescent="0.25">
      <c r="B2510" s="4">
        <v>2505</v>
      </c>
      <c r="C2510" s="4">
        <v>267.29191331305066</v>
      </c>
      <c r="D2510" s="45"/>
    </row>
    <row r="2511" spans="2:4" ht="16" thickBot="1" x14ac:dyDescent="0.25">
      <c r="B2511" s="5">
        <v>2506</v>
      </c>
      <c r="C2511" s="5">
        <v>123.00150545250986</v>
      </c>
      <c r="D2511" s="45"/>
    </row>
    <row r="2512" spans="2:4" ht="16" thickBot="1" x14ac:dyDescent="0.25">
      <c r="B2512" s="4">
        <v>2507</v>
      </c>
      <c r="C2512" s="4">
        <v>166.9322086065423</v>
      </c>
      <c r="D2512" s="45"/>
    </row>
    <row r="2513" spans="2:4" ht="16" thickBot="1" x14ac:dyDescent="0.25">
      <c r="B2513" s="5">
        <v>2508</v>
      </c>
      <c r="C2513" s="5">
        <v>234.53300343015883</v>
      </c>
      <c r="D2513" s="45"/>
    </row>
    <row r="2514" spans="2:4" ht="16" thickBot="1" x14ac:dyDescent="0.25">
      <c r="B2514" s="4">
        <v>2509</v>
      </c>
      <c r="C2514" s="4">
        <v>121.04816620629495</v>
      </c>
      <c r="D2514" s="45"/>
    </row>
    <row r="2515" spans="2:4" ht="16" thickBot="1" x14ac:dyDescent="0.25">
      <c r="B2515" s="5">
        <v>2510</v>
      </c>
      <c r="C2515" s="5">
        <v>36.726165219400478</v>
      </c>
      <c r="D2515" s="45"/>
    </row>
    <row r="2516" spans="2:4" ht="16" thickBot="1" x14ac:dyDescent="0.25">
      <c r="B2516" s="4">
        <v>2511</v>
      </c>
      <c r="C2516" s="4">
        <v>161.43780038257469</v>
      </c>
      <c r="D2516" s="45"/>
    </row>
    <row r="2517" spans="2:4" ht="16" thickBot="1" x14ac:dyDescent="0.25">
      <c r="B2517" s="5">
        <v>2512</v>
      </c>
      <c r="C2517" s="5">
        <v>221.46018821665132</v>
      </c>
      <c r="D2517" s="45"/>
    </row>
    <row r="2518" spans="2:4" ht="16" thickBot="1" x14ac:dyDescent="0.25">
      <c r="B2518" s="4">
        <v>2513</v>
      </c>
      <c r="C2518" s="4">
        <v>169.45580227623498</v>
      </c>
      <c r="D2518" s="45"/>
    </row>
    <row r="2519" spans="2:4" ht="16" thickBot="1" x14ac:dyDescent="0.25">
      <c r="B2519" s="5">
        <v>2514</v>
      </c>
      <c r="C2519" s="5">
        <v>132.82067262805296</v>
      </c>
      <c r="D2519" s="45"/>
    </row>
    <row r="2520" spans="2:4" ht="16" thickBot="1" x14ac:dyDescent="0.25">
      <c r="B2520" s="4">
        <v>2515</v>
      </c>
      <c r="C2520" s="4">
        <v>212.08243316350629</v>
      </c>
      <c r="D2520" s="45"/>
    </row>
    <row r="2521" spans="2:4" ht="16" thickBot="1" x14ac:dyDescent="0.25">
      <c r="B2521" s="5">
        <v>2516</v>
      </c>
      <c r="C2521" s="5">
        <v>143.82320658724242</v>
      </c>
      <c r="D2521" s="45"/>
    </row>
    <row r="2522" spans="2:4" ht="16" thickBot="1" x14ac:dyDescent="0.25">
      <c r="B2522" s="4">
        <v>2517</v>
      </c>
      <c r="C2522" s="4">
        <v>193.68641410541503</v>
      </c>
      <c r="D2522" s="45"/>
    </row>
    <row r="2523" spans="2:4" ht="16" thickBot="1" x14ac:dyDescent="0.25">
      <c r="B2523" s="5">
        <v>2518</v>
      </c>
      <c r="C2523" s="5">
        <v>68.754665451157607</v>
      </c>
      <c r="D2523" s="45"/>
    </row>
    <row r="2524" spans="2:4" ht="16" thickBot="1" x14ac:dyDescent="0.25">
      <c r="B2524" s="4">
        <v>2519</v>
      </c>
      <c r="C2524" s="4">
        <v>94.099147418030171</v>
      </c>
      <c r="D2524" s="45"/>
    </row>
    <row r="2525" spans="2:4" ht="16" thickBot="1" x14ac:dyDescent="0.25">
      <c r="B2525" s="5">
        <v>2520</v>
      </c>
      <c r="C2525" s="5">
        <v>171.42553085974959</v>
      </c>
      <c r="D2525" s="45"/>
    </row>
    <row r="2526" spans="2:4" ht="16" thickBot="1" x14ac:dyDescent="0.25">
      <c r="B2526" s="4">
        <v>2521</v>
      </c>
      <c r="C2526" s="4">
        <v>95.893098516981368</v>
      </c>
      <c r="D2526" s="45"/>
    </row>
    <row r="2527" spans="2:4" ht="16" thickBot="1" x14ac:dyDescent="0.25">
      <c r="B2527" s="5">
        <v>2522</v>
      </c>
      <c r="C2527" s="5">
        <v>159.8864123301822</v>
      </c>
      <c r="D2527" s="45"/>
    </row>
    <row r="2528" spans="2:4" ht="16" thickBot="1" x14ac:dyDescent="0.25">
      <c r="B2528" s="4">
        <v>2523</v>
      </c>
      <c r="C2528" s="4">
        <v>90.232034361481539</v>
      </c>
      <c r="D2528" s="45"/>
    </row>
    <row r="2529" spans="2:4" ht="16" thickBot="1" x14ac:dyDescent="0.25">
      <c r="B2529" s="5">
        <v>2524</v>
      </c>
      <c r="C2529" s="5">
        <v>106.73331441425793</v>
      </c>
      <c r="D2529" s="45"/>
    </row>
    <row r="2530" spans="2:4" ht="16" thickBot="1" x14ac:dyDescent="0.25">
      <c r="B2530" s="4">
        <v>2525</v>
      </c>
      <c r="C2530" s="4">
        <v>128.05297706001986</v>
      </c>
      <c r="D2530" s="45"/>
    </row>
    <row r="2531" spans="2:4" ht="16" thickBot="1" x14ac:dyDescent="0.25">
      <c r="B2531" s="5">
        <v>2526</v>
      </c>
      <c r="C2531" s="5">
        <v>187.6440299968508</v>
      </c>
      <c r="D2531" s="45"/>
    </row>
    <row r="2532" spans="2:4" ht="16" thickBot="1" x14ac:dyDescent="0.25">
      <c r="B2532" s="4">
        <v>2527</v>
      </c>
      <c r="C2532" s="4">
        <v>313.42185281702632</v>
      </c>
      <c r="D2532" s="45"/>
    </row>
    <row r="2533" spans="2:4" ht="16" thickBot="1" x14ac:dyDescent="0.25">
      <c r="B2533" s="5">
        <v>2528</v>
      </c>
      <c r="C2533" s="5">
        <v>182.87628306255422</v>
      </c>
      <c r="D2533" s="45"/>
    </row>
    <row r="2534" spans="2:4" ht="16" thickBot="1" x14ac:dyDescent="0.25">
      <c r="B2534" s="4">
        <v>2529</v>
      </c>
      <c r="C2534" s="4">
        <v>105.82649292246178</v>
      </c>
      <c r="D2534" s="45"/>
    </row>
    <row r="2535" spans="2:4" ht="16" thickBot="1" x14ac:dyDescent="0.25">
      <c r="B2535" s="5">
        <v>2530</v>
      </c>
      <c r="C2535" s="5">
        <v>275.71231610796997</v>
      </c>
      <c r="D2535" s="45"/>
    </row>
    <row r="2536" spans="2:4" ht="16" thickBot="1" x14ac:dyDescent="0.25">
      <c r="B2536" s="4">
        <v>2531</v>
      </c>
      <c r="C2536" s="4">
        <v>91.943878287337299</v>
      </c>
      <c r="D2536" s="45"/>
    </row>
    <row r="2537" spans="2:4" ht="16" thickBot="1" x14ac:dyDescent="0.25">
      <c r="B2537" s="5">
        <v>2532</v>
      </c>
      <c r="C2537" s="5">
        <v>208.09036287574074</v>
      </c>
      <c r="D2537" s="45"/>
    </row>
    <row r="2538" spans="2:4" ht="16" thickBot="1" x14ac:dyDescent="0.25">
      <c r="B2538" s="4">
        <v>2533</v>
      </c>
      <c r="C2538" s="4">
        <v>31.020316296802854</v>
      </c>
      <c r="D2538" s="45"/>
    </row>
    <row r="2539" spans="2:4" ht="16" thickBot="1" x14ac:dyDescent="0.25">
      <c r="B2539" s="5">
        <v>2534</v>
      </c>
      <c r="C2539" s="5">
        <v>189.6705096559435</v>
      </c>
      <c r="D2539" s="45"/>
    </row>
    <row r="2540" spans="2:4" ht="16" thickBot="1" x14ac:dyDescent="0.25">
      <c r="B2540" s="4">
        <v>2535</v>
      </c>
      <c r="C2540" s="4">
        <v>297.51100870520071</v>
      </c>
      <c r="D2540" s="45"/>
    </row>
    <row r="2541" spans="2:4" ht="16" thickBot="1" x14ac:dyDescent="0.25">
      <c r="B2541" s="5">
        <v>2536</v>
      </c>
      <c r="C2541" s="5">
        <v>134.30478609908704</v>
      </c>
      <c r="D2541" s="45"/>
    </row>
    <row r="2542" spans="2:4" ht="16" thickBot="1" x14ac:dyDescent="0.25">
      <c r="B2542" s="4">
        <v>2537</v>
      </c>
      <c r="C2542" s="4">
        <v>99.596920811651785</v>
      </c>
      <c r="D2542" s="45"/>
    </row>
    <row r="2543" spans="2:4" ht="16" thickBot="1" x14ac:dyDescent="0.25">
      <c r="B2543" s="5">
        <v>2538</v>
      </c>
      <c r="C2543" s="5">
        <v>96.749670672474821</v>
      </c>
      <c r="D2543" s="45"/>
    </row>
    <row r="2544" spans="2:4" ht="16" thickBot="1" x14ac:dyDescent="0.25">
      <c r="B2544" s="4">
        <v>2539</v>
      </c>
      <c r="C2544" s="4">
        <v>143.84903118473181</v>
      </c>
      <c r="D2544" s="45"/>
    </row>
    <row r="2545" spans="2:4" ht="16" thickBot="1" x14ac:dyDescent="0.25">
      <c r="B2545" s="5">
        <v>2540</v>
      </c>
      <c r="C2545" s="5">
        <v>256.69946317151584</v>
      </c>
      <c r="D2545" s="45"/>
    </row>
    <row r="2546" spans="2:4" ht="16" thickBot="1" x14ac:dyDescent="0.25">
      <c r="B2546" s="4">
        <v>2541</v>
      </c>
      <c r="C2546" s="4">
        <v>127.79870740445917</v>
      </c>
      <c r="D2546" s="45"/>
    </row>
    <row r="2547" spans="2:4" ht="16" thickBot="1" x14ac:dyDescent="0.25">
      <c r="B2547" s="5">
        <v>2542</v>
      </c>
      <c r="C2547" s="5">
        <v>176.04979729634348</v>
      </c>
      <c r="D2547" s="45"/>
    </row>
    <row r="2548" spans="2:4" ht="16" thickBot="1" x14ac:dyDescent="0.25">
      <c r="B2548" s="4">
        <v>2543</v>
      </c>
      <c r="C2548" s="4">
        <v>216.04853833432119</v>
      </c>
      <c r="D2548" s="45"/>
    </row>
    <row r="2549" spans="2:4" ht="16" thickBot="1" x14ac:dyDescent="0.25">
      <c r="B2549" s="5">
        <v>2544</v>
      </c>
      <c r="C2549" s="5">
        <v>302.51873098156909</v>
      </c>
      <c r="D2549" s="45"/>
    </row>
    <row r="2550" spans="2:4" ht="16" thickBot="1" x14ac:dyDescent="0.25">
      <c r="B2550" s="4">
        <v>2545</v>
      </c>
      <c r="C2550" s="4">
        <v>223.30738139180488</v>
      </c>
      <c r="D2550" s="45"/>
    </row>
    <row r="2551" spans="2:4" ht="16" thickBot="1" x14ac:dyDescent="0.25">
      <c r="B2551" s="5">
        <v>2546</v>
      </c>
      <c r="C2551" s="5">
        <v>99.289906400269331</v>
      </c>
      <c r="D2551" s="45"/>
    </row>
    <row r="2552" spans="2:4" ht="16" thickBot="1" x14ac:dyDescent="0.25">
      <c r="B2552" s="4">
        <v>2547</v>
      </c>
      <c r="C2552" s="4">
        <v>181.90159541857898</v>
      </c>
      <c r="D2552" s="45"/>
    </row>
    <row r="2553" spans="2:4" ht="16" thickBot="1" x14ac:dyDescent="0.25">
      <c r="B2553" s="5">
        <v>2548</v>
      </c>
      <c r="C2553" s="5">
        <v>127.64494837908863</v>
      </c>
      <c r="D2553" s="45"/>
    </row>
    <row r="2554" spans="2:4" ht="16" thickBot="1" x14ac:dyDescent="0.25">
      <c r="B2554" s="4">
        <v>2549</v>
      </c>
      <c r="C2554" s="4">
        <v>157.40754231081462</v>
      </c>
      <c r="D2554" s="45"/>
    </row>
    <row r="2555" spans="2:4" ht="16" thickBot="1" x14ac:dyDescent="0.25">
      <c r="B2555" s="5">
        <v>2550</v>
      </c>
      <c r="C2555" s="5">
        <v>82.500070165538872</v>
      </c>
      <c r="D2555" s="45"/>
    </row>
    <row r="2556" spans="2:4" ht="16" thickBot="1" x14ac:dyDescent="0.25">
      <c r="B2556" s="4">
        <v>2551</v>
      </c>
      <c r="C2556" s="4">
        <v>135.31860924915927</v>
      </c>
      <c r="D2556" s="45"/>
    </row>
    <row r="2557" spans="2:4" ht="16" thickBot="1" x14ac:dyDescent="0.25">
      <c r="B2557" s="5">
        <v>2552</v>
      </c>
      <c r="C2557" s="5">
        <v>152.9435195179941</v>
      </c>
      <c r="D2557" s="45"/>
    </row>
    <row r="2558" spans="2:4" ht="16" thickBot="1" x14ac:dyDescent="0.25">
      <c r="B2558" s="4">
        <v>2553</v>
      </c>
      <c r="C2558" s="4">
        <v>121.99507740483672</v>
      </c>
      <c r="D2558" s="45"/>
    </row>
    <row r="2559" spans="2:4" ht="16" thickBot="1" x14ac:dyDescent="0.25">
      <c r="B2559" s="5">
        <v>2554</v>
      </c>
      <c r="C2559" s="5">
        <v>174.7524715506392</v>
      </c>
      <c r="D2559" s="45"/>
    </row>
    <row r="2560" spans="2:4" ht="16" thickBot="1" x14ac:dyDescent="0.25">
      <c r="B2560" s="4">
        <v>2555</v>
      </c>
      <c r="C2560" s="4">
        <v>70.545709254274925</v>
      </c>
      <c r="D2560" s="45"/>
    </row>
    <row r="2561" spans="2:4" ht="16" thickBot="1" x14ac:dyDescent="0.25">
      <c r="B2561" s="5">
        <v>2556</v>
      </c>
      <c r="C2561" s="5">
        <v>313.06616799961319</v>
      </c>
      <c r="D2561" s="45"/>
    </row>
    <row r="2562" spans="2:4" ht="16" thickBot="1" x14ac:dyDescent="0.25">
      <c r="B2562" s="4">
        <v>2557</v>
      </c>
      <c r="C2562" s="4">
        <v>189.04232845312202</v>
      </c>
      <c r="D2562" s="45"/>
    </row>
    <row r="2563" spans="2:4" ht="16" thickBot="1" x14ac:dyDescent="0.25">
      <c r="B2563" s="5">
        <v>2558</v>
      </c>
      <c r="C2563" s="5">
        <v>85.167074601393551</v>
      </c>
      <c r="D2563" s="45"/>
    </row>
    <row r="2564" spans="2:4" ht="16" thickBot="1" x14ac:dyDescent="0.25">
      <c r="B2564" s="4">
        <v>2559</v>
      </c>
      <c r="C2564" s="4">
        <v>367.9600265622189</v>
      </c>
      <c r="D2564" s="45"/>
    </row>
    <row r="2565" spans="2:4" ht="16" thickBot="1" x14ac:dyDescent="0.25">
      <c r="B2565" s="5">
        <v>2560</v>
      </c>
      <c r="C2565" s="5">
        <v>233.13368928749881</v>
      </c>
      <c r="D2565" s="45"/>
    </row>
    <row r="2566" spans="2:4" ht="16" thickBot="1" x14ac:dyDescent="0.25">
      <c r="B2566" s="4">
        <v>2561</v>
      </c>
      <c r="C2566" s="4">
        <v>431.06977827482854</v>
      </c>
      <c r="D2566" s="45"/>
    </row>
    <row r="2567" spans="2:4" ht="16" thickBot="1" x14ac:dyDescent="0.25">
      <c r="B2567" s="5">
        <v>2562</v>
      </c>
      <c r="C2567" s="5">
        <v>65.589999133964838</v>
      </c>
      <c r="D2567" s="45"/>
    </row>
    <row r="2568" spans="2:4" ht="16" thickBot="1" x14ac:dyDescent="0.25">
      <c r="B2568" s="4">
        <v>2563</v>
      </c>
      <c r="C2568" s="4">
        <v>74.082267660845488</v>
      </c>
      <c r="D2568" s="45"/>
    </row>
    <row r="2569" spans="2:4" ht="16" thickBot="1" x14ac:dyDescent="0.25">
      <c r="B2569" s="5">
        <v>2564</v>
      </c>
      <c r="C2569" s="5">
        <v>166.84270069097715</v>
      </c>
      <c r="D2569" s="45"/>
    </row>
    <row r="2570" spans="2:4" ht="16" thickBot="1" x14ac:dyDescent="0.25">
      <c r="B2570" s="4">
        <v>2565</v>
      </c>
      <c r="C2570" s="4">
        <v>231.49412824671711</v>
      </c>
      <c r="D2570" s="45"/>
    </row>
    <row r="2571" spans="2:4" ht="16" thickBot="1" x14ac:dyDescent="0.25">
      <c r="B2571" s="5">
        <v>2566</v>
      </c>
      <c r="C2571" s="5">
        <v>104.06268231300153</v>
      </c>
      <c r="D2571" s="45"/>
    </row>
    <row r="2572" spans="2:4" ht="16" thickBot="1" x14ac:dyDescent="0.25">
      <c r="B2572" s="4">
        <v>2567</v>
      </c>
      <c r="C2572" s="4">
        <v>255.70926673567206</v>
      </c>
      <c r="D2572" s="45"/>
    </row>
    <row r="2573" spans="2:4" ht="16" thickBot="1" x14ac:dyDescent="0.25">
      <c r="B2573" s="5">
        <v>2568</v>
      </c>
      <c r="C2573" s="5">
        <v>278.15734113005061</v>
      </c>
      <c r="D2573" s="45"/>
    </row>
    <row r="2574" spans="2:4" ht="16" thickBot="1" x14ac:dyDescent="0.25">
      <c r="B2574" s="4">
        <v>2569</v>
      </c>
      <c r="C2574" s="4">
        <v>376.55703050200503</v>
      </c>
      <c r="D2574" s="45"/>
    </row>
    <row r="2575" spans="2:4" ht="16" thickBot="1" x14ac:dyDescent="0.25">
      <c r="B2575" s="5">
        <v>2570</v>
      </c>
      <c r="C2575" s="5">
        <v>345.49398253387676</v>
      </c>
      <c r="D2575" s="45"/>
    </row>
    <row r="2576" spans="2:4" ht="16" thickBot="1" x14ac:dyDescent="0.25">
      <c r="B2576" s="4">
        <v>2571</v>
      </c>
      <c r="C2576" s="4">
        <v>195.37835315195395</v>
      </c>
      <c r="D2576" s="45"/>
    </row>
    <row r="2577" spans="2:4" ht="16" thickBot="1" x14ac:dyDescent="0.25">
      <c r="B2577" s="5">
        <v>2572</v>
      </c>
      <c r="C2577" s="5">
        <v>307.92256101396589</v>
      </c>
      <c r="D2577" s="45"/>
    </row>
    <row r="2578" spans="2:4" ht="16" thickBot="1" x14ac:dyDescent="0.25">
      <c r="B2578" s="4">
        <v>2573</v>
      </c>
      <c r="C2578" s="4">
        <v>213.8017360653192</v>
      </c>
      <c r="D2578" s="45"/>
    </row>
    <row r="2579" spans="2:4" ht="16" thickBot="1" x14ac:dyDescent="0.25">
      <c r="B2579" s="5">
        <v>2574</v>
      </c>
      <c r="C2579" s="5">
        <v>339.22089508775298</v>
      </c>
      <c r="D2579" s="45"/>
    </row>
    <row r="2580" spans="2:4" ht="16" thickBot="1" x14ac:dyDescent="0.25">
      <c r="B2580" s="4">
        <v>2575</v>
      </c>
      <c r="C2580" s="4">
        <v>198.90222208100283</v>
      </c>
      <c r="D2580" s="45"/>
    </row>
    <row r="2581" spans="2:4" ht="16" thickBot="1" x14ac:dyDescent="0.25">
      <c r="B2581" s="5">
        <v>2576</v>
      </c>
      <c r="C2581" s="5">
        <v>70.13924859948429</v>
      </c>
      <c r="D2581" s="45"/>
    </row>
    <row r="2582" spans="2:4" ht="16" thickBot="1" x14ac:dyDescent="0.25">
      <c r="B2582" s="4">
        <v>2577</v>
      </c>
      <c r="C2582" s="4">
        <v>166.51350068244079</v>
      </c>
      <c r="D2582" s="45"/>
    </row>
    <row r="2583" spans="2:4" ht="16" thickBot="1" x14ac:dyDescent="0.25">
      <c r="B2583" s="5">
        <v>2578</v>
      </c>
      <c r="C2583" s="5">
        <v>75.243732147053251</v>
      </c>
      <c r="D2583" s="45"/>
    </row>
    <row r="2584" spans="2:4" ht="16" thickBot="1" x14ac:dyDescent="0.25">
      <c r="B2584" s="4">
        <v>2579</v>
      </c>
      <c r="C2584" s="4">
        <v>113.67253806915379</v>
      </c>
      <c r="D2584" s="45"/>
    </row>
    <row r="2585" spans="2:4" ht="16" thickBot="1" x14ac:dyDescent="0.25">
      <c r="B2585" s="5">
        <v>2580</v>
      </c>
      <c r="C2585" s="5">
        <v>121.91930698914793</v>
      </c>
      <c r="D2585" s="45"/>
    </row>
    <row r="2586" spans="2:4" ht="16" thickBot="1" x14ac:dyDescent="0.25">
      <c r="B2586" s="4">
        <v>2581</v>
      </c>
      <c r="C2586" s="4">
        <v>96.672333911192837</v>
      </c>
      <c r="D2586" s="45"/>
    </row>
    <row r="2587" spans="2:4" ht="16" thickBot="1" x14ac:dyDescent="0.25">
      <c r="B2587" s="5">
        <v>2582</v>
      </c>
      <c r="C2587" s="5">
        <v>163.4149222102115</v>
      </c>
      <c r="D2587" s="45"/>
    </row>
    <row r="2588" spans="2:4" ht="16" thickBot="1" x14ac:dyDescent="0.25">
      <c r="B2588" s="4">
        <v>2583</v>
      </c>
      <c r="C2588" s="4">
        <v>225.51018893199134</v>
      </c>
      <c r="D2588" s="45"/>
    </row>
    <row r="2589" spans="2:4" ht="16" thickBot="1" x14ac:dyDescent="0.25">
      <c r="B2589" s="5">
        <v>2584</v>
      </c>
      <c r="C2589" s="5">
        <v>144.31272690441756</v>
      </c>
      <c r="D2589" s="45"/>
    </row>
    <row r="2590" spans="2:4" ht="16" thickBot="1" x14ac:dyDescent="0.25">
      <c r="B2590" s="4">
        <v>2585</v>
      </c>
      <c r="C2590" s="4">
        <v>123.11353380055006</v>
      </c>
      <c r="D2590" s="45"/>
    </row>
    <row r="2591" spans="2:4" ht="16" thickBot="1" x14ac:dyDescent="0.25">
      <c r="B2591" s="5">
        <v>2586</v>
      </c>
      <c r="C2591" s="5">
        <v>207.8115307966373</v>
      </c>
      <c r="D2591" s="45"/>
    </row>
    <row r="2592" spans="2:4" ht="16" thickBot="1" x14ac:dyDescent="0.25">
      <c r="B2592" s="4">
        <v>2587</v>
      </c>
      <c r="C2592" s="4">
        <v>205.90874488025969</v>
      </c>
      <c r="D2592" s="45"/>
    </row>
    <row r="2593" spans="2:4" ht="16" thickBot="1" x14ac:dyDescent="0.25">
      <c r="B2593" s="5">
        <v>2588</v>
      </c>
      <c r="C2593" s="5">
        <v>54.728518121046214</v>
      </c>
      <c r="D2593" s="45"/>
    </row>
    <row r="2594" spans="2:4" ht="16" thickBot="1" x14ac:dyDescent="0.25">
      <c r="B2594" s="4">
        <v>2589</v>
      </c>
      <c r="C2594" s="4">
        <v>58.403903145987684</v>
      </c>
      <c r="D2594" s="45"/>
    </row>
    <row r="2595" spans="2:4" ht="16" thickBot="1" x14ac:dyDescent="0.25">
      <c r="B2595" s="5">
        <v>2590</v>
      </c>
      <c r="C2595" s="5">
        <v>441.02585948408176</v>
      </c>
      <c r="D2595" s="45"/>
    </row>
    <row r="2596" spans="2:4" ht="16" thickBot="1" x14ac:dyDescent="0.25">
      <c r="B2596" s="4">
        <v>2591</v>
      </c>
      <c r="C2596" s="4">
        <v>193.10164738800844</v>
      </c>
      <c r="D2596" s="45"/>
    </row>
    <row r="2597" spans="2:4" ht="16" thickBot="1" x14ac:dyDescent="0.25">
      <c r="B2597" s="5">
        <v>2592</v>
      </c>
      <c r="C2597" s="5">
        <v>199.0328868361218</v>
      </c>
      <c r="D2597" s="45"/>
    </row>
    <row r="2598" spans="2:4" ht="16" thickBot="1" x14ac:dyDescent="0.25">
      <c r="B2598" s="4">
        <v>2593</v>
      </c>
      <c r="C2598" s="4">
        <v>111.52493305232808</v>
      </c>
      <c r="D2598" s="45"/>
    </row>
    <row r="2599" spans="2:4" ht="16" thickBot="1" x14ac:dyDescent="0.25">
      <c r="B2599" s="5">
        <v>2594</v>
      </c>
      <c r="C2599" s="5">
        <v>91.445916142834974</v>
      </c>
      <c r="D2599" s="45"/>
    </row>
    <row r="2600" spans="2:4" ht="16" thickBot="1" x14ac:dyDescent="0.25">
      <c r="B2600" s="4">
        <v>2595</v>
      </c>
      <c r="C2600" s="4">
        <v>72.961414967355637</v>
      </c>
      <c r="D2600" s="45"/>
    </row>
    <row r="2601" spans="2:4" ht="16" thickBot="1" x14ac:dyDescent="0.25">
      <c r="B2601" s="5">
        <v>2596</v>
      </c>
      <c r="C2601" s="5">
        <v>163.12198248350836</v>
      </c>
      <c r="D2601" s="45"/>
    </row>
    <row r="2602" spans="2:4" ht="16" thickBot="1" x14ac:dyDescent="0.25">
      <c r="B2602" s="4">
        <v>2597</v>
      </c>
      <c r="C2602" s="4">
        <v>111.52250793766576</v>
      </c>
      <c r="D2602" s="45"/>
    </row>
    <row r="2603" spans="2:4" ht="16" thickBot="1" x14ac:dyDescent="0.25">
      <c r="B2603" s="5">
        <v>2598</v>
      </c>
      <c r="C2603" s="5">
        <v>177.32570139395332</v>
      </c>
      <c r="D2603" s="45"/>
    </row>
    <row r="2604" spans="2:4" ht="16" thickBot="1" x14ac:dyDescent="0.25">
      <c r="B2604" s="4">
        <v>2599</v>
      </c>
      <c r="C2604" s="4">
        <v>101.30674750562814</v>
      </c>
      <c r="D2604" s="45"/>
    </row>
    <row r="2605" spans="2:4" ht="16" thickBot="1" x14ac:dyDescent="0.25">
      <c r="B2605" s="5">
        <v>2600</v>
      </c>
      <c r="C2605" s="5">
        <v>228.3150210245862</v>
      </c>
      <c r="D2605" s="45"/>
    </row>
    <row r="2606" spans="2:4" ht="16" thickBot="1" x14ac:dyDescent="0.25">
      <c r="B2606" s="4">
        <v>2601</v>
      </c>
      <c r="C2606" s="4">
        <v>105.93177345841748</v>
      </c>
      <c r="D2606" s="45"/>
    </row>
    <row r="2607" spans="2:4" ht="16" thickBot="1" x14ac:dyDescent="0.25">
      <c r="B2607" s="5">
        <v>2602</v>
      </c>
      <c r="C2607" s="5">
        <v>67.145172032551415</v>
      </c>
      <c r="D2607" s="45"/>
    </row>
    <row r="2608" spans="2:4" ht="16" thickBot="1" x14ac:dyDescent="0.25">
      <c r="B2608" s="4">
        <v>2603</v>
      </c>
      <c r="C2608" s="4">
        <v>74.933360024943923</v>
      </c>
      <c r="D2608" s="45"/>
    </row>
    <row r="2609" spans="2:4" ht="16" thickBot="1" x14ac:dyDescent="0.25">
      <c r="B2609" s="5">
        <v>2604</v>
      </c>
      <c r="C2609" s="5">
        <v>137.46056372859476</v>
      </c>
      <c r="D2609" s="45"/>
    </row>
    <row r="2610" spans="2:4" ht="16" thickBot="1" x14ac:dyDescent="0.25">
      <c r="B2610" s="4">
        <v>2605</v>
      </c>
      <c r="C2610" s="4">
        <v>68.981263153340066</v>
      </c>
      <c r="D2610" s="45"/>
    </row>
    <row r="2611" spans="2:4" ht="16" thickBot="1" x14ac:dyDescent="0.25">
      <c r="B2611" s="5">
        <v>2606</v>
      </c>
      <c r="C2611" s="5">
        <v>198.31240800208403</v>
      </c>
      <c r="D2611" s="45"/>
    </row>
    <row r="2612" spans="2:4" ht="16" thickBot="1" x14ac:dyDescent="0.25">
      <c r="B2612" s="4">
        <v>2607</v>
      </c>
      <c r="C2612" s="4">
        <v>259.0104716298685</v>
      </c>
      <c r="D2612" s="45"/>
    </row>
    <row r="2613" spans="2:4" ht="16" thickBot="1" x14ac:dyDescent="0.25">
      <c r="B2613" s="5">
        <v>2608</v>
      </c>
      <c r="C2613" s="5">
        <v>147.85160649927161</v>
      </c>
      <c r="D2613" s="45"/>
    </row>
    <row r="2614" spans="2:4" ht="16" thickBot="1" x14ac:dyDescent="0.25">
      <c r="B2614" s="4">
        <v>2609</v>
      </c>
      <c r="C2614" s="4">
        <v>56.744011844391338</v>
      </c>
      <c r="D2614" s="45"/>
    </row>
    <row r="2615" spans="2:4" ht="16" thickBot="1" x14ac:dyDescent="0.25">
      <c r="B2615" s="5">
        <v>2610</v>
      </c>
      <c r="C2615" s="5">
        <v>132.22552683313131</v>
      </c>
      <c r="D2615" s="45"/>
    </row>
    <row r="2616" spans="2:4" ht="16" thickBot="1" x14ac:dyDescent="0.25">
      <c r="B2616" s="4">
        <v>2611</v>
      </c>
      <c r="C2616" s="4">
        <v>179.36849462039112</v>
      </c>
      <c r="D2616" s="45"/>
    </row>
    <row r="2617" spans="2:4" ht="16" thickBot="1" x14ac:dyDescent="0.25">
      <c r="B2617" s="5">
        <v>2612</v>
      </c>
      <c r="C2617" s="5">
        <v>142.81209371763561</v>
      </c>
      <c r="D2617" s="45"/>
    </row>
    <row r="2618" spans="2:4" ht="16" thickBot="1" x14ac:dyDescent="0.25">
      <c r="B2618" s="4">
        <v>2613</v>
      </c>
      <c r="C2618" s="4">
        <v>121.96911747381483</v>
      </c>
      <c r="D2618" s="45"/>
    </row>
    <row r="2619" spans="2:4" ht="16" thickBot="1" x14ac:dyDescent="0.25">
      <c r="B2619" s="5">
        <v>2614</v>
      </c>
      <c r="C2619" s="5">
        <v>115.16864278361828</v>
      </c>
      <c r="D2619" s="45"/>
    </row>
    <row r="2620" spans="2:4" ht="16" thickBot="1" x14ac:dyDescent="0.25">
      <c r="B2620" s="4">
        <v>2615</v>
      </c>
      <c r="C2620" s="4">
        <v>142.04520000883323</v>
      </c>
      <c r="D2620" s="45"/>
    </row>
    <row r="2621" spans="2:4" ht="16" thickBot="1" x14ac:dyDescent="0.25">
      <c r="B2621" s="5">
        <v>2616</v>
      </c>
      <c r="C2621" s="5">
        <v>183.2053428929155</v>
      </c>
      <c r="D2621" s="45"/>
    </row>
    <row r="2622" spans="2:4" ht="16" thickBot="1" x14ac:dyDescent="0.25">
      <c r="B2622" s="4">
        <v>2617</v>
      </c>
      <c r="C2622" s="4">
        <v>173.13128472220805</v>
      </c>
      <c r="D2622" s="45"/>
    </row>
    <row r="2623" spans="2:4" ht="16" thickBot="1" x14ac:dyDescent="0.25">
      <c r="B2623" s="5">
        <v>2618</v>
      </c>
      <c r="C2623" s="5">
        <v>121.32802474972983</v>
      </c>
      <c r="D2623" s="45"/>
    </row>
    <row r="2624" spans="2:4" ht="16" thickBot="1" x14ac:dyDescent="0.25">
      <c r="B2624" s="4">
        <v>2619</v>
      </c>
      <c r="C2624" s="4">
        <v>173.71273968318013</v>
      </c>
      <c r="D2624" s="45"/>
    </row>
    <row r="2625" spans="2:4" ht="16" thickBot="1" x14ac:dyDescent="0.25">
      <c r="B2625" s="5">
        <v>2620</v>
      </c>
      <c r="C2625" s="5">
        <v>395.37950177587379</v>
      </c>
      <c r="D2625" s="45"/>
    </row>
    <row r="2626" spans="2:4" ht="16" thickBot="1" x14ac:dyDescent="0.25">
      <c r="B2626" s="4">
        <v>2621</v>
      </c>
      <c r="C2626" s="4">
        <v>107.29002472725405</v>
      </c>
      <c r="D2626" s="45"/>
    </row>
    <row r="2627" spans="2:4" ht="16" thickBot="1" x14ac:dyDescent="0.25">
      <c r="B2627" s="5">
        <v>2622</v>
      </c>
      <c r="C2627" s="5">
        <v>80.52559368741646</v>
      </c>
      <c r="D2627" s="45"/>
    </row>
    <row r="2628" spans="2:4" ht="16" thickBot="1" x14ac:dyDescent="0.25">
      <c r="B2628" s="4">
        <v>2623</v>
      </c>
      <c r="C2628" s="4">
        <v>251.85279620316658</v>
      </c>
      <c r="D2628" s="45"/>
    </row>
    <row r="2629" spans="2:4" ht="16" thickBot="1" x14ac:dyDescent="0.25">
      <c r="B2629" s="5">
        <v>2624</v>
      </c>
      <c r="C2629" s="5">
        <v>72.476670013484068</v>
      </c>
      <c r="D2629" s="45"/>
    </row>
    <row r="2630" spans="2:4" ht="16" thickBot="1" x14ac:dyDescent="0.25">
      <c r="B2630" s="4">
        <v>2625</v>
      </c>
      <c r="C2630" s="4">
        <v>182.8616990001062</v>
      </c>
      <c r="D2630" s="45"/>
    </row>
    <row r="2631" spans="2:4" ht="16" thickBot="1" x14ac:dyDescent="0.25">
      <c r="B2631" s="5">
        <v>2626</v>
      </c>
      <c r="C2631" s="5">
        <v>102.05098163435595</v>
      </c>
      <c r="D2631" s="45"/>
    </row>
    <row r="2632" spans="2:4" ht="16" thickBot="1" x14ac:dyDescent="0.25">
      <c r="B2632" s="4">
        <v>2627</v>
      </c>
      <c r="C2632" s="4">
        <v>180.14213921928365</v>
      </c>
      <c r="D2632" s="45"/>
    </row>
    <row r="2633" spans="2:4" ht="16" thickBot="1" x14ac:dyDescent="0.25">
      <c r="B2633" s="5">
        <v>2628</v>
      </c>
      <c r="C2633" s="5">
        <v>229.29886477374453</v>
      </c>
      <c r="D2633" s="45"/>
    </row>
    <row r="2634" spans="2:4" ht="16" thickBot="1" x14ac:dyDescent="0.25">
      <c r="B2634" s="4">
        <v>2629</v>
      </c>
      <c r="C2634" s="4">
        <v>261.57475153366607</v>
      </c>
      <c r="D2634" s="45"/>
    </row>
    <row r="2635" spans="2:4" ht="16" thickBot="1" x14ac:dyDescent="0.25">
      <c r="B2635" s="5">
        <v>2630</v>
      </c>
      <c r="C2635" s="5">
        <v>185.32597475793105</v>
      </c>
      <c r="D2635" s="45"/>
    </row>
    <row r="2636" spans="2:4" ht="16" thickBot="1" x14ac:dyDescent="0.25">
      <c r="B2636" s="4">
        <v>2631</v>
      </c>
      <c r="C2636" s="4">
        <v>292.61697280304418</v>
      </c>
      <c r="D2636" s="45"/>
    </row>
    <row r="2637" spans="2:4" ht="16" thickBot="1" x14ac:dyDescent="0.25">
      <c r="B2637" s="5">
        <v>2632</v>
      </c>
      <c r="C2637" s="5">
        <v>131.50785921062669</v>
      </c>
      <c r="D2637" s="45"/>
    </row>
    <row r="2638" spans="2:4" ht="16" thickBot="1" x14ac:dyDescent="0.25">
      <c r="B2638" s="4">
        <v>2633</v>
      </c>
      <c r="C2638" s="4">
        <v>159.71919520344522</v>
      </c>
      <c r="D2638" s="45"/>
    </row>
    <row r="2639" spans="2:4" ht="16" thickBot="1" x14ac:dyDescent="0.25">
      <c r="B2639" s="5">
        <v>2634</v>
      </c>
      <c r="C2639" s="5">
        <v>257.0915987266626</v>
      </c>
      <c r="D2639" s="45"/>
    </row>
    <row r="2640" spans="2:4" ht="16" thickBot="1" x14ac:dyDescent="0.25">
      <c r="B2640" s="4">
        <v>2635</v>
      </c>
      <c r="C2640" s="4">
        <v>102.19519248612006</v>
      </c>
      <c r="D2640" s="45"/>
    </row>
    <row r="2641" spans="2:4" ht="16" thickBot="1" x14ac:dyDescent="0.25">
      <c r="B2641" s="5">
        <v>2636</v>
      </c>
      <c r="C2641" s="5">
        <v>84.897808075161151</v>
      </c>
      <c r="D2641" s="45"/>
    </row>
    <row r="2642" spans="2:4" ht="16" thickBot="1" x14ac:dyDescent="0.25">
      <c r="B2642" s="4">
        <v>2637</v>
      </c>
      <c r="C2642" s="4">
        <v>112.4402936267966</v>
      </c>
      <c r="D2642" s="45"/>
    </row>
    <row r="2643" spans="2:4" ht="16" thickBot="1" x14ac:dyDescent="0.25">
      <c r="B2643" s="5">
        <v>2638</v>
      </c>
      <c r="C2643" s="5">
        <v>176.45335963975762</v>
      </c>
      <c r="D2643" s="45"/>
    </row>
    <row r="2644" spans="2:4" ht="16" thickBot="1" x14ac:dyDescent="0.25">
      <c r="B2644" s="4">
        <v>2639</v>
      </c>
      <c r="C2644" s="4">
        <v>185.86500515410191</v>
      </c>
      <c r="D2644" s="45"/>
    </row>
    <row r="2645" spans="2:4" ht="16" thickBot="1" x14ac:dyDescent="0.25">
      <c r="B2645" s="5">
        <v>2640</v>
      </c>
      <c r="C2645" s="5">
        <v>175.73675889693985</v>
      </c>
      <c r="D2645" s="45"/>
    </row>
    <row r="2646" spans="2:4" ht="16" thickBot="1" x14ac:dyDescent="0.25">
      <c r="B2646" s="4">
        <v>2641</v>
      </c>
      <c r="C2646" s="4">
        <v>164.76370444061013</v>
      </c>
      <c r="D2646" s="45"/>
    </row>
    <row r="2647" spans="2:4" ht="16" thickBot="1" x14ac:dyDescent="0.25">
      <c r="B2647" s="5">
        <v>2642</v>
      </c>
      <c r="C2647" s="5">
        <v>304.88153294091182</v>
      </c>
      <c r="D2647" s="45"/>
    </row>
    <row r="2648" spans="2:4" ht="16" thickBot="1" x14ac:dyDescent="0.25">
      <c r="B2648" s="4">
        <v>2643</v>
      </c>
      <c r="C2648" s="4">
        <v>149.20977723936454</v>
      </c>
      <c r="D2648" s="45"/>
    </row>
    <row r="2649" spans="2:4" ht="16" thickBot="1" x14ac:dyDescent="0.25">
      <c r="B2649" s="5">
        <v>2644</v>
      </c>
      <c r="C2649" s="5">
        <v>473.7475037111314</v>
      </c>
      <c r="D2649" s="45"/>
    </row>
    <row r="2650" spans="2:4" ht="16" thickBot="1" x14ac:dyDescent="0.25">
      <c r="B2650" s="4">
        <v>2645</v>
      </c>
      <c r="C2650" s="4">
        <v>328.16427060225766</v>
      </c>
      <c r="D2650" s="45"/>
    </row>
    <row r="2651" spans="2:4" ht="16" thickBot="1" x14ac:dyDescent="0.25">
      <c r="B2651" s="5">
        <v>2646</v>
      </c>
      <c r="C2651" s="5">
        <v>99.119001844208071</v>
      </c>
      <c r="D2651" s="45"/>
    </row>
    <row r="2652" spans="2:4" ht="16" thickBot="1" x14ac:dyDescent="0.25">
      <c r="B2652" s="4">
        <v>2647</v>
      </c>
      <c r="C2652" s="4">
        <v>159.59305508534879</v>
      </c>
      <c r="D2652" s="45"/>
    </row>
    <row r="2653" spans="2:4" ht="16" thickBot="1" x14ac:dyDescent="0.25">
      <c r="B2653" s="5">
        <v>2648</v>
      </c>
      <c r="C2653" s="5">
        <v>124.50053438592779</v>
      </c>
      <c r="D2653" s="45"/>
    </row>
    <row r="2654" spans="2:4" ht="16" thickBot="1" x14ac:dyDescent="0.25">
      <c r="B2654" s="4">
        <v>2649</v>
      </c>
      <c r="C2654" s="4">
        <v>318.49942147030805</v>
      </c>
      <c r="D2654" s="45"/>
    </row>
    <row r="2655" spans="2:4" ht="16" thickBot="1" x14ac:dyDescent="0.25">
      <c r="B2655" s="5">
        <v>2650</v>
      </c>
      <c r="C2655" s="5">
        <v>150.7449121282996</v>
      </c>
      <c r="D2655" s="45"/>
    </row>
    <row r="2656" spans="2:4" ht="16" thickBot="1" x14ac:dyDescent="0.25">
      <c r="B2656" s="4">
        <v>2651</v>
      </c>
      <c r="C2656" s="4">
        <v>135.6814317982834</v>
      </c>
      <c r="D2656" s="45"/>
    </row>
    <row r="2657" spans="2:4" ht="16" thickBot="1" x14ac:dyDescent="0.25">
      <c r="B2657" s="5">
        <v>2652</v>
      </c>
      <c r="C2657" s="5">
        <v>92.20501671348859</v>
      </c>
      <c r="D2657" s="45"/>
    </row>
    <row r="2658" spans="2:4" ht="16" thickBot="1" x14ac:dyDescent="0.25">
      <c r="B2658" s="4">
        <v>2653</v>
      </c>
      <c r="C2658" s="4">
        <v>162.36222344084894</v>
      </c>
      <c r="D2658" s="45"/>
    </row>
    <row r="2659" spans="2:4" ht="16" thickBot="1" x14ac:dyDescent="0.25">
      <c r="B2659" s="5">
        <v>2654</v>
      </c>
      <c r="C2659" s="5">
        <v>173.29829843614829</v>
      </c>
      <c r="D2659" s="45"/>
    </row>
    <row r="2660" spans="2:4" ht="16" thickBot="1" x14ac:dyDescent="0.25">
      <c r="B2660" s="4">
        <v>2655</v>
      </c>
      <c r="C2660" s="4">
        <v>149.49511018655431</v>
      </c>
      <c r="D2660" s="45"/>
    </row>
    <row r="2661" spans="2:4" ht="16" thickBot="1" x14ac:dyDescent="0.25">
      <c r="B2661" s="5">
        <v>2656</v>
      </c>
      <c r="C2661" s="5">
        <v>112.88141984225054</v>
      </c>
      <c r="D2661" s="45"/>
    </row>
    <row r="2662" spans="2:4" ht="16" thickBot="1" x14ac:dyDescent="0.25">
      <c r="B2662" s="4">
        <v>2657</v>
      </c>
      <c r="C2662" s="4">
        <v>98.840457408387365</v>
      </c>
      <c r="D2662" s="45"/>
    </row>
    <row r="2663" spans="2:4" ht="16" thickBot="1" x14ac:dyDescent="0.25">
      <c r="B2663" s="5">
        <v>2658</v>
      </c>
      <c r="C2663" s="5">
        <v>251.64736978121337</v>
      </c>
      <c r="D2663" s="45"/>
    </row>
    <row r="2664" spans="2:4" ht="16" thickBot="1" x14ac:dyDescent="0.25">
      <c r="B2664" s="4">
        <v>2659</v>
      </c>
      <c r="C2664" s="4">
        <v>185.25297323860508</v>
      </c>
      <c r="D2664" s="45"/>
    </row>
    <row r="2665" spans="2:4" ht="16" thickBot="1" x14ac:dyDescent="0.25">
      <c r="B2665" s="5">
        <v>2660</v>
      </c>
      <c r="C2665" s="5">
        <v>389.38510713425217</v>
      </c>
      <c r="D2665" s="45"/>
    </row>
    <row r="2666" spans="2:4" ht="16" thickBot="1" x14ac:dyDescent="0.25">
      <c r="B2666" s="4">
        <v>2661</v>
      </c>
      <c r="C2666" s="4">
        <v>208.62847114763375</v>
      </c>
      <c r="D2666" s="45"/>
    </row>
    <row r="2667" spans="2:4" ht="16" thickBot="1" x14ac:dyDescent="0.25">
      <c r="B2667" s="5">
        <v>2662</v>
      </c>
      <c r="C2667" s="5">
        <v>72.328153454137379</v>
      </c>
      <c r="D2667" s="45"/>
    </row>
    <row r="2668" spans="2:4" ht="16" thickBot="1" x14ac:dyDescent="0.25">
      <c r="B2668" s="4">
        <v>2663</v>
      </c>
      <c r="C2668" s="4">
        <v>61.530000779794229</v>
      </c>
      <c r="D2668" s="45"/>
    </row>
    <row r="2669" spans="2:4" ht="16" thickBot="1" x14ac:dyDescent="0.25">
      <c r="B2669" s="5">
        <v>2664</v>
      </c>
      <c r="C2669" s="5">
        <v>76.679251097377275</v>
      </c>
      <c r="D2669" s="45"/>
    </row>
    <row r="2670" spans="2:4" ht="16" thickBot="1" x14ac:dyDescent="0.25">
      <c r="B2670" s="4">
        <v>2665</v>
      </c>
      <c r="C2670" s="4">
        <v>87.302151776360063</v>
      </c>
      <c r="D2670" s="45"/>
    </row>
    <row r="2671" spans="2:4" ht="16" thickBot="1" x14ac:dyDescent="0.25">
      <c r="B2671" s="5">
        <v>2666</v>
      </c>
      <c r="C2671" s="5">
        <v>167.2740253827663</v>
      </c>
      <c r="D2671" s="45"/>
    </row>
    <row r="2672" spans="2:4" ht="16" thickBot="1" x14ac:dyDescent="0.25">
      <c r="B2672" s="4">
        <v>2667</v>
      </c>
      <c r="C2672" s="4">
        <v>74.165861243516062</v>
      </c>
      <c r="D2672" s="45"/>
    </row>
    <row r="2673" spans="2:4" ht="16" thickBot="1" x14ac:dyDescent="0.25">
      <c r="B2673" s="5">
        <v>2668</v>
      </c>
      <c r="C2673" s="5">
        <v>145.65611815915548</v>
      </c>
      <c r="D2673" s="45"/>
    </row>
    <row r="2674" spans="2:4" ht="16" thickBot="1" x14ac:dyDescent="0.25">
      <c r="B2674" s="4">
        <v>2669</v>
      </c>
      <c r="C2674" s="4">
        <v>78.893948576366881</v>
      </c>
      <c r="D2674" s="45"/>
    </row>
    <row r="2675" spans="2:4" ht="16" thickBot="1" x14ac:dyDescent="0.25">
      <c r="B2675" s="5">
        <v>2670</v>
      </c>
      <c r="C2675" s="5">
        <v>189.52872523661503</v>
      </c>
      <c r="D2675" s="45"/>
    </row>
    <row r="2676" spans="2:4" ht="16" thickBot="1" x14ac:dyDescent="0.25">
      <c r="B2676" s="4">
        <v>2671</v>
      </c>
      <c r="C2676" s="4">
        <v>631.04486711640106</v>
      </c>
      <c r="D2676" s="45"/>
    </row>
    <row r="2677" spans="2:4" ht="16" thickBot="1" x14ac:dyDescent="0.25">
      <c r="B2677" s="5">
        <v>2672</v>
      </c>
      <c r="C2677" s="5">
        <v>191.60892745886724</v>
      </c>
      <c r="D2677" s="45"/>
    </row>
    <row r="2678" spans="2:4" ht="16" thickBot="1" x14ac:dyDescent="0.25">
      <c r="B2678" s="4">
        <v>2673</v>
      </c>
      <c r="C2678" s="4">
        <v>173.2469722532779</v>
      </c>
      <c r="D2678" s="45"/>
    </row>
    <row r="2679" spans="2:4" ht="16" thickBot="1" x14ac:dyDescent="0.25">
      <c r="B2679" s="5">
        <v>2674</v>
      </c>
      <c r="C2679" s="5">
        <v>166.07105588628687</v>
      </c>
      <c r="D2679" s="45"/>
    </row>
    <row r="2680" spans="2:4" ht="16" thickBot="1" x14ac:dyDescent="0.25">
      <c r="B2680" s="4">
        <v>2675</v>
      </c>
      <c r="C2680" s="4">
        <v>138.51205507243304</v>
      </c>
      <c r="D2680" s="45"/>
    </row>
    <row r="2681" spans="2:4" ht="16" thickBot="1" x14ac:dyDescent="0.25">
      <c r="B2681" s="5">
        <v>2676</v>
      </c>
      <c r="C2681" s="5">
        <v>187.83394134302986</v>
      </c>
      <c r="D2681" s="45"/>
    </row>
    <row r="2682" spans="2:4" ht="16" thickBot="1" x14ac:dyDescent="0.25">
      <c r="B2682" s="4">
        <v>2677</v>
      </c>
      <c r="C2682" s="4">
        <v>595.01512836021982</v>
      </c>
      <c r="D2682" s="45"/>
    </row>
    <row r="2683" spans="2:4" ht="16" thickBot="1" x14ac:dyDescent="0.25">
      <c r="B2683" s="5">
        <v>2678</v>
      </c>
      <c r="C2683" s="5">
        <v>230.72456126735619</v>
      </c>
      <c r="D2683" s="45"/>
    </row>
    <row r="2684" spans="2:4" ht="16" thickBot="1" x14ac:dyDescent="0.25">
      <c r="B2684" s="4">
        <v>2679</v>
      </c>
      <c r="C2684" s="4">
        <v>208.61019887697992</v>
      </c>
      <c r="D2684" s="45"/>
    </row>
    <row r="2685" spans="2:4" ht="16" thickBot="1" x14ac:dyDescent="0.25">
      <c r="B2685" s="5">
        <v>2680</v>
      </c>
      <c r="C2685" s="5">
        <v>59.93921126571621</v>
      </c>
      <c r="D2685" s="45"/>
    </row>
    <row r="2686" spans="2:4" ht="16" thickBot="1" x14ac:dyDescent="0.25">
      <c r="B2686" s="4">
        <v>2681</v>
      </c>
      <c r="C2686" s="4">
        <v>233.60596289627398</v>
      </c>
      <c r="D2686" s="45"/>
    </row>
    <row r="2687" spans="2:4" ht="16" thickBot="1" x14ac:dyDescent="0.25">
      <c r="B2687" s="5">
        <v>2682</v>
      </c>
      <c r="C2687" s="5">
        <v>288.67902477423075</v>
      </c>
      <c r="D2687" s="45"/>
    </row>
    <row r="2688" spans="2:4" ht="16" thickBot="1" x14ac:dyDescent="0.25">
      <c r="B2688" s="4">
        <v>2683</v>
      </c>
      <c r="C2688" s="4">
        <v>274.1694039162943</v>
      </c>
      <c r="D2688" s="45"/>
    </row>
    <row r="2689" spans="2:4" ht="16" thickBot="1" x14ac:dyDescent="0.25">
      <c r="B2689" s="5">
        <v>2684</v>
      </c>
      <c r="C2689" s="5">
        <v>255.143895084706</v>
      </c>
      <c r="D2689" s="45"/>
    </row>
    <row r="2690" spans="2:4" ht="16" thickBot="1" x14ac:dyDescent="0.25">
      <c r="B2690" s="4">
        <v>2685</v>
      </c>
      <c r="C2690" s="4">
        <v>156.55935541985031</v>
      </c>
      <c r="D2690" s="45"/>
    </row>
    <row r="2691" spans="2:4" ht="16" thickBot="1" x14ac:dyDescent="0.25">
      <c r="B2691" s="5">
        <v>2686</v>
      </c>
      <c r="C2691" s="5">
        <v>98.836357511181859</v>
      </c>
      <c r="D2691" s="45"/>
    </row>
    <row r="2692" spans="2:4" ht="16" thickBot="1" x14ac:dyDescent="0.25">
      <c r="B2692" s="4">
        <v>2687</v>
      </c>
      <c r="C2692" s="4">
        <v>175.28801532735699</v>
      </c>
      <c r="D2692" s="45"/>
    </row>
    <row r="2693" spans="2:4" ht="16" thickBot="1" x14ac:dyDescent="0.25">
      <c r="B2693" s="5">
        <v>2688</v>
      </c>
      <c r="C2693" s="5">
        <v>304.24139063140552</v>
      </c>
      <c r="D2693" s="45"/>
    </row>
    <row r="2694" spans="2:4" ht="16" thickBot="1" x14ac:dyDescent="0.25">
      <c r="B2694" s="4">
        <v>2689</v>
      </c>
      <c r="C2694" s="4">
        <v>227.0769925115992</v>
      </c>
      <c r="D2694" s="45"/>
    </row>
    <row r="2695" spans="2:4" ht="16" thickBot="1" x14ac:dyDescent="0.25">
      <c r="B2695" s="5">
        <v>2690</v>
      </c>
      <c r="C2695" s="5">
        <v>57.449066210432655</v>
      </c>
      <c r="D2695" s="45"/>
    </row>
    <row r="2696" spans="2:4" ht="16" thickBot="1" x14ac:dyDescent="0.25">
      <c r="B2696" s="4">
        <v>2691</v>
      </c>
      <c r="C2696" s="4">
        <v>184.79103159996663</v>
      </c>
      <c r="D2696" s="45"/>
    </row>
    <row r="2697" spans="2:4" ht="16" thickBot="1" x14ac:dyDescent="0.25">
      <c r="B2697" s="5">
        <v>2692</v>
      </c>
      <c r="C2697" s="5">
        <v>82.875701457031582</v>
      </c>
      <c r="D2697" s="45"/>
    </row>
    <row r="2698" spans="2:4" ht="16" thickBot="1" x14ac:dyDescent="0.25">
      <c r="B2698" s="4">
        <v>2693</v>
      </c>
      <c r="C2698" s="4">
        <v>236.89706738350617</v>
      </c>
      <c r="D2698" s="45"/>
    </row>
    <row r="2699" spans="2:4" ht="16" thickBot="1" x14ac:dyDescent="0.25">
      <c r="B2699" s="5">
        <v>2694</v>
      </c>
      <c r="C2699" s="5">
        <v>173.6184104674102</v>
      </c>
      <c r="D2699" s="45"/>
    </row>
    <row r="2700" spans="2:4" ht="16" thickBot="1" x14ac:dyDescent="0.25">
      <c r="B2700" s="4">
        <v>2695</v>
      </c>
      <c r="C2700" s="4">
        <v>143.14795873543505</v>
      </c>
      <c r="D2700" s="45"/>
    </row>
    <row r="2701" spans="2:4" ht="16" thickBot="1" x14ac:dyDescent="0.25">
      <c r="B2701" s="5">
        <v>2696</v>
      </c>
      <c r="C2701" s="5">
        <v>137.25606731636665</v>
      </c>
      <c r="D2701" s="45"/>
    </row>
    <row r="2702" spans="2:4" ht="16" thickBot="1" x14ac:dyDescent="0.25">
      <c r="B2702" s="4">
        <v>2697</v>
      </c>
      <c r="C2702" s="4">
        <v>61.385588843727547</v>
      </c>
      <c r="D2702" s="45"/>
    </row>
    <row r="2703" spans="2:4" ht="16" thickBot="1" x14ac:dyDescent="0.25">
      <c r="B2703" s="5">
        <v>2698</v>
      </c>
      <c r="C2703" s="5">
        <v>152.3207487873091</v>
      </c>
      <c r="D2703" s="45"/>
    </row>
    <row r="2704" spans="2:4" ht="16" thickBot="1" x14ac:dyDescent="0.25">
      <c r="B2704" s="4">
        <v>2699</v>
      </c>
      <c r="C2704" s="4">
        <v>466.74187878290724</v>
      </c>
      <c r="D2704" s="45"/>
    </row>
    <row r="2705" spans="2:4" ht="16" thickBot="1" x14ac:dyDescent="0.25">
      <c r="B2705" s="5">
        <v>2700</v>
      </c>
      <c r="C2705" s="5">
        <v>248.04731214764266</v>
      </c>
      <c r="D2705" s="45"/>
    </row>
    <row r="2706" spans="2:4" ht="16" thickBot="1" x14ac:dyDescent="0.25">
      <c r="B2706" s="4">
        <v>2701</v>
      </c>
      <c r="C2706" s="4">
        <v>120.54666390035659</v>
      </c>
      <c r="D2706" s="45"/>
    </row>
    <row r="2707" spans="2:4" ht="16" thickBot="1" x14ac:dyDescent="0.25">
      <c r="B2707" s="5">
        <v>2702</v>
      </c>
      <c r="C2707" s="5">
        <v>286.86007283411226</v>
      </c>
      <c r="D2707" s="45"/>
    </row>
    <row r="2708" spans="2:4" ht="16" thickBot="1" x14ac:dyDescent="0.25">
      <c r="B2708" s="4">
        <v>2703</v>
      </c>
      <c r="C2708" s="4">
        <v>82.446222737881129</v>
      </c>
      <c r="D2708" s="45"/>
    </row>
    <row r="2709" spans="2:4" ht="16" thickBot="1" x14ac:dyDescent="0.25">
      <c r="B2709" s="5">
        <v>2704</v>
      </c>
      <c r="C2709" s="5">
        <v>87.394547149800502</v>
      </c>
      <c r="D2709" s="45"/>
    </row>
    <row r="2710" spans="2:4" ht="16" thickBot="1" x14ac:dyDescent="0.25">
      <c r="B2710" s="4">
        <v>2705</v>
      </c>
      <c r="C2710" s="4">
        <v>276.62989374331232</v>
      </c>
      <c r="D2710" s="45"/>
    </row>
    <row r="2711" spans="2:4" ht="16" thickBot="1" x14ac:dyDescent="0.25">
      <c r="B2711" s="5">
        <v>2706</v>
      </c>
      <c r="C2711" s="5">
        <v>138.69661018183587</v>
      </c>
      <c r="D2711" s="45"/>
    </row>
    <row r="2712" spans="2:4" ht="16" thickBot="1" x14ac:dyDescent="0.25">
      <c r="B2712" s="4">
        <v>2707</v>
      </c>
      <c r="C2712" s="4">
        <v>132.58378451989765</v>
      </c>
      <c r="D2712" s="45"/>
    </row>
    <row r="2713" spans="2:4" ht="16" thickBot="1" x14ac:dyDescent="0.25">
      <c r="B2713" s="5">
        <v>2708</v>
      </c>
      <c r="C2713" s="5">
        <v>91.646751930766357</v>
      </c>
      <c r="D2713" s="45"/>
    </row>
    <row r="2714" spans="2:4" ht="16" thickBot="1" x14ac:dyDescent="0.25">
      <c r="B2714" s="4">
        <v>2709</v>
      </c>
      <c r="C2714" s="4">
        <v>104.35620770493689</v>
      </c>
      <c r="D2714" s="45"/>
    </row>
    <row r="2715" spans="2:4" ht="16" thickBot="1" x14ac:dyDescent="0.25">
      <c r="B2715" s="5">
        <v>2710</v>
      </c>
      <c r="C2715" s="5">
        <v>184.72977099195714</v>
      </c>
      <c r="D2715" s="45"/>
    </row>
    <row r="2716" spans="2:4" ht="16" thickBot="1" x14ac:dyDescent="0.25">
      <c r="B2716" s="4">
        <v>2711</v>
      </c>
      <c r="C2716" s="4">
        <v>202.7036082318609</v>
      </c>
      <c r="D2716" s="45"/>
    </row>
    <row r="2717" spans="2:4" ht="16" thickBot="1" x14ac:dyDescent="0.25">
      <c r="B2717" s="5">
        <v>2712</v>
      </c>
      <c r="C2717" s="5">
        <v>129.73583820396578</v>
      </c>
      <c r="D2717" s="45"/>
    </row>
    <row r="2718" spans="2:4" ht="16" thickBot="1" x14ac:dyDescent="0.25">
      <c r="B2718" s="4">
        <v>2713</v>
      </c>
      <c r="C2718" s="4">
        <v>212.41992190874424</v>
      </c>
      <c r="D2718" s="45"/>
    </row>
    <row r="2719" spans="2:4" ht="16" thickBot="1" x14ac:dyDescent="0.25">
      <c r="B2719" s="5">
        <v>2714</v>
      </c>
      <c r="C2719" s="5">
        <v>105.59234503415668</v>
      </c>
      <c r="D2719" s="45"/>
    </row>
    <row r="2720" spans="2:4" ht="16" thickBot="1" x14ac:dyDescent="0.25">
      <c r="B2720" s="4">
        <v>2715</v>
      </c>
      <c r="C2720" s="4">
        <v>194.12103955601469</v>
      </c>
      <c r="D2720" s="45"/>
    </row>
    <row r="2721" spans="2:4" ht="16" thickBot="1" x14ac:dyDescent="0.25">
      <c r="B2721" s="5">
        <v>2716</v>
      </c>
      <c r="C2721" s="5">
        <v>108.65411270511045</v>
      </c>
      <c r="D2721" s="45"/>
    </row>
    <row r="2722" spans="2:4" ht="16" thickBot="1" x14ac:dyDescent="0.25">
      <c r="B2722" s="4">
        <v>2717</v>
      </c>
      <c r="C2722" s="4">
        <v>142.91831325101063</v>
      </c>
      <c r="D2722" s="45"/>
    </row>
    <row r="2723" spans="2:4" ht="16" thickBot="1" x14ac:dyDescent="0.25">
      <c r="B2723" s="5">
        <v>2718</v>
      </c>
      <c r="C2723" s="5">
        <v>224.34837977009079</v>
      </c>
      <c r="D2723" s="45"/>
    </row>
    <row r="2724" spans="2:4" ht="16" thickBot="1" x14ac:dyDescent="0.25">
      <c r="B2724" s="4">
        <v>2719</v>
      </c>
      <c r="C2724" s="4">
        <v>35.998917569851919</v>
      </c>
      <c r="D2724" s="45"/>
    </row>
    <row r="2725" spans="2:4" ht="16" thickBot="1" x14ac:dyDescent="0.25">
      <c r="B2725" s="5">
        <v>2720</v>
      </c>
      <c r="C2725" s="5">
        <v>245.400962350073</v>
      </c>
      <c r="D2725" s="45"/>
    </row>
    <row r="2726" spans="2:4" ht="16" thickBot="1" x14ac:dyDescent="0.25">
      <c r="B2726" s="4">
        <v>2721</v>
      </c>
      <c r="C2726" s="4">
        <v>88.975456441760628</v>
      </c>
      <c r="D2726" s="45"/>
    </row>
    <row r="2727" spans="2:4" ht="16" thickBot="1" x14ac:dyDescent="0.25">
      <c r="B2727" s="5">
        <v>2722</v>
      </c>
      <c r="C2727" s="5">
        <v>209.72793275006907</v>
      </c>
      <c r="D2727" s="45"/>
    </row>
    <row r="2728" spans="2:4" ht="16" thickBot="1" x14ac:dyDescent="0.25">
      <c r="B2728" s="4">
        <v>2723</v>
      </c>
      <c r="C2728" s="4">
        <v>220.9663156608172</v>
      </c>
      <c r="D2728" s="45"/>
    </row>
    <row r="2729" spans="2:4" ht="16" thickBot="1" x14ac:dyDescent="0.25">
      <c r="B2729" s="5">
        <v>2724</v>
      </c>
      <c r="C2729" s="5">
        <v>87.250829023924325</v>
      </c>
      <c r="D2729" s="45"/>
    </row>
    <row r="2730" spans="2:4" ht="16" thickBot="1" x14ac:dyDescent="0.25">
      <c r="B2730" s="4">
        <v>2725</v>
      </c>
      <c r="C2730" s="4">
        <v>53.980006483116306</v>
      </c>
      <c r="D2730" s="45"/>
    </row>
    <row r="2731" spans="2:4" ht="16" thickBot="1" x14ac:dyDescent="0.25">
      <c r="B2731" s="5">
        <v>2726</v>
      </c>
      <c r="C2731" s="5">
        <v>185.62325998784024</v>
      </c>
      <c r="D2731" s="45"/>
    </row>
    <row r="2732" spans="2:4" ht="16" thickBot="1" x14ac:dyDescent="0.25">
      <c r="B2732" s="4">
        <v>2727</v>
      </c>
      <c r="C2732" s="4">
        <v>68.605793064507949</v>
      </c>
      <c r="D2732" s="45"/>
    </row>
    <row r="2733" spans="2:4" ht="16" thickBot="1" x14ac:dyDescent="0.25">
      <c r="B2733" s="5">
        <v>2728</v>
      </c>
      <c r="C2733" s="5">
        <v>80.119920474622106</v>
      </c>
      <c r="D2733" s="45"/>
    </row>
    <row r="2734" spans="2:4" ht="16" thickBot="1" x14ac:dyDescent="0.25">
      <c r="B2734" s="4">
        <v>2729</v>
      </c>
      <c r="C2734" s="4">
        <v>165.39316582345489</v>
      </c>
      <c r="D2734" s="45"/>
    </row>
    <row r="2735" spans="2:4" ht="16" thickBot="1" x14ac:dyDescent="0.25">
      <c r="B2735" s="5">
        <v>2730</v>
      </c>
      <c r="C2735" s="5">
        <v>110.64265289651168</v>
      </c>
      <c r="D2735" s="45"/>
    </row>
    <row r="2736" spans="2:4" ht="16" thickBot="1" x14ac:dyDescent="0.25">
      <c r="B2736" s="4">
        <v>2731</v>
      </c>
      <c r="C2736" s="4">
        <v>221.61431664891049</v>
      </c>
      <c r="D2736" s="45"/>
    </row>
    <row r="2737" spans="2:4" ht="16" thickBot="1" x14ac:dyDescent="0.25">
      <c r="B2737" s="5">
        <v>2732</v>
      </c>
      <c r="C2737" s="5">
        <v>77.779405366192677</v>
      </c>
      <c r="D2737" s="45"/>
    </row>
    <row r="2738" spans="2:4" ht="16" thickBot="1" x14ac:dyDescent="0.25">
      <c r="B2738" s="4">
        <v>2733</v>
      </c>
      <c r="C2738" s="4">
        <v>270.75092701382044</v>
      </c>
      <c r="D2738" s="45"/>
    </row>
    <row r="2739" spans="2:4" ht="16" thickBot="1" x14ac:dyDescent="0.25">
      <c r="B2739" s="5">
        <v>2734</v>
      </c>
      <c r="C2739" s="5">
        <v>183.20754124037097</v>
      </c>
      <c r="D2739" s="45"/>
    </row>
    <row r="2740" spans="2:4" ht="16" thickBot="1" x14ac:dyDescent="0.25">
      <c r="B2740" s="4">
        <v>2735</v>
      </c>
      <c r="C2740" s="4">
        <v>121.49500637876469</v>
      </c>
      <c r="D2740" s="45"/>
    </row>
    <row r="2741" spans="2:4" ht="16" thickBot="1" x14ac:dyDescent="0.25">
      <c r="B2741" s="5">
        <v>2736</v>
      </c>
      <c r="C2741" s="5">
        <v>84.568307192716517</v>
      </c>
      <c r="D2741" s="45"/>
    </row>
    <row r="2742" spans="2:4" ht="16" thickBot="1" x14ac:dyDescent="0.25">
      <c r="B2742" s="4">
        <v>2737</v>
      </c>
      <c r="C2742" s="4">
        <v>147.31380654224557</v>
      </c>
      <c r="D2742" s="45"/>
    </row>
    <row r="2743" spans="2:4" ht="16" thickBot="1" x14ac:dyDescent="0.25">
      <c r="B2743" s="5">
        <v>2738</v>
      </c>
      <c r="C2743" s="5">
        <v>191.12433843008952</v>
      </c>
      <c r="D2743" s="45"/>
    </row>
    <row r="2744" spans="2:4" ht="16" thickBot="1" x14ac:dyDescent="0.25">
      <c r="B2744" s="4">
        <v>2739</v>
      </c>
      <c r="C2744" s="4">
        <v>121.34430462415413</v>
      </c>
      <c r="D2744" s="45"/>
    </row>
    <row r="2745" spans="2:4" ht="16" thickBot="1" x14ac:dyDescent="0.25">
      <c r="B2745" s="5">
        <v>2740</v>
      </c>
      <c r="C2745" s="5">
        <v>155.98973528495114</v>
      </c>
      <c r="D2745" s="45"/>
    </row>
    <row r="2746" spans="2:4" ht="16" thickBot="1" x14ac:dyDescent="0.25">
      <c r="B2746" s="4">
        <v>2741</v>
      </c>
      <c r="C2746" s="4">
        <v>189.59060288924201</v>
      </c>
      <c r="D2746" s="45"/>
    </row>
    <row r="2747" spans="2:4" ht="16" thickBot="1" x14ac:dyDescent="0.25">
      <c r="B2747" s="5">
        <v>2742</v>
      </c>
      <c r="C2747" s="5">
        <v>144.09739968900797</v>
      </c>
      <c r="D2747" s="45"/>
    </row>
    <row r="2748" spans="2:4" ht="16" thickBot="1" x14ac:dyDescent="0.25">
      <c r="B2748" s="4">
        <v>2743</v>
      </c>
      <c r="C2748" s="4">
        <v>122.12530331735738</v>
      </c>
      <c r="D2748" s="45"/>
    </row>
    <row r="2749" spans="2:4" ht="16" thickBot="1" x14ac:dyDescent="0.25">
      <c r="B2749" s="5">
        <v>2744</v>
      </c>
      <c r="C2749" s="5">
        <v>109.02140291119804</v>
      </c>
      <c r="D2749" s="45"/>
    </row>
    <row r="2750" spans="2:4" ht="16" thickBot="1" x14ac:dyDescent="0.25">
      <c r="B2750" s="4">
        <v>2745</v>
      </c>
      <c r="C2750" s="4">
        <v>188.01489973353125</v>
      </c>
      <c r="D2750" s="45"/>
    </row>
    <row r="2751" spans="2:4" ht="16" thickBot="1" x14ac:dyDescent="0.25">
      <c r="B2751" s="5">
        <v>2746</v>
      </c>
      <c r="C2751" s="5">
        <v>168.35454795556086</v>
      </c>
      <c r="D2751" s="45"/>
    </row>
    <row r="2752" spans="2:4" ht="16" thickBot="1" x14ac:dyDescent="0.25">
      <c r="B2752" s="4">
        <v>2747</v>
      </c>
      <c r="C2752" s="4">
        <v>124.19937406677762</v>
      </c>
      <c r="D2752" s="45"/>
    </row>
    <row r="2753" spans="2:4" ht="16" thickBot="1" x14ac:dyDescent="0.25">
      <c r="B2753" s="5">
        <v>2748</v>
      </c>
      <c r="C2753" s="5">
        <v>155.94781584327515</v>
      </c>
      <c r="D2753" s="45"/>
    </row>
    <row r="2754" spans="2:4" ht="16" thickBot="1" x14ac:dyDescent="0.25">
      <c r="B2754" s="4">
        <v>2749</v>
      </c>
      <c r="C2754" s="4">
        <v>216.75924847940917</v>
      </c>
      <c r="D2754" s="45"/>
    </row>
    <row r="2755" spans="2:4" ht="16" thickBot="1" x14ac:dyDescent="0.25">
      <c r="B2755" s="5">
        <v>2750</v>
      </c>
      <c r="C2755" s="5">
        <v>258.22653585098857</v>
      </c>
      <c r="D2755" s="45"/>
    </row>
    <row r="2756" spans="2:4" ht="16" thickBot="1" x14ac:dyDescent="0.25">
      <c r="B2756" s="4">
        <v>2751</v>
      </c>
      <c r="C2756" s="4">
        <v>84.269983239606674</v>
      </c>
      <c r="D2756" s="45"/>
    </row>
    <row r="2757" spans="2:4" ht="16" thickBot="1" x14ac:dyDescent="0.25">
      <c r="B2757" s="5">
        <v>2752</v>
      </c>
      <c r="C2757" s="5">
        <v>232.07205570932166</v>
      </c>
      <c r="D2757" s="45"/>
    </row>
    <row r="2758" spans="2:4" ht="16" thickBot="1" x14ac:dyDescent="0.25">
      <c r="B2758" s="4">
        <v>2753</v>
      </c>
      <c r="C2758" s="4">
        <v>42.143965730455172</v>
      </c>
      <c r="D2758" s="45"/>
    </row>
    <row r="2759" spans="2:4" ht="16" thickBot="1" x14ac:dyDescent="0.25">
      <c r="B2759" s="5">
        <v>2754</v>
      </c>
      <c r="C2759" s="5">
        <v>96.411204586225722</v>
      </c>
      <c r="D2759" s="45"/>
    </row>
    <row r="2760" spans="2:4" ht="16" thickBot="1" x14ac:dyDescent="0.25">
      <c r="B2760" s="4">
        <v>2755</v>
      </c>
      <c r="C2760" s="4">
        <v>61.319248102985242</v>
      </c>
      <c r="D2760" s="45"/>
    </row>
    <row r="2761" spans="2:4" ht="16" thickBot="1" x14ac:dyDescent="0.25">
      <c r="B2761" s="5">
        <v>2756</v>
      </c>
      <c r="C2761" s="5">
        <v>115.80920104689309</v>
      </c>
      <c r="D2761" s="45"/>
    </row>
    <row r="2762" spans="2:4" ht="16" thickBot="1" x14ac:dyDescent="0.25">
      <c r="B2762" s="4">
        <v>2757</v>
      </c>
      <c r="C2762" s="4">
        <v>471.34356588790007</v>
      </c>
      <c r="D2762" s="45"/>
    </row>
    <row r="2763" spans="2:4" ht="16" thickBot="1" x14ac:dyDescent="0.25">
      <c r="B2763" s="5">
        <v>2758</v>
      </c>
      <c r="C2763" s="5">
        <v>251.24929808368</v>
      </c>
      <c r="D2763" s="45"/>
    </row>
    <row r="2764" spans="2:4" ht="16" thickBot="1" x14ac:dyDescent="0.25">
      <c r="B2764" s="4">
        <v>2759</v>
      </c>
      <c r="C2764" s="4">
        <v>169.99129258815043</v>
      </c>
      <c r="D2764" s="45"/>
    </row>
    <row r="2765" spans="2:4" ht="16" thickBot="1" x14ac:dyDescent="0.25">
      <c r="B2765" s="5">
        <v>2760</v>
      </c>
      <c r="C2765" s="5">
        <v>227.95167393771493</v>
      </c>
      <c r="D2765" s="45"/>
    </row>
    <row r="2766" spans="2:4" ht="16" thickBot="1" x14ac:dyDescent="0.25">
      <c r="B2766" s="4">
        <v>2761</v>
      </c>
      <c r="C2766" s="4">
        <v>298.61013008935339</v>
      </c>
      <c r="D2766" s="45"/>
    </row>
    <row r="2767" spans="2:4" ht="16" thickBot="1" x14ac:dyDescent="0.25">
      <c r="B2767" s="5">
        <v>2762</v>
      </c>
      <c r="C2767" s="5">
        <v>110.78384512333575</v>
      </c>
      <c r="D2767" s="45"/>
    </row>
    <row r="2768" spans="2:4" ht="16" thickBot="1" x14ac:dyDescent="0.25">
      <c r="B2768" s="4">
        <v>2763</v>
      </c>
      <c r="C2768" s="4">
        <v>83.682376225985905</v>
      </c>
      <c r="D2768" s="45"/>
    </row>
    <row r="2769" spans="2:4" ht="16" thickBot="1" x14ac:dyDescent="0.25">
      <c r="B2769" s="5">
        <v>2764</v>
      </c>
      <c r="C2769" s="5">
        <v>169.04202161594711</v>
      </c>
      <c r="D2769" s="45"/>
    </row>
    <row r="2770" spans="2:4" ht="16" thickBot="1" x14ac:dyDescent="0.25">
      <c r="B2770" s="4">
        <v>2765</v>
      </c>
      <c r="C2770" s="4">
        <v>83.884374102678223</v>
      </c>
      <c r="D2770" s="45"/>
    </row>
    <row r="2771" spans="2:4" ht="16" thickBot="1" x14ac:dyDescent="0.25">
      <c r="B2771" s="5">
        <v>2766</v>
      </c>
      <c r="C2771" s="5">
        <v>95.218969743889147</v>
      </c>
      <c r="D2771" s="45"/>
    </row>
    <row r="2772" spans="2:4" ht="16" thickBot="1" x14ac:dyDescent="0.25">
      <c r="B2772" s="4">
        <v>2767</v>
      </c>
      <c r="C2772" s="4">
        <v>126.58792579719834</v>
      </c>
      <c r="D2772" s="45"/>
    </row>
    <row r="2773" spans="2:4" ht="16" thickBot="1" x14ac:dyDescent="0.25">
      <c r="B2773" s="5">
        <v>2768</v>
      </c>
      <c r="C2773" s="5">
        <v>92.649295227464023</v>
      </c>
      <c r="D2773" s="45"/>
    </row>
    <row r="2774" spans="2:4" ht="16" thickBot="1" x14ac:dyDescent="0.25">
      <c r="B2774" s="4">
        <v>2769</v>
      </c>
      <c r="C2774" s="4">
        <v>115.84860560777412</v>
      </c>
      <c r="D2774" s="45"/>
    </row>
    <row r="2775" spans="2:4" ht="16" thickBot="1" x14ac:dyDescent="0.25">
      <c r="B2775" s="5">
        <v>2770</v>
      </c>
      <c r="C2775" s="5">
        <v>168.66243508318593</v>
      </c>
      <c r="D2775" s="45"/>
    </row>
    <row r="2776" spans="2:4" ht="16" thickBot="1" x14ac:dyDescent="0.25">
      <c r="B2776" s="4">
        <v>2771</v>
      </c>
      <c r="C2776" s="4">
        <v>121.00130638124209</v>
      </c>
      <c r="D2776" s="45"/>
    </row>
    <row r="2777" spans="2:4" ht="16" thickBot="1" x14ac:dyDescent="0.25">
      <c r="B2777" s="5">
        <v>2772</v>
      </c>
      <c r="C2777" s="5">
        <v>83.036392378547546</v>
      </c>
      <c r="D2777" s="45"/>
    </row>
    <row r="2778" spans="2:4" ht="16" thickBot="1" x14ac:dyDescent="0.25">
      <c r="B2778" s="4">
        <v>2773</v>
      </c>
      <c r="C2778" s="4">
        <v>111.51791595037493</v>
      </c>
      <c r="D2778" s="45"/>
    </row>
    <row r="2779" spans="2:4" ht="16" thickBot="1" x14ac:dyDescent="0.25">
      <c r="B2779" s="5">
        <v>2774</v>
      </c>
      <c r="C2779" s="5">
        <v>251.74345970472919</v>
      </c>
      <c r="D2779" s="45"/>
    </row>
    <row r="2780" spans="2:4" ht="16" thickBot="1" x14ac:dyDescent="0.25">
      <c r="B2780" s="4">
        <v>2775</v>
      </c>
      <c r="C2780" s="4">
        <v>71.225161602327262</v>
      </c>
      <c r="D2780" s="45"/>
    </row>
    <row r="2781" spans="2:4" ht="16" thickBot="1" x14ac:dyDescent="0.25">
      <c r="B2781" s="5">
        <v>2776</v>
      </c>
      <c r="C2781" s="5">
        <v>240.46337038882777</v>
      </c>
      <c r="D2781" s="45"/>
    </row>
    <row r="2782" spans="2:4" ht="16" thickBot="1" x14ac:dyDescent="0.25">
      <c r="B2782" s="4">
        <v>2777</v>
      </c>
      <c r="C2782" s="4">
        <v>119.95355812117919</v>
      </c>
      <c r="D2782" s="45"/>
    </row>
    <row r="2783" spans="2:4" ht="16" thickBot="1" x14ac:dyDescent="0.25">
      <c r="B2783" s="5">
        <v>2778</v>
      </c>
      <c r="C2783" s="5">
        <v>58.935238116976393</v>
      </c>
      <c r="D2783" s="45"/>
    </row>
    <row r="2784" spans="2:4" ht="16" thickBot="1" x14ac:dyDescent="0.25">
      <c r="B2784" s="4">
        <v>2779</v>
      </c>
      <c r="C2784" s="4">
        <v>315.05714491385385</v>
      </c>
      <c r="D2784" s="45"/>
    </row>
    <row r="2785" spans="2:4" ht="16" thickBot="1" x14ac:dyDescent="0.25">
      <c r="B2785" s="5">
        <v>2780</v>
      </c>
      <c r="C2785" s="5">
        <v>207.84997466523194</v>
      </c>
      <c r="D2785" s="45"/>
    </row>
    <row r="2786" spans="2:4" ht="16" thickBot="1" x14ac:dyDescent="0.25">
      <c r="B2786" s="4">
        <v>2781</v>
      </c>
      <c r="C2786" s="4">
        <v>89.376955893412841</v>
      </c>
      <c r="D2786" s="45"/>
    </row>
    <row r="2787" spans="2:4" ht="16" thickBot="1" x14ac:dyDescent="0.25">
      <c r="B2787" s="5">
        <v>2782</v>
      </c>
      <c r="C2787" s="5">
        <v>231.35423843093457</v>
      </c>
      <c r="D2787" s="45"/>
    </row>
    <row r="2788" spans="2:4" ht="16" thickBot="1" x14ac:dyDescent="0.25">
      <c r="B2788" s="4">
        <v>2783</v>
      </c>
      <c r="C2788" s="4">
        <v>99.500861078382187</v>
      </c>
      <c r="D2788" s="45"/>
    </row>
    <row r="2789" spans="2:4" ht="16" thickBot="1" x14ac:dyDescent="0.25">
      <c r="B2789" s="5">
        <v>2784</v>
      </c>
      <c r="C2789" s="5">
        <v>126.92543849717205</v>
      </c>
      <c r="D2789" s="45"/>
    </row>
    <row r="2790" spans="2:4" ht="16" thickBot="1" x14ac:dyDescent="0.25">
      <c r="B2790" s="4">
        <v>2785</v>
      </c>
      <c r="C2790" s="4">
        <v>115.65171619256651</v>
      </c>
      <c r="D2790" s="45"/>
    </row>
    <row r="2791" spans="2:4" ht="16" thickBot="1" x14ac:dyDescent="0.25">
      <c r="B2791" s="5">
        <v>2786</v>
      </c>
      <c r="C2791" s="5">
        <v>171.93437181198775</v>
      </c>
      <c r="D2791" s="45"/>
    </row>
    <row r="2792" spans="2:4" ht="16" thickBot="1" x14ac:dyDescent="0.25">
      <c r="B2792" s="4">
        <v>2787</v>
      </c>
      <c r="C2792" s="4">
        <v>122.72557890582932</v>
      </c>
      <c r="D2792" s="45"/>
    </row>
    <row r="2793" spans="2:4" ht="16" thickBot="1" x14ac:dyDescent="0.25">
      <c r="B2793" s="5">
        <v>2788</v>
      </c>
      <c r="C2793" s="5">
        <v>109.58439880619451</v>
      </c>
      <c r="D2793" s="45"/>
    </row>
    <row r="2794" spans="2:4" ht="16" thickBot="1" x14ac:dyDescent="0.25">
      <c r="B2794" s="4">
        <v>2789</v>
      </c>
      <c r="C2794" s="4">
        <v>132.57970951393455</v>
      </c>
      <c r="D2794" s="45"/>
    </row>
    <row r="2795" spans="2:4" ht="16" thickBot="1" x14ac:dyDescent="0.25">
      <c r="B2795" s="5">
        <v>2790</v>
      </c>
      <c r="C2795" s="5">
        <v>220.99730248669161</v>
      </c>
      <c r="D2795" s="45"/>
    </row>
    <row r="2796" spans="2:4" ht="16" thickBot="1" x14ac:dyDescent="0.25">
      <c r="B2796" s="4">
        <v>2791</v>
      </c>
      <c r="C2796" s="4">
        <v>125.2514650410411</v>
      </c>
      <c r="D2796" s="45"/>
    </row>
    <row r="2797" spans="2:4" ht="16" thickBot="1" x14ac:dyDescent="0.25">
      <c r="B2797" s="5">
        <v>2792</v>
      </c>
      <c r="C2797" s="5">
        <v>340.97691199562934</v>
      </c>
      <c r="D2797" s="45"/>
    </row>
    <row r="2798" spans="2:4" ht="16" thickBot="1" x14ac:dyDescent="0.25">
      <c r="B2798" s="4">
        <v>2793</v>
      </c>
      <c r="C2798" s="4">
        <v>142.28001530311343</v>
      </c>
      <c r="D2798" s="45"/>
    </row>
    <row r="2799" spans="2:4" ht="16" thickBot="1" x14ac:dyDescent="0.25">
      <c r="B2799" s="5">
        <v>2794</v>
      </c>
      <c r="C2799" s="5">
        <v>113.88816258676694</v>
      </c>
      <c r="D2799" s="45"/>
    </row>
    <row r="2800" spans="2:4" ht="16" thickBot="1" x14ac:dyDescent="0.25">
      <c r="B2800" s="4">
        <v>2795</v>
      </c>
      <c r="C2800" s="4">
        <v>318.29496883010034</v>
      </c>
      <c r="D2800" s="45"/>
    </row>
    <row r="2801" spans="2:4" ht="16" thickBot="1" x14ac:dyDescent="0.25">
      <c r="B2801" s="5">
        <v>2796</v>
      </c>
      <c r="C2801" s="5">
        <v>194.88750600685159</v>
      </c>
      <c r="D2801" s="45"/>
    </row>
    <row r="2802" spans="2:4" ht="16" thickBot="1" x14ac:dyDescent="0.25">
      <c r="B2802" s="4">
        <v>2797</v>
      </c>
      <c r="C2802" s="4">
        <v>177.90985072841067</v>
      </c>
      <c r="D2802" s="45"/>
    </row>
    <row r="2803" spans="2:4" ht="16" thickBot="1" x14ac:dyDescent="0.25">
      <c r="B2803" s="5">
        <v>2798</v>
      </c>
      <c r="C2803" s="5">
        <v>257.77027928600256</v>
      </c>
      <c r="D2803" s="45"/>
    </row>
    <row r="2804" spans="2:4" ht="16" thickBot="1" x14ac:dyDescent="0.25">
      <c r="B2804" s="4">
        <v>2799</v>
      </c>
      <c r="C2804" s="4">
        <v>265.18810333321903</v>
      </c>
      <c r="D2804" s="45"/>
    </row>
    <row r="2805" spans="2:4" ht="16" thickBot="1" x14ac:dyDescent="0.25">
      <c r="B2805" s="5">
        <v>2800</v>
      </c>
      <c r="C2805" s="5">
        <v>75.249453801347528</v>
      </c>
      <c r="D2805" s="45"/>
    </row>
    <row r="2806" spans="2:4" ht="16" thickBot="1" x14ac:dyDescent="0.25">
      <c r="B2806" s="4">
        <v>2801</v>
      </c>
      <c r="C2806" s="4">
        <v>257.88570719511756</v>
      </c>
      <c r="D2806" s="45"/>
    </row>
    <row r="2807" spans="2:4" ht="16" thickBot="1" x14ac:dyDescent="0.25">
      <c r="B2807" s="5">
        <v>2802</v>
      </c>
      <c r="C2807" s="5">
        <v>362.14060127525408</v>
      </c>
      <c r="D2807" s="45"/>
    </row>
    <row r="2808" spans="2:4" ht="16" thickBot="1" x14ac:dyDescent="0.25">
      <c r="B2808" s="4">
        <v>2803</v>
      </c>
      <c r="C2808" s="4">
        <v>211.31462655961408</v>
      </c>
      <c r="D2808" s="45"/>
    </row>
    <row r="2809" spans="2:4" ht="16" thickBot="1" x14ac:dyDescent="0.25">
      <c r="B2809" s="5">
        <v>2804</v>
      </c>
      <c r="C2809" s="5">
        <v>133.51770099596726</v>
      </c>
      <c r="D2809" s="45"/>
    </row>
    <row r="2810" spans="2:4" ht="16" thickBot="1" x14ac:dyDescent="0.25">
      <c r="B2810" s="4">
        <v>2805</v>
      </c>
      <c r="C2810" s="4">
        <v>142.82931008209562</v>
      </c>
      <c r="D2810" s="45"/>
    </row>
    <row r="2811" spans="2:4" ht="16" thickBot="1" x14ac:dyDescent="0.25">
      <c r="B2811" s="5">
        <v>2806</v>
      </c>
      <c r="C2811" s="5">
        <v>96.474029351652987</v>
      </c>
      <c r="D2811" s="45"/>
    </row>
    <row r="2812" spans="2:4" ht="16" thickBot="1" x14ac:dyDescent="0.25">
      <c r="B2812" s="4">
        <v>2807</v>
      </c>
      <c r="C2812" s="4">
        <v>152.19676418351682</v>
      </c>
      <c r="D2812" s="45"/>
    </row>
    <row r="2813" spans="2:4" ht="16" thickBot="1" x14ac:dyDescent="0.25">
      <c r="B2813" s="5">
        <v>2808</v>
      </c>
      <c r="C2813" s="5">
        <v>302.14269210698058</v>
      </c>
      <c r="D2813" s="45"/>
    </row>
    <row r="2814" spans="2:4" ht="16" thickBot="1" x14ac:dyDescent="0.25">
      <c r="B2814" s="4">
        <v>2809</v>
      </c>
      <c r="C2814" s="4">
        <v>246.99463377004491</v>
      </c>
      <c r="D2814" s="45"/>
    </row>
    <row r="2815" spans="2:4" ht="16" thickBot="1" x14ac:dyDescent="0.25">
      <c r="B2815" s="5">
        <v>2810</v>
      </c>
      <c r="C2815" s="5">
        <v>81.792211840908223</v>
      </c>
      <c r="D2815" s="45"/>
    </row>
    <row r="2816" spans="2:4" ht="16" thickBot="1" x14ac:dyDescent="0.25">
      <c r="B2816" s="4">
        <v>2811</v>
      </c>
      <c r="C2816" s="4">
        <v>125.59013739585471</v>
      </c>
      <c r="D2816" s="45"/>
    </row>
    <row r="2817" spans="2:4" ht="16" thickBot="1" x14ac:dyDescent="0.25">
      <c r="B2817" s="5">
        <v>2812</v>
      </c>
      <c r="C2817" s="5">
        <v>110.34098406949603</v>
      </c>
      <c r="D2817" s="45"/>
    </row>
    <row r="2818" spans="2:4" ht="16" thickBot="1" x14ac:dyDescent="0.25">
      <c r="B2818" s="4">
        <v>2813</v>
      </c>
      <c r="C2818" s="4">
        <v>165.04039126035312</v>
      </c>
      <c r="D2818" s="45"/>
    </row>
    <row r="2819" spans="2:4" ht="16" thickBot="1" x14ac:dyDescent="0.25">
      <c r="B2819" s="5">
        <v>2814</v>
      </c>
      <c r="C2819" s="5">
        <v>150.63681084171972</v>
      </c>
      <c r="D2819" s="45"/>
    </row>
    <row r="2820" spans="2:4" ht="16" thickBot="1" x14ac:dyDescent="0.25">
      <c r="B2820" s="4">
        <v>2815</v>
      </c>
      <c r="C2820" s="4">
        <v>163.56680035875851</v>
      </c>
      <c r="D2820" s="45"/>
    </row>
    <row r="2821" spans="2:4" ht="16" thickBot="1" x14ac:dyDescent="0.25">
      <c r="B2821" s="5">
        <v>2816</v>
      </c>
      <c r="C2821" s="5">
        <v>73.544764298732119</v>
      </c>
      <c r="D2821" s="45"/>
    </row>
    <row r="2822" spans="2:4" ht="16" thickBot="1" x14ac:dyDescent="0.25">
      <c r="B2822" s="4">
        <v>2817</v>
      </c>
      <c r="C2822" s="4">
        <v>198.06369889718505</v>
      </c>
      <c r="D2822" s="45"/>
    </row>
    <row r="2823" spans="2:4" ht="16" thickBot="1" x14ac:dyDescent="0.25">
      <c r="B2823" s="5">
        <v>2818</v>
      </c>
      <c r="C2823" s="5">
        <v>171.92335729069899</v>
      </c>
      <c r="D2823" s="45"/>
    </row>
    <row r="2824" spans="2:4" ht="16" thickBot="1" x14ac:dyDescent="0.25">
      <c r="B2824" s="4">
        <v>2819</v>
      </c>
      <c r="C2824" s="4">
        <v>164.63427993253606</v>
      </c>
      <c r="D2824" s="45"/>
    </row>
    <row r="2825" spans="2:4" ht="16" thickBot="1" x14ac:dyDescent="0.25">
      <c r="B2825" s="5">
        <v>2820</v>
      </c>
      <c r="C2825" s="5">
        <v>155.79100376491471</v>
      </c>
      <c r="D2825" s="45"/>
    </row>
    <row r="2826" spans="2:4" ht="16" thickBot="1" x14ac:dyDescent="0.25">
      <c r="B2826" s="4">
        <v>2821</v>
      </c>
      <c r="C2826" s="4">
        <v>128.63923314669779</v>
      </c>
      <c r="D2826" s="45"/>
    </row>
    <row r="2827" spans="2:4" ht="16" thickBot="1" x14ac:dyDescent="0.25">
      <c r="B2827" s="5">
        <v>2822</v>
      </c>
      <c r="C2827" s="5">
        <v>134.85410873217759</v>
      </c>
      <c r="D2827" s="45"/>
    </row>
    <row r="2828" spans="2:4" ht="16" thickBot="1" x14ac:dyDescent="0.25">
      <c r="B2828" s="4">
        <v>2823</v>
      </c>
      <c r="C2828" s="4">
        <v>107.14546130824584</v>
      </c>
      <c r="D2828" s="45"/>
    </row>
    <row r="2829" spans="2:4" ht="16" thickBot="1" x14ac:dyDescent="0.25">
      <c r="B2829" s="5">
        <v>2824</v>
      </c>
      <c r="C2829" s="5">
        <v>80.516018583303719</v>
      </c>
      <c r="D2829" s="45"/>
    </row>
    <row r="2830" spans="2:4" ht="16" thickBot="1" x14ac:dyDescent="0.25">
      <c r="B2830" s="4">
        <v>2825</v>
      </c>
      <c r="C2830" s="4">
        <v>200.83046343488169</v>
      </c>
      <c r="D2830" s="45"/>
    </row>
    <row r="2831" spans="2:4" ht="16" thickBot="1" x14ac:dyDescent="0.25">
      <c r="B2831" s="5">
        <v>2826</v>
      </c>
      <c r="C2831" s="5">
        <v>141.37281778701737</v>
      </c>
      <c r="D2831" s="45"/>
    </row>
    <row r="2832" spans="2:4" ht="16" thickBot="1" x14ac:dyDescent="0.25">
      <c r="B2832" s="4">
        <v>2827</v>
      </c>
      <c r="C2832" s="4">
        <v>127.69804030852467</v>
      </c>
      <c r="D2832" s="45"/>
    </row>
    <row r="2833" spans="2:4" ht="16" thickBot="1" x14ac:dyDescent="0.25">
      <c r="B2833" s="5">
        <v>2828</v>
      </c>
      <c r="C2833" s="5">
        <v>80.715959251729871</v>
      </c>
      <c r="D2833" s="45"/>
    </row>
    <row r="2834" spans="2:4" ht="16" thickBot="1" x14ac:dyDescent="0.25">
      <c r="B2834" s="4">
        <v>2829</v>
      </c>
      <c r="C2834" s="4">
        <v>186.4239969980531</v>
      </c>
      <c r="D2834" s="45"/>
    </row>
    <row r="2835" spans="2:4" ht="16" thickBot="1" x14ac:dyDescent="0.25">
      <c r="B2835" s="5">
        <v>2830</v>
      </c>
      <c r="C2835" s="5">
        <v>107.89238117203054</v>
      </c>
      <c r="D2835" s="45"/>
    </row>
    <row r="2836" spans="2:4" ht="16" thickBot="1" x14ac:dyDescent="0.25">
      <c r="B2836" s="4">
        <v>2831</v>
      </c>
      <c r="C2836" s="4">
        <v>272.82333958824637</v>
      </c>
      <c r="D2836" s="45"/>
    </row>
    <row r="2837" spans="2:4" ht="16" thickBot="1" x14ac:dyDescent="0.25">
      <c r="B2837" s="5">
        <v>2832</v>
      </c>
      <c r="C2837" s="5">
        <v>104.92286262022783</v>
      </c>
      <c r="D2837" s="45"/>
    </row>
    <row r="2838" spans="2:4" ht="16" thickBot="1" x14ac:dyDescent="0.25">
      <c r="B2838" s="4">
        <v>2833</v>
      </c>
      <c r="C2838" s="4">
        <v>171.80573273967846</v>
      </c>
      <c r="D2838" s="45"/>
    </row>
    <row r="2839" spans="2:4" ht="16" thickBot="1" x14ac:dyDescent="0.25">
      <c r="B2839" s="5">
        <v>2834</v>
      </c>
      <c r="C2839" s="5">
        <v>191.47873358839621</v>
      </c>
      <c r="D2839" s="45"/>
    </row>
    <row r="2840" spans="2:4" ht="16" thickBot="1" x14ac:dyDescent="0.25">
      <c r="B2840" s="4">
        <v>2835</v>
      </c>
      <c r="C2840" s="4">
        <v>100.86217829062359</v>
      </c>
      <c r="D2840" s="45"/>
    </row>
    <row r="2841" spans="2:4" ht="16" thickBot="1" x14ac:dyDescent="0.25">
      <c r="B2841" s="5">
        <v>2836</v>
      </c>
      <c r="C2841" s="5">
        <v>151.05268510884486</v>
      </c>
      <c r="D2841" s="45"/>
    </row>
    <row r="2842" spans="2:4" ht="16" thickBot="1" x14ac:dyDescent="0.25">
      <c r="B2842" s="4">
        <v>2837</v>
      </c>
      <c r="C2842" s="4">
        <v>169.4432930234826</v>
      </c>
      <c r="D2842" s="45"/>
    </row>
    <row r="2843" spans="2:4" ht="16" thickBot="1" x14ac:dyDescent="0.25">
      <c r="B2843" s="5">
        <v>2838</v>
      </c>
      <c r="C2843" s="5">
        <v>211.69620195418531</v>
      </c>
      <c r="D2843" s="45"/>
    </row>
    <row r="2844" spans="2:4" ht="16" thickBot="1" x14ac:dyDescent="0.25">
      <c r="B2844" s="4">
        <v>2839</v>
      </c>
      <c r="C2844" s="4">
        <v>54.266655347804438</v>
      </c>
      <c r="D2844" s="45"/>
    </row>
    <row r="2845" spans="2:4" ht="16" thickBot="1" x14ac:dyDescent="0.25">
      <c r="B2845" s="5">
        <v>2840</v>
      </c>
      <c r="C2845" s="5">
        <v>70.674818708577916</v>
      </c>
      <c r="D2845" s="45"/>
    </row>
    <row r="2846" spans="2:4" ht="16" thickBot="1" x14ac:dyDescent="0.25">
      <c r="B2846" s="4">
        <v>2841</v>
      </c>
      <c r="C2846" s="4">
        <v>97.64498951164633</v>
      </c>
      <c r="D2846" s="45"/>
    </row>
    <row r="2847" spans="2:4" ht="16" thickBot="1" x14ac:dyDescent="0.25">
      <c r="B2847" s="5">
        <v>2842</v>
      </c>
      <c r="C2847" s="5">
        <v>199.47900906792691</v>
      </c>
      <c r="D2847" s="45"/>
    </row>
    <row r="2848" spans="2:4" ht="16" thickBot="1" x14ac:dyDescent="0.25">
      <c r="B2848" s="4">
        <v>2843</v>
      </c>
      <c r="C2848" s="4">
        <v>96.268220463098132</v>
      </c>
      <c r="D2848" s="45"/>
    </row>
    <row r="2849" spans="2:4" ht="16" thickBot="1" x14ac:dyDescent="0.25">
      <c r="B2849" s="5">
        <v>2844</v>
      </c>
      <c r="C2849" s="5">
        <v>80.672876645449122</v>
      </c>
      <c r="D2849" s="45"/>
    </row>
    <row r="2850" spans="2:4" ht="16" thickBot="1" x14ac:dyDescent="0.25">
      <c r="B2850" s="4">
        <v>2845</v>
      </c>
      <c r="C2850" s="4">
        <v>149.40773447421063</v>
      </c>
      <c r="D2850" s="45"/>
    </row>
    <row r="2851" spans="2:4" ht="16" thickBot="1" x14ac:dyDescent="0.25">
      <c r="B2851" s="5">
        <v>2846</v>
      </c>
      <c r="C2851" s="5">
        <v>106.52521326633835</v>
      </c>
      <c r="D2851" s="45"/>
    </row>
    <row r="2852" spans="2:4" ht="16" thickBot="1" x14ac:dyDescent="0.25">
      <c r="B2852" s="4">
        <v>2847</v>
      </c>
      <c r="C2852" s="4">
        <v>62.8989582317611</v>
      </c>
      <c r="D2852" s="45"/>
    </row>
    <row r="2853" spans="2:4" ht="16" thickBot="1" x14ac:dyDescent="0.25">
      <c r="B2853" s="5">
        <v>2848</v>
      </c>
      <c r="C2853" s="5">
        <v>74.779981164559118</v>
      </c>
      <c r="D2853" s="45"/>
    </row>
    <row r="2854" spans="2:4" ht="16" thickBot="1" x14ac:dyDescent="0.25">
      <c r="B2854" s="4">
        <v>2849</v>
      </c>
      <c r="C2854" s="4">
        <v>225.23730587212776</v>
      </c>
      <c r="D2854" s="45"/>
    </row>
    <row r="2855" spans="2:4" ht="16" thickBot="1" x14ac:dyDescent="0.25">
      <c r="B2855" s="5">
        <v>2850</v>
      </c>
      <c r="C2855" s="5">
        <v>128.21613876272721</v>
      </c>
      <c r="D2855" s="45"/>
    </row>
    <row r="2856" spans="2:4" ht="16" thickBot="1" x14ac:dyDescent="0.25">
      <c r="B2856" s="4">
        <v>2851</v>
      </c>
      <c r="C2856" s="4">
        <v>238.3639904498709</v>
      </c>
      <c r="D2856" s="45"/>
    </row>
    <row r="2857" spans="2:4" ht="16" thickBot="1" x14ac:dyDescent="0.25">
      <c r="B2857" s="5">
        <v>2852</v>
      </c>
      <c r="C2857" s="5">
        <v>67.939950836853413</v>
      </c>
      <c r="D2857" s="45"/>
    </row>
    <row r="2858" spans="2:4" ht="16" thickBot="1" x14ac:dyDescent="0.25">
      <c r="B2858" s="4">
        <v>2853</v>
      </c>
      <c r="C2858" s="4">
        <v>82.079978003723241</v>
      </c>
      <c r="D2858" s="45"/>
    </row>
    <row r="2859" spans="2:4" ht="16" thickBot="1" x14ac:dyDescent="0.25">
      <c r="B2859" s="5">
        <v>2854</v>
      </c>
      <c r="C2859" s="5">
        <v>101.55751186130207</v>
      </c>
      <c r="D2859" s="45"/>
    </row>
    <row r="2860" spans="2:4" ht="16" thickBot="1" x14ac:dyDescent="0.25">
      <c r="B2860" s="4">
        <v>2855</v>
      </c>
      <c r="C2860" s="4">
        <v>186.41057683964377</v>
      </c>
      <c r="D2860" s="45"/>
    </row>
    <row r="2861" spans="2:4" ht="16" thickBot="1" x14ac:dyDescent="0.25">
      <c r="B2861" s="5">
        <v>2856</v>
      </c>
      <c r="C2861" s="5">
        <v>201.08481802518386</v>
      </c>
      <c r="D2861" s="45"/>
    </row>
    <row r="2862" spans="2:4" ht="16" thickBot="1" x14ac:dyDescent="0.25">
      <c r="B2862" s="4">
        <v>2857</v>
      </c>
      <c r="C2862" s="4">
        <v>162.51645887613682</v>
      </c>
      <c r="D2862" s="45"/>
    </row>
    <row r="2863" spans="2:4" ht="16" thickBot="1" x14ac:dyDescent="0.25">
      <c r="B2863" s="5">
        <v>2858</v>
      </c>
      <c r="C2863" s="5">
        <v>134.48163421714725</v>
      </c>
      <c r="D2863" s="45"/>
    </row>
    <row r="2864" spans="2:4" ht="16" thickBot="1" x14ac:dyDescent="0.25">
      <c r="B2864" s="4">
        <v>2859</v>
      </c>
      <c r="C2864" s="4">
        <v>401.4614391371411</v>
      </c>
      <c r="D2864" s="45"/>
    </row>
    <row r="2865" spans="2:4" ht="16" thickBot="1" x14ac:dyDescent="0.25">
      <c r="B2865" s="5">
        <v>2860</v>
      </c>
      <c r="C2865" s="5">
        <v>186.42338945296794</v>
      </c>
      <c r="D2865" s="45"/>
    </row>
    <row r="2866" spans="2:4" ht="16" thickBot="1" x14ac:dyDescent="0.25">
      <c r="B2866" s="4">
        <v>2861</v>
      </c>
      <c r="C2866" s="4">
        <v>145.30615310463216</v>
      </c>
      <c r="D2866" s="45"/>
    </row>
    <row r="2867" spans="2:4" ht="16" thickBot="1" x14ac:dyDescent="0.25">
      <c r="B2867" s="5">
        <v>2862</v>
      </c>
      <c r="C2867" s="5">
        <v>92.249546873723077</v>
      </c>
      <c r="D2867" s="45"/>
    </row>
    <row r="2868" spans="2:4" ht="16" thickBot="1" x14ac:dyDescent="0.25">
      <c r="B2868" s="4">
        <v>2863</v>
      </c>
      <c r="C2868" s="4">
        <v>319.0018841345331</v>
      </c>
      <c r="D2868" s="45"/>
    </row>
    <row r="2869" spans="2:4" ht="16" thickBot="1" x14ac:dyDescent="0.25">
      <c r="B2869" s="5">
        <v>2864</v>
      </c>
      <c r="C2869" s="5">
        <v>46.82229381864866</v>
      </c>
      <c r="D2869" s="45"/>
    </row>
    <row r="2870" spans="2:4" ht="16" thickBot="1" x14ac:dyDescent="0.25">
      <c r="B2870" s="4">
        <v>2865</v>
      </c>
      <c r="C2870" s="4">
        <v>179.6043249273983</v>
      </c>
      <c r="D2870" s="45"/>
    </row>
    <row r="2871" spans="2:4" ht="16" thickBot="1" x14ac:dyDescent="0.25">
      <c r="B2871" s="5">
        <v>2866</v>
      </c>
      <c r="C2871" s="5">
        <v>115.09461944251737</v>
      </c>
      <c r="D2871" s="45"/>
    </row>
    <row r="2872" spans="2:4" ht="16" thickBot="1" x14ac:dyDescent="0.25">
      <c r="B2872" s="4">
        <v>2867</v>
      </c>
      <c r="C2872" s="4">
        <v>121.99515036041213</v>
      </c>
      <c r="D2872" s="45"/>
    </row>
    <row r="2873" spans="2:4" ht="16" thickBot="1" x14ac:dyDescent="0.25">
      <c r="B2873" s="5">
        <v>2868</v>
      </c>
      <c r="C2873" s="5">
        <v>149.42801315340284</v>
      </c>
      <c r="D2873" s="45"/>
    </row>
    <row r="2874" spans="2:4" ht="16" thickBot="1" x14ac:dyDescent="0.25">
      <c r="B2874" s="4">
        <v>2869</v>
      </c>
      <c r="C2874" s="4">
        <v>76.050672785978819</v>
      </c>
      <c r="D2874" s="45"/>
    </row>
    <row r="2875" spans="2:4" ht="16" thickBot="1" x14ac:dyDescent="0.25">
      <c r="B2875" s="5">
        <v>2870</v>
      </c>
      <c r="C2875" s="5">
        <v>129.7010316724357</v>
      </c>
      <c r="D2875" s="45"/>
    </row>
    <row r="2876" spans="2:4" ht="16" thickBot="1" x14ac:dyDescent="0.25">
      <c r="B2876" s="4">
        <v>2871</v>
      </c>
      <c r="C2876" s="4">
        <v>104.36735588011545</v>
      </c>
      <c r="D2876" s="45"/>
    </row>
    <row r="2877" spans="2:4" ht="16" thickBot="1" x14ac:dyDescent="0.25">
      <c r="B2877" s="5">
        <v>2872</v>
      </c>
      <c r="C2877" s="5">
        <v>233.83948795019683</v>
      </c>
      <c r="D2877" s="45"/>
    </row>
    <row r="2878" spans="2:4" ht="16" thickBot="1" x14ac:dyDescent="0.25">
      <c r="B2878" s="4">
        <v>2873</v>
      </c>
      <c r="C2878" s="4">
        <v>349.12112072601076</v>
      </c>
      <c r="D2878" s="45"/>
    </row>
    <row r="2879" spans="2:4" ht="16" thickBot="1" x14ac:dyDescent="0.25">
      <c r="B2879" s="5">
        <v>2874</v>
      </c>
      <c r="C2879" s="5">
        <v>145.83837179269088</v>
      </c>
      <c r="D2879" s="45"/>
    </row>
    <row r="2880" spans="2:4" ht="16" thickBot="1" x14ac:dyDescent="0.25">
      <c r="B2880" s="4">
        <v>2875</v>
      </c>
      <c r="C2880" s="4">
        <v>100.24895368282222</v>
      </c>
      <c r="D2880" s="45"/>
    </row>
    <row r="2881" spans="2:4" ht="16" thickBot="1" x14ac:dyDescent="0.25">
      <c r="B2881" s="5">
        <v>2876</v>
      </c>
      <c r="C2881" s="5">
        <v>126.96464916141612</v>
      </c>
      <c r="D2881" s="45"/>
    </row>
    <row r="2882" spans="2:4" ht="16" thickBot="1" x14ac:dyDescent="0.25">
      <c r="B2882" s="4">
        <v>2877</v>
      </c>
      <c r="C2882" s="4">
        <v>101.16711030124559</v>
      </c>
      <c r="D2882" s="45"/>
    </row>
    <row r="2883" spans="2:4" ht="16" thickBot="1" x14ac:dyDescent="0.25">
      <c r="B2883" s="5">
        <v>2878</v>
      </c>
      <c r="C2883" s="5">
        <v>203.60682809257261</v>
      </c>
      <c r="D2883" s="45"/>
    </row>
    <row r="2884" spans="2:4" ht="16" thickBot="1" x14ac:dyDescent="0.25">
      <c r="B2884" s="4">
        <v>2879</v>
      </c>
      <c r="C2884" s="4">
        <v>121.15278262260628</v>
      </c>
      <c r="D2884" s="45"/>
    </row>
    <row r="2885" spans="2:4" ht="16" thickBot="1" x14ac:dyDescent="0.25">
      <c r="B2885" s="5">
        <v>2880</v>
      </c>
      <c r="C2885" s="5">
        <v>291.35506728179996</v>
      </c>
      <c r="D2885" s="45"/>
    </row>
    <row r="2886" spans="2:4" ht="16" thickBot="1" x14ac:dyDescent="0.25">
      <c r="B2886" s="4">
        <v>2881</v>
      </c>
      <c r="C2886" s="4">
        <v>231.2189966401148</v>
      </c>
      <c r="D2886" s="45"/>
    </row>
    <row r="2887" spans="2:4" ht="16" thickBot="1" x14ac:dyDescent="0.25">
      <c r="B2887" s="5">
        <v>2882</v>
      </c>
      <c r="C2887" s="5">
        <v>217.05709661841053</v>
      </c>
      <c r="D2887" s="45"/>
    </row>
    <row r="2888" spans="2:4" ht="16" thickBot="1" x14ac:dyDescent="0.25">
      <c r="B2888" s="4">
        <v>2883</v>
      </c>
      <c r="C2888" s="4">
        <v>153.28773782311896</v>
      </c>
      <c r="D2888" s="45"/>
    </row>
    <row r="2889" spans="2:4" ht="16" thickBot="1" x14ac:dyDescent="0.25">
      <c r="B2889" s="5">
        <v>2884</v>
      </c>
      <c r="C2889" s="5">
        <v>191.38201818941087</v>
      </c>
      <c r="D2889" s="45"/>
    </row>
    <row r="2890" spans="2:4" ht="16" thickBot="1" x14ac:dyDescent="0.25">
      <c r="B2890" s="4">
        <v>2885</v>
      </c>
      <c r="C2890" s="4">
        <v>116.77156570357533</v>
      </c>
      <c r="D2890" s="45"/>
    </row>
    <row r="2891" spans="2:4" ht="16" thickBot="1" x14ac:dyDescent="0.25">
      <c r="B2891" s="5">
        <v>2886</v>
      </c>
      <c r="C2891" s="5">
        <v>246.23243390576141</v>
      </c>
      <c r="D2891" s="45"/>
    </row>
    <row r="2892" spans="2:4" ht="16" thickBot="1" x14ac:dyDescent="0.25">
      <c r="B2892" s="4">
        <v>2887</v>
      </c>
      <c r="C2892" s="4">
        <v>137.70642534965825</v>
      </c>
      <c r="D2892" s="45"/>
    </row>
    <row r="2893" spans="2:4" ht="16" thickBot="1" x14ac:dyDescent="0.25">
      <c r="B2893" s="5">
        <v>2888</v>
      </c>
      <c r="C2893" s="5">
        <v>132.66228355594626</v>
      </c>
      <c r="D2893" s="45"/>
    </row>
    <row r="2894" spans="2:4" ht="16" thickBot="1" x14ac:dyDescent="0.25">
      <c r="B2894" s="4">
        <v>2889</v>
      </c>
      <c r="C2894" s="4">
        <v>323.65104124248592</v>
      </c>
      <c r="D2894" s="45"/>
    </row>
    <row r="2895" spans="2:4" ht="16" thickBot="1" x14ac:dyDescent="0.25">
      <c r="B2895" s="5">
        <v>2890</v>
      </c>
      <c r="C2895" s="5">
        <v>55.844488324547832</v>
      </c>
      <c r="D2895" s="45"/>
    </row>
    <row r="2896" spans="2:4" ht="16" thickBot="1" x14ac:dyDescent="0.25">
      <c r="B2896" s="4">
        <v>2891</v>
      </c>
      <c r="C2896" s="4">
        <v>174.19520125317885</v>
      </c>
      <c r="D2896" s="45"/>
    </row>
    <row r="2897" spans="2:4" ht="16" thickBot="1" x14ac:dyDescent="0.25">
      <c r="B2897" s="5">
        <v>2892</v>
      </c>
      <c r="C2897" s="5">
        <v>116.29398564258722</v>
      </c>
      <c r="D2897" s="45"/>
    </row>
    <row r="2898" spans="2:4" ht="16" thickBot="1" x14ac:dyDescent="0.25">
      <c r="B2898" s="4">
        <v>2893</v>
      </c>
      <c r="C2898" s="4">
        <v>109.16423689665253</v>
      </c>
      <c r="D2898" s="45"/>
    </row>
    <row r="2899" spans="2:4" ht="16" thickBot="1" x14ac:dyDescent="0.25">
      <c r="B2899" s="5">
        <v>2894</v>
      </c>
      <c r="C2899" s="5">
        <v>235.38233119181686</v>
      </c>
      <c r="D2899" s="45"/>
    </row>
    <row r="2900" spans="2:4" ht="16" thickBot="1" x14ac:dyDescent="0.25">
      <c r="B2900" s="4">
        <v>2895</v>
      </c>
      <c r="C2900" s="4">
        <v>130.09129004623162</v>
      </c>
      <c r="D2900" s="45"/>
    </row>
    <row r="2901" spans="2:4" ht="16" thickBot="1" x14ac:dyDescent="0.25">
      <c r="B2901" s="5">
        <v>2896</v>
      </c>
      <c r="C2901" s="5">
        <v>222.74289562660877</v>
      </c>
      <c r="D2901" s="45"/>
    </row>
    <row r="2902" spans="2:4" ht="16" thickBot="1" x14ac:dyDescent="0.25">
      <c r="B2902" s="4">
        <v>2897</v>
      </c>
      <c r="C2902" s="4">
        <v>168.82397384033311</v>
      </c>
      <c r="D2902" s="45"/>
    </row>
    <row r="2903" spans="2:4" ht="16" thickBot="1" x14ac:dyDescent="0.25">
      <c r="B2903" s="5">
        <v>2898</v>
      </c>
      <c r="C2903" s="5">
        <v>111.95083759729849</v>
      </c>
      <c r="D2903" s="45"/>
    </row>
    <row r="2904" spans="2:4" ht="16" thickBot="1" x14ac:dyDescent="0.25">
      <c r="B2904" s="4">
        <v>2899</v>
      </c>
      <c r="C2904" s="4">
        <v>148.64474422862156</v>
      </c>
      <c r="D2904" s="45"/>
    </row>
    <row r="2905" spans="2:4" ht="16" thickBot="1" x14ac:dyDescent="0.25">
      <c r="B2905" s="5">
        <v>2900</v>
      </c>
      <c r="C2905" s="5">
        <v>125.1238103043313</v>
      </c>
      <c r="D2905" s="45"/>
    </row>
    <row r="2906" spans="2:4" ht="16" thickBot="1" x14ac:dyDescent="0.25">
      <c r="B2906" s="4">
        <v>2901</v>
      </c>
      <c r="C2906" s="4">
        <v>138.66508564040453</v>
      </c>
      <c r="D2906" s="45"/>
    </row>
    <row r="2907" spans="2:4" ht="16" thickBot="1" x14ac:dyDescent="0.25">
      <c r="B2907" s="5">
        <v>2902</v>
      </c>
      <c r="C2907" s="5">
        <v>52.194881781682064</v>
      </c>
      <c r="D2907" s="45"/>
    </row>
    <row r="2908" spans="2:4" ht="16" thickBot="1" x14ac:dyDescent="0.25">
      <c r="B2908" s="4">
        <v>2903</v>
      </c>
      <c r="C2908" s="4">
        <v>92.967958863713974</v>
      </c>
      <c r="D2908" s="45"/>
    </row>
    <row r="2909" spans="2:4" ht="16" thickBot="1" x14ac:dyDescent="0.25">
      <c r="B2909" s="5">
        <v>2904</v>
      </c>
      <c r="C2909" s="5">
        <v>110.27501358596481</v>
      </c>
      <c r="D2909" s="45"/>
    </row>
    <row r="2910" spans="2:4" ht="16" thickBot="1" x14ac:dyDescent="0.25">
      <c r="B2910" s="4">
        <v>2905</v>
      </c>
      <c r="C2910" s="4">
        <v>78.129454389070702</v>
      </c>
      <c r="D2910" s="45"/>
    </row>
    <row r="2911" spans="2:4" ht="16" thickBot="1" x14ac:dyDescent="0.25">
      <c r="B2911" s="5">
        <v>2906</v>
      </c>
      <c r="C2911" s="5">
        <v>95.228889474296565</v>
      </c>
      <c r="D2911" s="45"/>
    </row>
    <row r="2912" spans="2:4" ht="16" thickBot="1" x14ac:dyDescent="0.25">
      <c r="B2912" s="4">
        <v>2907</v>
      </c>
      <c r="C2912" s="4">
        <v>244.39520057381256</v>
      </c>
      <c r="D2912" s="45"/>
    </row>
    <row r="2913" spans="2:4" ht="16" thickBot="1" x14ac:dyDescent="0.25">
      <c r="B2913" s="5">
        <v>2908</v>
      </c>
      <c r="C2913" s="5">
        <v>153.16135095826192</v>
      </c>
      <c r="D2913" s="45"/>
    </row>
    <row r="2914" spans="2:4" ht="16" thickBot="1" x14ac:dyDescent="0.25">
      <c r="B2914" s="4">
        <v>2909</v>
      </c>
      <c r="C2914" s="4">
        <v>188.48558065351085</v>
      </c>
      <c r="D2914" s="45"/>
    </row>
    <row r="2915" spans="2:4" ht="16" thickBot="1" x14ac:dyDescent="0.25">
      <c r="B2915" s="5">
        <v>2910</v>
      </c>
      <c r="C2915" s="5">
        <v>470.8894093507277</v>
      </c>
      <c r="D2915" s="45"/>
    </row>
    <row r="2916" spans="2:4" ht="16" thickBot="1" x14ac:dyDescent="0.25">
      <c r="B2916" s="4">
        <v>2911</v>
      </c>
      <c r="C2916" s="4">
        <v>267.76345053737748</v>
      </c>
      <c r="D2916" s="45"/>
    </row>
    <row r="2917" spans="2:4" ht="16" thickBot="1" x14ac:dyDescent="0.25">
      <c r="B2917" s="5">
        <v>2912</v>
      </c>
      <c r="C2917" s="5">
        <v>227.16480331517639</v>
      </c>
      <c r="D2917" s="45"/>
    </row>
    <row r="2918" spans="2:4" ht="16" thickBot="1" x14ac:dyDescent="0.25">
      <c r="B2918" s="4">
        <v>2913</v>
      </c>
      <c r="C2918" s="4">
        <v>141.31805956889158</v>
      </c>
      <c r="D2918" s="45"/>
    </row>
    <row r="2919" spans="2:4" ht="16" thickBot="1" x14ac:dyDescent="0.25">
      <c r="B2919" s="5">
        <v>2914</v>
      </c>
      <c r="C2919" s="5">
        <v>257.67033451961373</v>
      </c>
      <c r="D2919" s="45"/>
    </row>
    <row r="2920" spans="2:4" ht="16" thickBot="1" x14ac:dyDescent="0.25">
      <c r="B2920" s="4">
        <v>2915</v>
      </c>
      <c r="C2920" s="4">
        <v>287.92843904524807</v>
      </c>
      <c r="D2920" s="45"/>
    </row>
    <row r="2921" spans="2:4" ht="16" thickBot="1" x14ac:dyDescent="0.25">
      <c r="B2921" s="5">
        <v>2916</v>
      </c>
      <c r="C2921" s="5">
        <v>61.277872425835319</v>
      </c>
      <c r="D2921" s="45"/>
    </row>
    <row r="2922" spans="2:4" ht="16" thickBot="1" x14ac:dyDescent="0.25">
      <c r="B2922" s="4">
        <v>2917</v>
      </c>
      <c r="C2922" s="4">
        <v>102.41392359453766</v>
      </c>
      <c r="D2922" s="45"/>
    </row>
    <row r="2923" spans="2:4" ht="16" thickBot="1" x14ac:dyDescent="0.25">
      <c r="B2923" s="5">
        <v>2918</v>
      </c>
      <c r="C2923" s="5">
        <v>110.96111469402103</v>
      </c>
      <c r="D2923" s="45"/>
    </row>
    <row r="2924" spans="2:4" ht="16" thickBot="1" x14ac:dyDescent="0.25">
      <c r="B2924" s="4">
        <v>2919</v>
      </c>
      <c r="C2924" s="4">
        <v>72.344054961256475</v>
      </c>
      <c r="D2924" s="45"/>
    </row>
    <row r="2925" spans="2:4" ht="16" thickBot="1" x14ac:dyDescent="0.25">
      <c r="B2925" s="5">
        <v>2920</v>
      </c>
      <c r="C2925" s="5">
        <v>259.68004560482922</v>
      </c>
      <c r="D2925" s="45"/>
    </row>
    <row r="2926" spans="2:4" ht="16" thickBot="1" x14ac:dyDescent="0.25">
      <c r="B2926" s="4">
        <v>2921</v>
      </c>
      <c r="C2926" s="4">
        <v>178.83555290059826</v>
      </c>
      <c r="D2926" s="45"/>
    </row>
    <row r="2927" spans="2:4" ht="16" thickBot="1" x14ac:dyDescent="0.25">
      <c r="B2927" s="5">
        <v>2922</v>
      </c>
      <c r="C2927" s="5">
        <v>270.50828148762326</v>
      </c>
      <c r="D2927" s="45"/>
    </row>
    <row r="2928" spans="2:4" ht="16" thickBot="1" x14ac:dyDescent="0.25">
      <c r="B2928" s="4">
        <v>2923</v>
      </c>
      <c r="C2928" s="4">
        <v>171.95149729945379</v>
      </c>
      <c r="D2928" s="45"/>
    </row>
    <row r="2929" spans="2:4" ht="16" thickBot="1" x14ac:dyDescent="0.25">
      <c r="B2929" s="5">
        <v>2924</v>
      </c>
      <c r="C2929" s="5">
        <v>94.42307694688877</v>
      </c>
      <c r="D2929" s="45"/>
    </row>
    <row r="2930" spans="2:4" ht="16" thickBot="1" x14ac:dyDescent="0.25">
      <c r="B2930" s="4">
        <v>2925</v>
      </c>
      <c r="C2930" s="4">
        <v>217.81470601459506</v>
      </c>
      <c r="D2930" s="45"/>
    </row>
    <row r="2931" spans="2:4" ht="16" thickBot="1" x14ac:dyDescent="0.25">
      <c r="B2931" s="5">
        <v>2926</v>
      </c>
      <c r="C2931" s="5">
        <v>111.68125887341002</v>
      </c>
      <c r="D2931" s="45"/>
    </row>
    <row r="2932" spans="2:4" ht="16" thickBot="1" x14ac:dyDescent="0.25">
      <c r="B2932" s="4">
        <v>2927</v>
      </c>
      <c r="C2932" s="4">
        <v>45.171131332388526</v>
      </c>
      <c r="D2932" s="45"/>
    </row>
    <row r="2933" spans="2:4" ht="16" thickBot="1" x14ac:dyDescent="0.25">
      <c r="B2933" s="5">
        <v>2928</v>
      </c>
      <c r="C2933" s="5">
        <v>59.083067983702279</v>
      </c>
      <c r="D2933" s="45"/>
    </row>
    <row r="2934" spans="2:4" ht="16" thickBot="1" x14ac:dyDescent="0.25">
      <c r="B2934" s="4">
        <v>2929</v>
      </c>
      <c r="C2934" s="4">
        <v>207.05054366896641</v>
      </c>
      <c r="D2934" s="45"/>
    </row>
    <row r="2935" spans="2:4" ht="16" thickBot="1" x14ac:dyDescent="0.25">
      <c r="B2935" s="5">
        <v>2930</v>
      </c>
      <c r="C2935" s="5">
        <v>148.09992205466179</v>
      </c>
      <c r="D2935" s="45"/>
    </row>
    <row r="2936" spans="2:4" ht="16" thickBot="1" x14ac:dyDescent="0.25">
      <c r="B2936" s="4">
        <v>2931</v>
      </c>
      <c r="C2936" s="4">
        <v>114.7153755579649</v>
      </c>
      <c r="D2936" s="45"/>
    </row>
    <row r="2937" spans="2:4" ht="16" thickBot="1" x14ac:dyDescent="0.25">
      <c r="B2937" s="5">
        <v>2932</v>
      </c>
      <c r="C2937" s="5">
        <v>211.66283618195573</v>
      </c>
      <c r="D2937" s="45"/>
    </row>
    <row r="2938" spans="2:4" ht="16" thickBot="1" x14ac:dyDescent="0.25">
      <c r="B2938" s="4">
        <v>2933</v>
      </c>
      <c r="C2938" s="4">
        <v>163.94707361393532</v>
      </c>
      <c r="D2938" s="45"/>
    </row>
    <row r="2939" spans="2:4" ht="16" thickBot="1" x14ac:dyDescent="0.25">
      <c r="B2939" s="5">
        <v>2934</v>
      </c>
      <c r="C2939" s="5">
        <v>196.30679993102552</v>
      </c>
      <c r="D2939" s="45"/>
    </row>
    <row r="2940" spans="2:4" ht="16" thickBot="1" x14ac:dyDescent="0.25">
      <c r="B2940" s="4">
        <v>2935</v>
      </c>
      <c r="C2940" s="4">
        <v>132.75280316006103</v>
      </c>
      <c r="D2940" s="45"/>
    </row>
    <row r="2941" spans="2:4" ht="16" thickBot="1" x14ac:dyDescent="0.25">
      <c r="B2941" s="5">
        <v>2936</v>
      </c>
      <c r="C2941" s="5">
        <v>72.269382158543763</v>
      </c>
      <c r="D2941" s="45"/>
    </row>
    <row r="2942" spans="2:4" ht="16" thickBot="1" x14ac:dyDescent="0.25">
      <c r="B2942" s="4">
        <v>2937</v>
      </c>
      <c r="C2942" s="4">
        <v>134.76090832924257</v>
      </c>
      <c r="D2942" s="45"/>
    </row>
    <row r="2943" spans="2:4" ht="16" thickBot="1" x14ac:dyDescent="0.25">
      <c r="B2943" s="5">
        <v>2938</v>
      </c>
      <c r="C2943" s="5">
        <v>210.05491767274876</v>
      </c>
      <c r="D2943" s="45"/>
    </row>
    <row r="2944" spans="2:4" ht="16" thickBot="1" x14ac:dyDescent="0.25">
      <c r="B2944" s="4">
        <v>2939</v>
      </c>
      <c r="C2944" s="4">
        <v>228.34657563923528</v>
      </c>
      <c r="D2944" s="45"/>
    </row>
    <row r="2945" spans="2:4" ht="16" thickBot="1" x14ac:dyDescent="0.25">
      <c r="B2945" s="5">
        <v>2940</v>
      </c>
      <c r="C2945" s="5">
        <v>82.383793802144751</v>
      </c>
      <c r="D2945" s="45"/>
    </row>
    <row r="2946" spans="2:4" ht="16" thickBot="1" x14ac:dyDescent="0.25">
      <c r="B2946" s="4">
        <v>2941</v>
      </c>
      <c r="C2946" s="4">
        <v>66.282754034515207</v>
      </c>
      <c r="D2946" s="45"/>
    </row>
    <row r="2947" spans="2:4" ht="16" thickBot="1" x14ac:dyDescent="0.25">
      <c r="B2947" s="5">
        <v>2942</v>
      </c>
      <c r="C2947" s="5">
        <v>288.24850105878664</v>
      </c>
      <c r="D2947" s="45"/>
    </row>
    <row r="2948" spans="2:4" ht="16" thickBot="1" x14ac:dyDescent="0.25">
      <c r="B2948" s="4">
        <v>2943</v>
      </c>
      <c r="C2948" s="4">
        <v>127.47363864839102</v>
      </c>
      <c r="D2948" s="45"/>
    </row>
    <row r="2949" spans="2:4" ht="16" thickBot="1" x14ac:dyDescent="0.25">
      <c r="B2949" s="5">
        <v>2944</v>
      </c>
      <c r="C2949" s="5">
        <v>209.70629482912631</v>
      </c>
      <c r="D2949" s="45"/>
    </row>
    <row r="2950" spans="2:4" ht="16" thickBot="1" x14ac:dyDescent="0.25">
      <c r="B2950" s="4">
        <v>2945</v>
      </c>
      <c r="C2950" s="4">
        <v>110.97763457648296</v>
      </c>
      <c r="D2950" s="45"/>
    </row>
    <row r="2951" spans="2:4" ht="16" thickBot="1" x14ac:dyDescent="0.25">
      <c r="B2951" s="5">
        <v>2946</v>
      </c>
      <c r="C2951" s="5">
        <v>64.493807076083399</v>
      </c>
      <c r="D2951" s="45"/>
    </row>
    <row r="2952" spans="2:4" ht="16" thickBot="1" x14ac:dyDescent="0.25">
      <c r="B2952" s="4">
        <v>2947</v>
      </c>
      <c r="C2952" s="4">
        <v>81.238174485814383</v>
      </c>
      <c r="D2952" s="45"/>
    </row>
    <row r="2953" spans="2:4" ht="16" thickBot="1" x14ac:dyDescent="0.25">
      <c r="B2953" s="5">
        <v>2948</v>
      </c>
      <c r="C2953" s="5">
        <v>429.93883867678119</v>
      </c>
      <c r="D2953" s="45"/>
    </row>
    <row r="2954" spans="2:4" ht="16" thickBot="1" x14ac:dyDescent="0.25">
      <c r="B2954" s="4">
        <v>2949</v>
      </c>
      <c r="C2954" s="4">
        <v>268.53161876781968</v>
      </c>
      <c r="D2954" s="45"/>
    </row>
    <row r="2955" spans="2:4" ht="16" thickBot="1" x14ac:dyDescent="0.25">
      <c r="B2955" s="5">
        <v>2950</v>
      </c>
      <c r="C2955" s="5">
        <v>195.72021177120121</v>
      </c>
      <c r="D2955" s="45"/>
    </row>
    <row r="2956" spans="2:4" ht="16" thickBot="1" x14ac:dyDescent="0.25">
      <c r="B2956" s="4">
        <v>2951</v>
      </c>
      <c r="C2956" s="4">
        <v>96.571660208081823</v>
      </c>
      <c r="D2956" s="45"/>
    </row>
    <row r="2957" spans="2:4" ht="16" thickBot="1" x14ac:dyDescent="0.25">
      <c r="B2957" s="5">
        <v>2952</v>
      </c>
      <c r="C2957" s="5">
        <v>191.91705858910044</v>
      </c>
      <c r="D2957" s="45"/>
    </row>
    <row r="2958" spans="2:4" ht="16" thickBot="1" x14ac:dyDescent="0.25">
      <c r="B2958" s="4">
        <v>2953</v>
      </c>
      <c r="C2958" s="4">
        <v>133.06844667515028</v>
      </c>
      <c r="D2958" s="45"/>
    </row>
    <row r="2959" spans="2:4" ht="16" thickBot="1" x14ac:dyDescent="0.25">
      <c r="B2959" s="5">
        <v>2954</v>
      </c>
      <c r="C2959" s="5">
        <v>178.00912755459061</v>
      </c>
      <c r="D2959" s="45"/>
    </row>
    <row r="2960" spans="2:4" ht="16" thickBot="1" x14ac:dyDescent="0.25">
      <c r="B2960" s="4">
        <v>2955</v>
      </c>
      <c r="C2960" s="4">
        <v>330.28655041875857</v>
      </c>
      <c r="D2960" s="45"/>
    </row>
    <row r="2961" spans="2:4" ht="16" thickBot="1" x14ac:dyDescent="0.25">
      <c r="B2961" s="5">
        <v>2956</v>
      </c>
      <c r="C2961" s="5">
        <v>68.962768073496889</v>
      </c>
      <c r="D2961" s="45"/>
    </row>
    <row r="2962" spans="2:4" ht="16" thickBot="1" x14ac:dyDescent="0.25">
      <c r="B2962" s="4">
        <v>2957</v>
      </c>
      <c r="C2962" s="4">
        <v>131.67590047918699</v>
      </c>
      <c r="D2962" s="45"/>
    </row>
    <row r="2963" spans="2:4" ht="16" thickBot="1" x14ac:dyDescent="0.25">
      <c r="B2963" s="5">
        <v>2958</v>
      </c>
      <c r="C2963" s="5">
        <v>88.76703661298771</v>
      </c>
      <c r="D2963" s="45"/>
    </row>
    <row r="2964" spans="2:4" ht="16" thickBot="1" x14ac:dyDescent="0.25">
      <c r="B2964" s="4">
        <v>2959</v>
      </c>
      <c r="C2964" s="4">
        <v>128.87167533711443</v>
      </c>
      <c r="D2964" s="45"/>
    </row>
    <row r="2965" spans="2:4" ht="16" thickBot="1" x14ac:dyDescent="0.25">
      <c r="B2965" s="5">
        <v>2960</v>
      </c>
      <c r="C2965" s="5">
        <v>366.55096589861728</v>
      </c>
      <c r="D2965" s="45"/>
    </row>
    <row r="2966" spans="2:4" ht="16" thickBot="1" x14ac:dyDescent="0.25">
      <c r="B2966" s="4">
        <v>2961</v>
      </c>
      <c r="C2966" s="4">
        <v>335.07105802099977</v>
      </c>
      <c r="D2966" s="45"/>
    </row>
    <row r="2967" spans="2:4" ht="16" thickBot="1" x14ac:dyDescent="0.25">
      <c r="B2967" s="5">
        <v>2962</v>
      </c>
      <c r="C2967" s="5">
        <v>97.081362341869536</v>
      </c>
      <c r="D2967" s="45"/>
    </row>
    <row r="2968" spans="2:4" ht="16" thickBot="1" x14ac:dyDescent="0.25">
      <c r="B2968" s="4">
        <v>2963</v>
      </c>
      <c r="C2968" s="4">
        <v>89.96035683710528</v>
      </c>
      <c r="D2968" s="45"/>
    </row>
    <row r="2969" spans="2:4" ht="16" thickBot="1" x14ac:dyDescent="0.25">
      <c r="B2969" s="5">
        <v>2964</v>
      </c>
      <c r="C2969" s="5">
        <v>144.33444840173928</v>
      </c>
      <c r="D2969" s="45"/>
    </row>
    <row r="2970" spans="2:4" ht="16" thickBot="1" x14ac:dyDescent="0.25">
      <c r="B2970" s="4">
        <v>2965</v>
      </c>
      <c r="C2970" s="4">
        <v>125.64386102056</v>
      </c>
      <c r="D2970" s="45"/>
    </row>
    <row r="2971" spans="2:4" ht="16" thickBot="1" x14ac:dyDescent="0.25">
      <c r="B2971" s="5">
        <v>2966</v>
      </c>
      <c r="C2971" s="5">
        <v>157.40283373939451</v>
      </c>
      <c r="D2971" s="45"/>
    </row>
    <row r="2972" spans="2:4" ht="16" thickBot="1" x14ac:dyDescent="0.25">
      <c r="B2972" s="4">
        <v>2967</v>
      </c>
      <c r="C2972" s="4">
        <v>114.69837814998426</v>
      </c>
      <c r="D2972" s="45"/>
    </row>
    <row r="2973" spans="2:4" ht="16" thickBot="1" x14ac:dyDescent="0.25">
      <c r="B2973" s="5">
        <v>2968</v>
      </c>
      <c r="C2973" s="5">
        <v>197.03670421624383</v>
      </c>
      <c r="D2973" s="45"/>
    </row>
    <row r="2974" spans="2:4" ht="16" thickBot="1" x14ac:dyDescent="0.25">
      <c r="B2974" s="4">
        <v>2969</v>
      </c>
      <c r="C2974" s="4">
        <v>52.693191254277735</v>
      </c>
      <c r="D2974" s="45"/>
    </row>
    <row r="2975" spans="2:4" ht="16" thickBot="1" x14ac:dyDescent="0.25">
      <c r="B2975" s="5">
        <v>2970</v>
      </c>
      <c r="C2975" s="5">
        <v>138.0903443323798</v>
      </c>
      <c r="D2975" s="45"/>
    </row>
    <row r="2976" spans="2:4" ht="16" thickBot="1" x14ac:dyDescent="0.25">
      <c r="B2976" s="4">
        <v>2971</v>
      </c>
      <c r="C2976" s="4">
        <v>216.43493552560258</v>
      </c>
      <c r="D2976" s="45"/>
    </row>
    <row r="2977" spans="2:4" ht="16" thickBot="1" x14ac:dyDescent="0.25">
      <c r="B2977" s="5">
        <v>2972</v>
      </c>
      <c r="C2977" s="5">
        <v>109.00906948937548</v>
      </c>
      <c r="D2977" s="45"/>
    </row>
    <row r="2978" spans="2:4" ht="16" thickBot="1" x14ac:dyDescent="0.25">
      <c r="B2978" s="4">
        <v>2973</v>
      </c>
      <c r="C2978" s="4">
        <v>158.64167515273863</v>
      </c>
      <c r="D2978" s="45"/>
    </row>
    <row r="2979" spans="2:4" ht="16" thickBot="1" x14ac:dyDescent="0.25">
      <c r="B2979" s="5">
        <v>2974</v>
      </c>
      <c r="C2979" s="5">
        <v>206.07194597888991</v>
      </c>
      <c r="D2979" s="45"/>
    </row>
    <row r="2980" spans="2:4" ht="16" thickBot="1" x14ac:dyDescent="0.25">
      <c r="B2980" s="4">
        <v>2975</v>
      </c>
      <c r="C2980" s="4">
        <v>217.58603388283234</v>
      </c>
      <c r="D2980" s="45"/>
    </row>
    <row r="2981" spans="2:4" ht="16" thickBot="1" x14ac:dyDescent="0.25">
      <c r="B2981" s="5">
        <v>2976</v>
      </c>
      <c r="C2981" s="5">
        <v>101.04547750843939</v>
      </c>
      <c r="D2981" s="45"/>
    </row>
    <row r="2982" spans="2:4" ht="16" thickBot="1" x14ac:dyDescent="0.25">
      <c r="B2982" s="4">
        <v>2977</v>
      </c>
      <c r="C2982" s="4">
        <v>291.3526867019454</v>
      </c>
      <c r="D2982" s="45"/>
    </row>
    <row r="2983" spans="2:4" ht="16" thickBot="1" x14ac:dyDescent="0.25">
      <c r="B2983" s="5">
        <v>2978</v>
      </c>
      <c r="C2983" s="5">
        <v>66.004491660667512</v>
      </c>
      <c r="D2983" s="45"/>
    </row>
    <row r="2984" spans="2:4" ht="16" thickBot="1" x14ac:dyDescent="0.25">
      <c r="B2984" s="4">
        <v>2979</v>
      </c>
      <c r="C2984" s="4">
        <v>187.25262201579577</v>
      </c>
      <c r="D2984" s="45"/>
    </row>
    <row r="2985" spans="2:4" ht="16" thickBot="1" x14ac:dyDescent="0.25">
      <c r="B2985" s="5">
        <v>2980</v>
      </c>
      <c r="C2985" s="5">
        <v>94.647665539474417</v>
      </c>
      <c r="D2985" s="45"/>
    </row>
    <row r="2986" spans="2:4" ht="16" thickBot="1" x14ac:dyDescent="0.25">
      <c r="B2986" s="4">
        <v>2981</v>
      </c>
      <c r="C2986" s="4">
        <v>66.456319671684994</v>
      </c>
      <c r="D2986" s="45"/>
    </row>
    <row r="2987" spans="2:4" ht="16" thickBot="1" x14ac:dyDescent="0.25">
      <c r="B2987" s="5">
        <v>2982</v>
      </c>
      <c r="C2987" s="5">
        <v>142.23139778720559</v>
      </c>
      <c r="D2987" s="45"/>
    </row>
    <row r="2988" spans="2:4" ht="16" thickBot="1" x14ac:dyDescent="0.25">
      <c r="B2988" s="4">
        <v>2983</v>
      </c>
      <c r="C2988" s="4">
        <v>151.49031132318456</v>
      </c>
      <c r="D2988" s="45"/>
    </row>
    <row r="2989" spans="2:4" ht="16" thickBot="1" x14ac:dyDescent="0.25">
      <c r="B2989" s="5">
        <v>2984</v>
      </c>
      <c r="C2989" s="5">
        <v>174.70413099466768</v>
      </c>
      <c r="D2989" s="45"/>
    </row>
    <row r="2990" spans="2:4" ht="16" thickBot="1" x14ac:dyDescent="0.25">
      <c r="B2990" s="4">
        <v>2985</v>
      </c>
      <c r="C2990" s="4">
        <v>110.31824034085268</v>
      </c>
      <c r="D2990" s="45"/>
    </row>
    <row r="2991" spans="2:4" ht="16" thickBot="1" x14ac:dyDescent="0.25">
      <c r="B2991" s="5">
        <v>2986</v>
      </c>
      <c r="C2991" s="5">
        <v>245.84270504475322</v>
      </c>
      <c r="D2991" s="45"/>
    </row>
    <row r="2992" spans="2:4" ht="16" thickBot="1" x14ac:dyDescent="0.25">
      <c r="B2992" s="4">
        <v>2987</v>
      </c>
      <c r="C2992" s="4">
        <v>158.70526869973099</v>
      </c>
      <c r="D2992" s="45"/>
    </row>
    <row r="2993" spans="2:4" ht="16" thickBot="1" x14ac:dyDescent="0.25">
      <c r="B2993" s="5">
        <v>2988</v>
      </c>
      <c r="C2993" s="5">
        <v>145.17902796756894</v>
      </c>
      <c r="D2993" s="45"/>
    </row>
    <row r="2994" spans="2:4" ht="16" thickBot="1" x14ac:dyDescent="0.25">
      <c r="B2994" s="4">
        <v>2989</v>
      </c>
      <c r="C2994" s="4">
        <v>135.09421339603728</v>
      </c>
      <c r="D2994" s="45"/>
    </row>
    <row r="2995" spans="2:4" ht="16" thickBot="1" x14ac:dyDescent="0.25">
      <c r="B2995" s="5">
        <v>2990</v>
      </c>
      <c r="C2995" s="5">
        <v>121.97238685389318</v>
      </c>
      <c r="D2995" s="45"/>
    </row>
    <row r="2996" spans="2:4" ht="16" thickBot="1" x14ac:dyDescent="0.25">
      <c r="B2996" s="4">
        <v>2991</v>
      </c>
      <c r="C2996" s="4">
        <v>202.0314278355778</v>
      </c>
      <c r="D2996" s="45"/>
    </row>
    <row r="2997" spans="2:4" ht="16" thickBot="1" x14ac:dyDescent="0.25">
      <c r="B2997" s="5">
        <v>2992</v>
      </c>
      <c r="C2997" s="5">
        <v>253.91113880233502</v>
      </c>
      <c r="D2997" s="45"/>
    </row>
    <row r="2998" spans="2:4" ht="16" thickBot="1" x14ac:dyDescent="0.25">
      <c r="B2998" s="4">
        <v>2993</v>
      </c>
      <c r="C2998" s="4">
        <v>234.76128105546516</v>
      </c>
      <c r="D2998" s="45"/>
    </row>
    <row r="2999" spans="2:4" ht="16" thickBot="1" x14ac:dyDescent="0.25">
      <c r="B2999" s="5">
        <v>2994</v>
      </c>
      <c r="C2999" s="5">
        <v>58.819748912076136</v>
      </c>
      <c r="D2999" s="45"/>
    </row>
    <row r="3000" spans="2:4" ht="16" thickBot="1" x14ac:dyDescent="0.25">
      <c r="B3000" s="4">
        <v>2995</v>
      </c>
      <c r="C3000" s="4">
        <v>62.998225768414031</v>
      </c>
      <c r="D3000" s="45"/>
    </row>
    <row r="3001" spans="2:4" ht="16" thickBot="1" x14ac:dyDescent="0.25">
      <c r="B3001" s="5">
        <v>2996</v>
      </c>
      <c r="C3001" s="5">
        <v>171.89421266691505</v>
      </c>
      <c r="D3001" s="45"/>
    </row>
    <row r="3002" spans="2:4" ht="16" thickBot="1" x14ac:dyDescent="0.25">
      <c r="B3002" s="4">
        <v>2997</v>
      </c>
      <c r="C3002" s="4">
        <v>138.18970217526191</v>
      </c>
      <c r="D3002" s="45"/>
    </row>
    <row r="3003" spans="2:4" ht="16" thickBot="1" x14ac:dyDescent="0.25">
      <c r="B3003" s="5">
        <v>2998</v>
      </c>
      <c r="C3003" s="5">
        <v>167.22282903967096</v>
      </c>
      <c r="D3003" s="45"/>
    </row>
    <row r="3004" spans="2:4" ht="16" thickBot="1" x14ac:dyDescent="0.25">
      <c r="B3004" s="4">
        <v>2999</v>
      </c>
      <c r="C3004" s="4">
        <v>112.18523818458458</v>
      </c>
      <c r="D3004" s="45"/>
    </row>
    <row r="3005" spans="2:4" ht="16" thickBot="1" x14ac:dyDescent="0.25">
      <c r="B3005" s="5">
        <v>3000</v>
      </c>
      <c r="C3005" s="5">
        <v>67.854252023946913</v>
      </c>
      <c r="D3005" s="45"/>
    </row>
    <row r="3006" spans="2:4" ht="16" thickBot="1" x14ac:dyDescent="0.25">
      <c r="B3006" s="4">
        <v>3001</v>
      </c>
      <c r="C3006" s="4">
        <v>68.344371484221156</v>
      </c>
      <c r="D3006" s="45"/>
    </row>
    <row r="3007" spans="2:4" ht="16" thickBot="1" x14ac:dyDescent="0.25">
      <c r="B3007" s="5">
        <v>3002</v>
      </c>
      <c r="C3007" s="5">
        <v>123.64944041190058</v>
      </c>
      <c r="D3007" s="45"/>
    </row>
    <row r="3008" spans="2:4" ht="16" thickBot="1" x14ac:dyDescent="0.25">
      <c r="B3008" s="4">
        <v>3003</v>
      </c>
      <c r="C3008" s="4">
        <v>109.51325607242509</v>
      </c>
      <c r="D3008" s="45"/>
    </row>
    <row r="3009" spans="2:4" ht="16" thickBot="1" x14ac:dyDescent="0.25">
      <c r="B3009" s="5">
        <v>3004</v>
      </c>
      <c r="C3009" s="5">
        <v>144.05997514063168</v>
      </c>
      <c r="D3009" s="45"/>
    </row>
    <row r="3010" spans="2:4" ht="16" thickBot="1" x14ac:dyDescent="0.25">
      <c r="B3010" s="4">
        <v>3005</v>
      </c>
      <c r="C3010" s="4">
        <v>137.04309513338958</v>
      </c>
      <c r="D3010" s="45"/>
    </row>
    <row r="3011" spans="2:4" ht="16" thickBot="1" x14ac:dyDescent="0.25">
      <c r="B3011" s="5">
        <v>3006</v>
      </c>
      <c r="C3011" s="5">
        <v>172.18242397713587</v>
      </c>
      <c r="D3011" s="45"/>
    </row>
    <row r="3012" spans="2:4" ht="16" thickBot="1" x14ac:dyDescent="0.25">
      <c r="B3012" s="4">
        <v>3007</v>
      </c>
      <c r="C3012" s="4">
        <v>104.63928141477797</v>
      </c>
      <c r="D3012" s="45"/>
    </row>
    <row r="3013" spans="2:4" ht="16" thickBot="1" x14ac:dyDescent="0.25">
      <c r="B3013" s="5">
        <v>3008</v>
      </c>
      <c r="C3013" s="5">
        <v>174.11692156463914</v>
      </c>
      <c r="D3013" s="45"/>
    </row>
    <row r="3014" spans="2:4" ht="16" thickBot="1" x14ac:dyDescent="0.25">
      <c r="B3014" s="4">
        <v>3009</v>
      </c>
      <c r="C3014" s="4">
        <v>76.567926934530476</v>
      </c>
      <c r="D3014" s="45"/>
    </row>
    <row r="3015" spans="2:4" ht="16" thickBot="1" x14ac:dyDescent="0.25">
      <c r="B3015" s="5">
        <v>3010</v>
      </c>
      <c r="C3015" s="5">
        <v>69.667750822325033</v>
      </c>
      <c r="D3015" s="45"/>
    </row>
    <row r="3016" spans="2:4" ht="16" thickBot="1" x14ac:dyDescent="0.25">
      <c r="B3016" s="4">
        <v>3011</v>
      </c>
      <c r="C3016" s="4">
        <v>53.724145239385464</v>
      </c>
      <c r="D3016" s="45"/>
    </row>
    <row r="3017" spans="2:4" ht="16" thickBot="1" x14ac:dyDescent="0.25">
      <c r="B3017" s="5">
        <v>3012</v>
      </c>
      <c r="C3017" s="5">
        <v>218.64901739865286</v>
      </c>
      <c r="D3017" s="45"/>
    </row>
    <row r="3018" spans="2:4" ht="16" thickBot="1" x14ac:dyDescent="0.25">
      <c r="B3018" s="4">
        <v>3013</v>
      </c>
      <c r="C3018" s="4">
        <v>136.72290134010629</v>
      </c>
      <c r="D3018" s="45"/>
    </row>
    <row r="3019" spans="2:4" ht="16" thickBot="1" x14ac:dyDescent="0.25">
      <c r="B3019" s="5">
        <v>3014</v>
      </c>
      <c r="C3019" s="5">
        <v>397.00367837272603</v>
      </c>
      <c r="D3019" s="45"/>
    </row>
    <row r="3020" spans="2:4" ht="16" thickBot="1" x14ac:dyDescent="0.25">
      <c r="B3020" s="4">
        <v>3015</v>
      </c>
      <c r="C3020" s="4">
        <v>163.5720595197468</v>
      </c>
      <c r="D3020" s="45"/>
    </row>
    <row r="3021" spans="2:4" ht="16" thickBot="1" x14ac:dyDescent="0.25">
      <c r="B3021" s="5">
        <v>3016</v>
      </c>
      <c r="C3021" s="5">
        <v>228.58118427083315</v>
      </c>
      <c r="D3021" s="45"/>
    </row>
    <row r="3022" spans="2:4" ht="16" thickBot="1" x14ac:dyDescent="0.25">
      <c r="B3022" s="4">
        <v>3017</v>
      </c>
      <c r="C3022" s="4">
        <v>240.69824306163298</v>
      </c>
      <c r="D3022" s="45"/>
    </row>
    <row r="3023" spans="2:4" ht="16" thickBot="1" x14ac:dyDescent="0.25">
      <c r="B3023" s="5">
        <v>3018</v>
      </c>
      <c r="C3023" s="5">
        <v>101.52525534746995</v>
      </c>
      <c r="D3023" s="45"/>
    </row>
    <row r="3024" spans="2:4" ht="16" thickBot="1" x14ac:dyDescent="0.25">
      <c r="B3024" s="4">
        <v>3019</v>
      </c>
      <c r="C3024" s="4">
        <v>107.02195403589435</v>
      </c>
      <c r="D3024" s="45"/>
    </row>
    <row r="3025" spans="2:4" ht="16" thickBot="1" x14ac:dyDescent="0.25">
      <c r="B3025" s="5">
        <v>3020</v>
      </c>
      <c r="C3025" s="5">
        <v>80.226088200777014</v>
      </c>
      <c r="D3025" s="45"/>
    </row>
    <row r="3026" spans="2:4" ht="16" thickBot="1" x14ac:dyDescent="0.25">
      <c r="B3026" s="4">
        <v>3021</v>
      </c>
      <c r="C3026" s="4">
        <v>180.27103260908709</v>
      </c>
      <c r="D3026" s="45"/>
    </row>
    <row r="3027" spans="2:4" ht="16" thickBot="1" x14ac:dyDescent="0.25">
      <c r="B3027" s="5">
        <v>3022</v>
      </c>
      <c r="C3027" s="5">
        <v>149.92690357625503</v>
      </c>
      <c r="D3027" s="45"/>
    </row>
    <row r="3028" spans="2:4" ht="16" thickBot="1" x14ac:dyDescent="0.25">
      <c r="B3028" s="4">
        <v>3023</v>
      </c>
      <c r="C3028" s="4">
        <v>187.58376979010382</v>
      </c>
      <c r="D3028" s="45"/>
    </row>
    <row r="3029" spans="2:4" ht="16" thickBot="1" x14ac:dyDescent="0.25">
      <c r="B3029" s="5">
        <v>3024</v>
      </c>
      <c r="C3029" s="5">
        <v>260.68793327491358</v>
      </c>
      <c r="D3029" s="45"/>
    </row>
    <row r="3030" spans="2:4" ht="16" thickBot="1" x14ac:dyDescent="0.25">
      <c r="B3030" s="4">
        <v>3025</v>
      </c>
      <c r="C3030" s="4">
        <v>75.315825518989527</v>
      </c>
      <c r="D3030" s="45"/>
    </row>
    <row r="3031" spans="2:4" ht="16" thickBot="1" x14ac:dyDescent="0.25">
      <c r="B3031" s="5">
        <v>3026</v>
      </c>
      <c r="C3031" s="5">
        <v>216.33116636573251</v>
      </c>
      <c r="D3031" s="45"/>
    </row>
    <row r="3032" spans="2:4" ht="16" thickBot="1" x14ac:dyDescent="0.25">
      <c r="B3032" s="4">
        <v>3027</v>
      </c>
      <c r="C3032" s="4">
        <v>110.03027358056502</v>
      </c>
      <c r="D3032" s="45"/>
    </row>
    <row r="3033" spans="2:4" ht="16" thickBot="1" x14ac:dyDescent="0.25">
      <c r="B3033" s="5">
        <v>3028</v>
      </c>
      <c r="C3033" s="5">
        <v>233.46505898973135</v>
      </c>
      <c r="D3033" s="45"/>
    </row>
    <row r="3034" spans="2:4" ht="16" thickBot="1" x14ac:dyDescent="0.25">
      <c r="B3034" s="4">
        <v>3029</v>
      </c>
      <c r="C3034" s="4">
        <v>101.01788613544888</v>
      </c>
      <c r="D3034" s="45"/>
    </row>
    <row r="3035" spans="2:4" ht="16" thickBot="1" x14ac:dyDescent="0.25">
      <c r="B3035" s="5">
        <v>3030</v>
      </c>
      <c r="C3035" s="5">
        <v>92.83668116305158</v>
      </c>
      <c r="D3035" s="45"/>
    </row>
    <row r="3036" spans="2:4" ht="16" thickBot="1" x14ac:dyDescent="0.25">
      <c r="B3036" s="4">
        <v>3031</v>
      </c>
      <c r="C3036" s="4">
        <v>164.41526942014625</v>
      </c>
      <c r="D3036" s="45"/>
    </row>
    <row r="3037" spans="2:4" ht="16" thickBot="1" x14ac:dyDescent="0.25">
      <c r="B3037" s="5">
        <v>3032</v>
      </c>
      <c r="C3037" s="5">
        <v>305.68576262881555</v>
      </c>
      <c r="D3037" s="45"/>
    </row>
    <row r="3038" spans="2:4" ht="16" thickBot="1" x14ac:dyDescent="0.25">
      <c r="B3038" s="4">
        <v>3033</v>
      </c>
      <c r="C3038" s="4">
        <v>321.60691784280471</v>
      </c>
      <c r="D3038" s="45"/>
    </row>
    <row r="3039" spans="2:4" ht="16" thickBot="1" x14ac:dyDescent="0.25">
      <c r="B3039" s="5">
        <v>3034</v>
      </c>
      <c r="C3039" s="5">
        <v>363.13489841404567</v>
      </c>
      <c r="D3039" s="45"/>
    </row>
    <row r="3040" spans="2:4" ht="16" thickBot="1" x14ac:dyDescent="0.25">
      <c r="B3040" s="4">
        <v>3035</v>
      </c>
      <c r="C3040" s="4">
        <v>98.519997989531689</v>
      </c>
      <c r="D3040" s="45"/>
    </row>
    <row r="3041" spans="2:4" ht="16" thickBot="1" x14ac:dyDescent="0.25">
      <c r="B3041" s="5">
        <v>3036</v>
      </c>
      <c r="C3041" s="5">
        <v>153.88899501547297</v>
      </c>
      <c r="D3041" s="45"/>
    </row>
    <row r="3042" spans="2:4" ht="16" thickBot="1" x14ac:dyDescent="0.25">
      <c r="B3042" s="4">
        <v>3037</v>
      </c>
      <c r="C3042" s="4">
        <v>191.98748904165123</v>
      </c>
      <c r="D3042" s="45"/>
    </row>
    <row r="3043" spans="2:4" ht="16" thickBot="1" x14ac:dyDescent="0.25">
      <c r="B3043" s="5">
        <v>3038</v>
      </c>
      <c r="C3043" s="5">
        <v>312.15065185928268</v>
      </c>
      <c r="D3043" s="45"/>
    </row>
    <row r="3044" spans="2:4" ht="16" thickBot="1" x14ac:dyDescent="0.25">
      <c r="B3044" s="4">
        <v>3039</v>
      </c>
      <c r="C3044" s="4">
        <v>192.11019719710583</v>
      </c>
      <c r="D3044" s="45"/>
    </row>
    <row r="3045" spans="2:4" ht="16" thickBot="1" x14ac:dyDescent="0.25">
      <c r="B3045" s="5">
        <v>3040</v>
      </c>
      <c r="C3045" s="5">
        <v>149.985753701985</v>
      </c>
      <c r="D3045" s="45"/>
    </row>
    <row r="3046" spans="2:4" ht="16" thickBot="1" x14ac:dyDescent="0.25">
      <c r="B3046" s="4">
        <v>3041</v>
      </c>
      <c r="C3046" s="4">
        <v>139.76935416534459</v>
      </c>
      <c r="D3046" s="45"/>
    </row>
    <row r="3047" spans="2:4" ht="16" thickBot="1" x14ac:dyDescent="0.25">
      <c r="B3047" s="5">
        <v>3042</v>
      </c>
      <c r="C3047" s="5">
        <v>172.61960037677642</v>
      </c>
      <c r="D3047" s="45"/>
    </row>
    <row r="3048" spans="2:4" ht="16" thickBot="1" x14ac:dyDescent="0.25">
      <c r="B3048" s="4">
        <v>3043</v>
      </c>
      <c r="C3048" s="4">
        <v>121.96424494427819</v>
      </c>
      <c r="D3048" s="45"/>
    </row>
    <row r="3049" spans="2:4" ht="16" thickBot="1" x14ac:dyDescent="0.25">
      <c r="B3049" s="5">
        <v>3044</v>
      </c>
      <c r="C3049" s="5">
        <v>171.39474818991758</v>
      </c>
      <c r="D3049" s="45"/>
    </row>
    <row r="3050" spans="2:4" ht="16" thickBot="1" x14ac:dyDescent="0.25">
      <c r="B3050" s="4">
        <v>3045</v>
      </c>
      <c r="C3050" s="4">
        <v>98.436634828617045</v>
      </c>
      <c r="D3050" s="45"/>
    </row>
    <row r="3051" spans="2:4" ht="16" thickBot="1" x14ac:dyDescent="0.25">
      <c r="B3051" s="5">
        <v>3046</v>
      </c>
      <c r="C3051" s="5">
        <v>220.09873839813571</v>
      </c>
      <c r="D3051" s="45"/>
    </row>
    <row r="3052" spans="2:4" ht="16" thickBot="1" x14ac:dyDescent="0.25">
      <c r="B3052" s="4">
        <v>3047</v>
      </c>
      <c r="C3052" s="4">
        <v>227.65117768150873</v>
      </c>
      <c r="D3052" s="45"/>
    </row>
    <row r="3053" spans="2:4" ht="16" thickBot="1" x14ac:dyDescent="0.25">
      <c r="B3053" s="5">
        <v>3048</v>
      </c>
      <c r="C3053" s="5">
        <v>97.626279210867082</v>
      </c>
      <c r="D3053" s="45"/>
    </row>
    <row r="3054" spans="2:4" ht="16" thickBot="1" x14ac:dyDescent="0.25">
      <c r="B3054" s="4">
        <v>3049</v>
      </c>
      <c r="C3054" s="4">
        <v>205.30082499097068</v>
      </c>
      <c r="D3054" s="45"/>
    </row>
    <row r="3055" spans="2:4" ht="16" thickBot="1" x14ac:dyDescent="0.25">
      <c r="B3055" s="5">
        <v>3050</v>
      </c>
      <c r="C3055" s="5">
        <v>302.34084667789585</v>
      </c>
      <c r="D3055" s="45"/>
    </row>
    <row r="3056" spans="2:4" ht="16" thickBot="1" x14ac:dyDescent="0.25">
      <c r="B3056" s="4">
        <v>3051</v>
      </c>
      <c r="C3056" s="4">
        <v>102.41762315739066</v>
      </c>
      <c r="D3056" s="45"/>
    </row>
    <row r="3057" spans="2:4" ht="16" thickBot="1" x14ac:dyDescent="0.25">
      <c r="B3057" s="5">
        <v>3052</v>
      </c>
      <c r="C3057" s="5">
        <v>108.33302731111745</v>
      </c>
      <c r="D3057" s="45"/>
    </row>
    <row r="3058" spans="2:4" ht="16" thickBot="1" x14ac:dyDescent="0.25">
      <c r="B3058" s="4">
        <v>3053</v>
      </c>
      <c r="C3058" s="4">
        <v>87.618654891805392</v>
      </c>
      <c r="D3058" s="45"/>
    </row>
    <row r="3059" spans="2:4" ht="16" thickBot="1" x14ac:dyDescent="0.25">
      <c r="B3059" s="5">
        <v>3054</v>
      </c>
      <c r="C3059" s="5">
        <v>155.89748448300838</v>
      </c>
      <c r="D3059" s="45"/>
    </row>
    <row r="3060" spans="2:4" ht="16" thickBot="1" x14ac:dyDescent="0.25">
      <c r="B3060" s="4">
        <v>3055</v>
      </c>
      <c r="C3060" s="4">
        <v>177.12414950556629</v>
      </c>
      <c r="D3060" s="45"/>
    </row>
    <row r="3061" spans="2:4" ht="16" thickBot="1" x14ac:dyDescent="0.25">
      <c r="B3061" s="5">
        <v>3056</v>
      </c>
      <c r="C3061" s="5">
        <v>133.92815463966204</v>
      </c>
      <c r="D3061" s="45"/>
    </row>
    <row r="3062" spans="2:4" ht="16" thickBot="1" x14ac:dyDescent="0.25">
      <c r="B3062" s="4">
        <v>3057</v>
      </c>
      <c r="C3062" s="4">
        <v>130.05921366298972</v>
      </c>
      <c r="D3062" s="45"/>
    </row>
    <row r="3063" spans="2:4" ht="16" thickBot="1" x14ac:dyDescent="0.25">
      <c r="B3063" s="5">
        <v>3058</v>
      </c>
      <c r="C3063" s="5">
        <v>107.35917207696187</v>
      </c>
      <c r="D3063" s="45"/>
    </row>
    <row r="3064" spans="2:4" ht="16" thickBot="1" x14ac:dyDescent="0.25">
      <c r="B3064" s="4">
        <v>3059</v>
      </c>
      <c r="C3064" s="4">
        <v>234.35257438449003</v>
      </c>
      <c r="D3064" s="45"/>
    </row>
    <row r="3065" spans="2:4" ht="16" thickBot="1" x14ac:dyDescent="0.25">
      <c r="B3065" s="5">
        <v>3060</v>
      </c>
      <c r="C3065" s="5">
        <v>130.04407592923258</v>
      </c>
      <c r="D3065" s="45"/>
    </row>
    <row r="3066" spans="2:4" ht="16" thickBot="1" x14ac:dyDescent="0.25">
      <c r="B3066" s="4">
        <v>3061</v>
      </c>
      <c r="C3066" s="4">
        <v>140.91461886426097</v>
      </c>
      <c r="D3066" s="45"/>
    </row>
    <row r="3067" spans="2:4" ht="16" thickBot="1" x14ac:dyDescent="0.25">
      <c r="B3067" s="5">
        <v>3062</v>
      </c>
      <c r="C3067" s="5">
        <v>107.33489283740661</v>
      </c>
      <c r="D3067" s="45"/>
    </row>
    <row r="3068" spans="2:4" ht="16" thickBot="1" x14ac:dyDescent="0.25">
      <c r="B3068" s="4">
        <v>3063</v>
      </c>
      <c r="C3068" s="4">
        <v>221.34306014545857</v>
      </c>
      <c r="D3068" s="45"/>
    </row>
    <row r="3069" spans="2:4" ht="16" thickBot="1" x14ac:dyDescent="0.25">
      <c r="B3069" s="5">
        <v>3064</v>
      </c>
      <c r="C3069" s="5">
        <v>101.96035921466675</v>
      </c>
      <c r="D3069" s="45"/>
    </row>
    <row r="3070" spans="2:4" ht="16" thickBot="1" x14ac:dyDescent="0.25">
      <c r="B3070" s="4">
        <v>3065</v>
      </c>
      <c r="C3070" s="4">
        <v>385.45779677601871</v>
      </c>
      <c r="D3070" s="45"/>
    </row>
    <row r="3071" spans="2:4" ht="16" thickBot="1" x14ac:dyDescent="0.25">
      <c r="B3071" s="5">
        <v>3066</v>
      </c>
      <c r="C3071" s="5">
        <v>110.28092717653203</v>
      </c>
      <c r="D3071" s="45"/>
    </row>
    <row r="3072" spans="2:4" ht="16" thickBot="1" x14ac:dyDescent="0.25">
      <c r="B3072" s="4">
        <v>3067</v>
      </c>
      <c r="C3072" s="4">
        <v>350.8386427329076</v>
      </c>
      <c r="D3072" s="45"/>
    </row>
    <row r="3073" spans="2:4" ht="16" thickBot="1" x14ac:dyDescent="0.25">
      <c r="B3073" s="5">
        <v>3068</v>
      </c>
      <c r="C3073" s="5">
        <v>118.75370154913175</v>
      </c>
      <c r="D3073" s="45"/>
    </row>
    <row r="3074" spans="2:4" ht="16" thickBot="1" x14ac:dyDescent="0.25">
      <c r="B3074" s="4">
        <v>3069</v>
      </c>
      <c r="C3074" s="4">
        <v>195.84268267434038</v>
      </c>
      <c r="D3074" s="45"/>
    </row>
    <row r="3075" spans="2:4" ht="16" thickBot="1" x14ac:dyDescent="0.25">
      <c r="B3075" s="5">
        <v>3070</v>
      </c>
      <c r="C3075" s="5">
        <v>320.47726964858441</v>
      </c>
      <c r="D3075" s="45"/>
    </row>
    <row r="3076" spans="2:4" ht="16" thickBot="1" x14ac:dyDescent="0.25">
      <c r="B3076" s="4">
        <v>3071</v>
      </c>
      <c r="C3076" s="4">
        <v>207.25840687067662</v>
      </c>
      <c r="D3076" s="45"/>
    </row>
    <row r="3077" spans="2:4" ht="16" thickBot="1" x14ac:dyDescent="0.25">
      <c r="B3077" s="5">
        <v>3072</v>
      </c>
      <c r="C3077" s="5">
        <v>157.28187804234025</v>
      </c>
      <c r="D3077" s="45"/>
    </row>
    <row r="3078" spans="2:4" ht="16" thickBot="1" x14ac:dyDescent="0.25">
      <c r="B3078" s="4">
        <v>3073</v>
      </c>
      <c r="C3078" s="4">
        <v>90.065264999150799</v>
      </c>
      <c r="D3078" s="45"/>
    </row>
    <row r="3079" spans="2:4" ht="16" thickBot="1" x14ac:dyDescent="0.25">
      <c r="B3079" s="5">
        <v>3074</v>
      </c>
      <c r="C3079" s="5">
        <v>93.854863795212466</v>
      </c>
      <c r="D3079" s="45"/>
    </row>
    <row r="3080" spans="2:4" ht="16" thickBot="1" x14ac:dyDescent="0.25">
      <c r="B3080" s="4">
        <v>3075</v>
      </c>
      <c r="C3080" s="4">
        <v>176.28296463632338</v>
      </c>
      <c r="D3080" s="45"/>
    </row>
    <row r="3081" spans="2:4" ht="16" thickBot="1" x14ac:dyDescent="0.25">
      <c r="B3081" s="5">
        <v>3076</v>
      </c>
      <c r="C3081" s="5">
        <v>83.711212300115818</v>
      </c>
      <c r="D3081" s="45"/>
    </row>
    <row r="3082" spans="2:4" ht="16" thickBot="1" x14ac:dyDescent="0.25">
      <c r="B3082" s="4">
        <v>3077</v>
      </c>
      <c r="C3082" s="4">
        <v>80.683556129669498</v>
      </c>
      <c r="D3082" s="45"/>
    </row>
    <row r="3083" spans="2:4" ht="16" thickBot="1" x14ac:dyDescent="0.25">
      <c r="B3083" s="5">
        <v>3078</v>
      </c>
      <c r="C3083" s="5">
        <v>138.9186728827213</v>
      </c>
      <c r="D3083" s="45"/>
    </row>
    <row r="3084" spans="2:4" ht="16" thickBot="1" x14ac:dyDescent="0.25">
      <c r="B3084" s="4">
        <v>3079</v>
      </c>
      <c r="C3084" s="4">
        <v>56.088863902460787</v>
      </c>
      <c r="D3084" s="45"/>
    </row>
    <row r="3085" spans="2:4" ht="16" thickBot="1" x14ac:dyDescent="0.25">
      <c r="B3085" s="5">
        <v>3080</v>
      </c>
      <c r="C3085" s="5">
        <v>143.46843693618584</v>
      </c>
      <c r="D3085" s="45"/>
    </row>
    <row r="3086" spans="2:4" ht="16" thickBot="1" x14ac:dyDescent="0.25">
      <c r="B3086" s="4">
        <v>3081</v>
      </c>
      <c r="C3086" s="4">
        <v>169.06521587224844</v>
      </c>
      <c r="D3086" s="45"/>
    </row>
    <row r="3087" spans="2:4" ht="16" thickBot="1" x14ac:dyDescent="0.25">
      <c r="B3087" s="5">
        <v>3082</v>
      </c>
      <c r="C3087" s="5">
        <v>198.63104472638628</v>
      </c>
      <c r="D3087" s="45"/>
    </row>
    <row r="3088" spans="2:4" ht="16" thickBot="1" x14ac:dyDescent="0.25">
      <c r="B3088" s="4">
        <v>3083</v>
      </c>
      <c r="C3088" s="4">
        <v>81.401680117059385</v>
      </c>
      <c r="D3088" s="45"/>
    </row>
    <row r="3089" spans="2:4" ht="16" thickBot="1" x14ac:dyDescent="0.25">
      <c r="B3089" s="5">
        <v>3084</v>
      </c>
      <c r="C3089" s="5">
        <v>131.18078825001979</v>
      </c>
      <c r="D3089" s="45"/>
    </row>
    <row r="3090" spans="2:4" ht="16" thickBot="1" x14ac:dyDescent="0.25">
      <c r="B3090" s="4">
        <v>3085</v>
      </c>
      <c r="C3090" s="4">
        <v>174.32740308125975</v>
      </c>
      <c r="D3090" s="45"/>
    </row>
    <row r="3091" spans="2:4" ht="16" thickBot="1" x14ac:dyDescent="0.25">
      <c r="B3091" s="5">
        <v>3086</v>
      </c>
      <c r="C3091" s="5">
        <v>264.78497533019845</v>
      </c>
      <c r="D3091" s="45"/>
    </row>
    <row r="3092" spans="2:4" ht="16" thickBot="1" x14ac:dyDescent="0.25">
      <c r="B3092" s="4">
        <v>3087</v>
      </c>
      <c r="C3092" s="4">
        <v>499.80545491648627</v>
      </c>
      <c r="D3092" s="45"/>
    </row>
    <row r="3093" spans="2:4" ht="16" thickBot="1" x14ac:dyDescent="0.25">
      <c r="B3093" s="5">
        <v>3088</v>
      </c>
      <c r="C3093" s="5">
        <v>183.44917592272543</v>
      </c>
      <c r="D3093" s="45"/>
    </row>
    <row r="3094" spans="2:4" ht="16" thickBot="1" x14ac:dyDescent="0.25">
      <c r="B3094" s="4">
        <v>3089</v>
      </c>
      <c r="C3094" s="4">
        <v>156.62134060956549</v>
      </c>
      <c r="D3094" s="45"/>
    </row>
    <row r="3095" spans="2:4" ht="16" thickBot="1" x14ac:dyDescent="0.25">
      <c r="B3095" s="5">
        <v>3090</v>
      </c>
      <c r="C3095" s="5">
        <v>188.57698018215973</v>
      </c>
      <c r="D3095" s="45"/>
    </row>
    <row r="3096" spans="2:4" ht="16" thickBot="1" x14ac:dyDescent="0.25">
      <c r="B3096" s="4">
        <v>3091</v>
      </c>
      <c r="C3096" s="4">
        <v>157.29670048306676</v>
      </c>
      <c r="D3096" s="45"/>
    </row>
    <row r="3097" spans="2:4" ht="16" thickBot="1" x14ac:dyDescent="0.25">
      <c r="B3097" s="5">
        <v>3092</v>
      </c>
      <c r="C3097" s="5">
        <v>121.51009166725326</v>
      </c>
      <c r="D3097" s="45"/>
    </row>
    <row r="3098" spans="2:4" ht="16" thickBot="1" x14ac:dyDescent="0.25">
      <c r="B3098" s="4">
        <v>3093</v>
      </c>
      <c r="C3098" s="4">
        <v>138.9029499057886</v>
      </c>
      <c r="D3098" s="45"/>
    </row>
    <row r="3099" spans="2:4" ht="16" thickBot="1" x14ac:dyDescent="0.25">
      <c r="B3099" s="5">
        <v>3094</v>
      </c>
      <c r="C3099" s="5">
        <v>131.56271228139579</v>
      </c>
      <c r="D3099" s="45"/>
    </row>
    <row r="3100" spans="2:4" ht="16" thickBot="1" x14ac:dyDescent="0.25">
      <c r="B3100" s="4">
        <v>3095</v>
      </c>
      <c r="C3100" s="4">
        <v>137.17956229496434</v>
      </c>
      <c r="D3100" s="45"/>
    </row>
    <row r="3101" spans="2:4" ht="16" thickBot="1" x14ac:dyDescent="0.25">
      <c r="B3101" s="5">
        <v>3096</v>
      </c>
      <c r="C3101" s="5">
        <v>87.719873912701104</v>
      </c>
      <c r="D3101" s="45"/>
    </row>
    <row r="3102" spans="2:4" ht="16" thickBot="1" x14ac:dyDescent="0.25">
      <c r="B3102" s="4">
        <v>3097</v>
      </c>
      <c r="C3102" s="4">
        <v>160.55842349391045</v>
      </c>
      <c r="D3102" s="45"/>
    </row>
    <row r="3103" spans="2:4" ht="16" thickBot="1" x14ac:dyDescent="0.25">
      <c r="B3103" s="5">
        <v>3098</v>
      </c>
      <c r="C3103" s="5">
        <v>290.79332320727366</v>
      </c>
      <c r="D3103" s="45"/>
    </row>
    <row r="3104" spans="2:4" ht="16" thickBot="1" x14ac:dyDescent="0.25">
      <c r="B3104" s="4">
        <v>3099</v>
      </c>
      <c r="C3104" s="4">
        <v>124.53805843371828</v>
      </c>
      <c r="D3104" s="45"/>
    </row>
    <row r="3105" spans="2:4" ht="16" thickBot="1" x14ac:dyDescent="0.25">
      <c r="B3105" s="5">
        <v>3100</v>
      </c>
      <c r="C3105" s="5">
        <v>82.563866695080691</v>
      </c>
      <c r="D3105" s="45"/>
    </row>
    <row r="3106" spans="2:4" ht="16" thickBot="1" x14ac:dyDescent="0.25">
      <c r="B3106" s="4">
        <v>3101</v>
      </c>
      <c r="C3106" s="4">
        <v>162.36399354352886</v>
      </c>
      <c r="D3106" s="45"/>
    </row>
    <row r="3107" spans="2:4" ht="16" thickBot="1" x14ac:dyDescent="0.25">
      <c r="B3107" s="5">
        <v>3102</v>
      </c>
      <c r="C3107" s="5">
        <v>235.26677881518575</v>
      </c>
      <c r="D3107" s="45"/>
    </row>
    <row r="3108" spans="2:4" ht="16" thickBot="1" x14ac:dyDescent="0.25">
      <c r="B3108" s="4">
        <v>3103</v>
      </c>
      <c r="C3108" s="4">
        <v>106.31358914803403</v>
      </c>
      <c r="D3108" s="45"/>
    </row>
    <row r="3109" spans="2:4" ht="16" thickBot="1" x14ac:dyDescent="0.25">
      <c r="B3109" s="5">
        <v>3104</v>
      </c>
      <c r="C3109" s="5">
        <v>93.111894573737715</v>
      </c>
      <c r="D3109" s="45"/>
    </row>
    <row r="3110" spans="2:4" ht="16" thickBot="1" x14ac:dyDescent="0.25">
      <c r="B3110" s="4">
        <v>3105</v>
      </c>
      <c r="C3110" s="4">
        <v>152.46930774593463</v>
      </c>
      <c r="D3110" s="45"/>
    </row>
    <row r="3111" spans="2:4" ht="16" thickBot="1" x14ac:dyDescent="0.25">
      <c r="B3111" s="5">
        <v>3106</v>
      </c>
      <c r="C3111" s="5">
        <v>137.321679073978</v>
      </c>
      <c r="D3111" s="45"/>
    </row>
    <row r="3112" spans="2:4" ht="16" thickBot="1" x14ac:dyDescent="0.25">
      <c r="B3112" s="4">
        <v>3107</v>
      </c>
      <c r="C3112" s="4">
        <v>281.59651976347567</v>
      </c>
      <c r="D3112" s="45"/>
    </row>
    <row r="3113" spans="2:4" ht="16" thickBot="1" x14ac:dyDescent="0.25">
      <c r="B3113" s="5">
        <v>3108</v>
      </c>
      <c r="C3113" s="5">
        <v>116.46576571626571</v>
      </c>
      <c r="D3113" s="45"/>
    </row>
    <row r="3114" spans="2:4" ht="16" thickBot="1" x14ac:dyDescent="0.25">
      <c r="B3114" s="4">
        <v>3109</v>
      </c>
      <c r="C3114" s="4">
        <v>133.91270416387707</v>
      </c>
      <c r="D3114" s="45"/>
    </row>
    <row r="3115" spans="2:4" ht="16" thickBot="1" x14ac:dyDescent="0.25">
      <c r="B3115" s="5">
        <v>3110</v>
      </c>
      <c r="C3115" s="5">
        <v>110.30179385361023</v>
      </c>
      <c r="D3115" s="45"/>
    </row>
    <row r="3116" spans="2:4" ht="16" thickBot="1" x14ac:dyDescent="0.25">
      <c r="B3116" s="4">
        <v>3111</v>
      </c>
      <c r="C3116" s="4">
        <v>135.75955123723162</v>
      </c>
      <c r="D3116" s="45"/>
    </row>
    <row r="3117" spans="2:4" ht="16" thickBot="1" x14ac:dyDescent="0.25">
      <c r="B3117" s="5">
        <v>3112</v>
      </c>
      <c r="C3117" s="5">
        <v>275.2300454844613</v>
      </c>
      <c r="D3117" s="45"/>
    </row>
    <row r="3118" spans="2:4" ht="16" thickBot="1" x14ac:dyDescent="0.25">
      <c r="B3118" s="4">
        <v>3113</v>
      </c>
      <c r="C3118" s="4">
        <v>394.35371845976033</v>
      </c>
      <c r="D3118" s="45"/>
    </row>
    <row r="3119" spans="2:4" ht="16" thickBot="1" x14ac:dyDescent="0.25">
      <c r="B3119" s="5">
        <v>3114</v>
      </c>
      <c r="C3119" s="5">
        <v>201.72748916128006</v>
      </c>
      <c r="D3119" s="45"/>
    </row>
    <row r="3120" spans="2:4" ht="16" thickBot="1" x14ac:dyDescent="0.25">
      <c r="B3120" s="4">
        <v>3115</v>
      </c>
      <c r="C3120" s="4">
        <v>194.93250917542019</v>
      </c>
      <c r="D3120" s="45"/>
    </row>
    <row r="3121" spans="2:4" ht="16" thickBot="1" x14ac:dyDescent="0.25">
      <c r="B3121" s="5">
        <v>3116</v>
      </c>
      <c r="C3121" s="5">
        <v>360.92782704659072</v>
      </c>
      <c r="D3121" s="45"/>
    </row>
    <row r="3122" spans="2:4" ht="16" thickBot="1" x14ac:dyDescent="0.25">
      <c r="B3122" s="4">
        <v>3117</v>
      </c>
      <c r="C3122" s="4">
        <v>89.245202056663629</v>
      </c>
      <c r="D3122" s="45"/>
    </row>
    <row r="3123" spans="2:4" ht="16" thickBot="1" x14ac:dyDescent="0.25">
      <c r="B3123" s="5">
        <v>3118</v>
      </c>
      <c r="C3123" s="5">
        <v>195.23528630481843</v>
      </c>
      <c r="D3123" s="45"/>
    </row>
    <row r="3124" spans="2:4" ht="16" thickBot="1" x14ac:dyDescent="0.25">
      <c r="B3124" s="4">
        <v>3119</v>
      </c>
      <c r="C3124" s="4">
        <v>64.277456285866052</v>
      </c>
      <c r="D3124" s="45"/>
    </row>
    <row r="3125" spans="2:4" ht="16" thickBot="1" x14ac:dyDescent="0.25">
      <c r="B3125" s="5">
        <v>3120</v>
      </c>
      <c r="C3125" s="5">
        <v>93.83721210115084</v>
      </c>
      <c r="D3125" s="45"/>
    </row>
    <row r="3126" spans="2:4" ht="16" thickBot="1" x14ac:dyDescent="0.25">
      <c r="B3126" s="4">
        <v>3121</v>
      </c>
      <c r="C3126" s="4">
        <v>168.39914270277811</v>
      </c>
      <c r="D3126" s="45"/>
    </row>
    <row r="3127" spans="2:4" ht="16" thickBot="1" x14ac:dyDescent="0.25">
      <c r="B3127" s="5">
        <v>3122</v>
      </c>
      <c r="C3127" s="5">
        <v>120.08505408898289</v>
      </c>
      <c r="D3127" s="45"/>
    </row>
    <row r="3128" spans="2:4" ht="16" thickBot="1" x14ac:dyDescent="0.25">
      <c r="B3128" s="4">
        <v>3123</v>
      </c>
      <c r="C3128" s="4">
        <v>131.80688344046055</v>
      </c>
      <c r="D3128" s="45"/>
    </row>
    <row r="3129" spans="2:4" ht="16" thickBot="1" x14ac:dyDescent="0.25">
      <c r="B3129" s="5">
        <v>3124</v>
      </c>
      <c r="C3129" s="5">
        <v>189.94686513708569</v>
      </c>
      <c r="D3129" s="45"/>
    </row>
    <row r="3130" spans="2:4" ht="16" thickBot="1" x14ac:dyDescent="0.25">
      <c r="B3130" s="4">
        <v>3125</v>
      </c>
      <c r="C3130" s="4">
        <v>126.08929060056118</v>
      </c>
      <c r="D3130" s="45"/>
    </row>
    <row r="3131" spans="2:4" ht="16" thickBot="1" x14ac:dyDescent="0.25">
      <c r="B3131" s="5">
        <v>3126</v>
      </c>
      <c r="C3131" s="5">
        <v>159.93007184395904</v>
      </c>
      <c r="D3131" s="45"/>
    </row>
    <row r="3132" spans="2:4" ht="16" thickBot="1" x14ac:dyDescent="0.25">
      <c r="B3132" s="4">
        <v>3127</v>
      </c>
      <c r="C3132" s="4">
        <v>195.73267631681421</v>
      </c>
      <c r="D3132" s="45"/>
    </row>
    <row r="3133" spans="2:4" ht="16" thickBot="1" x14ac:dyDescent="0.25">
      <c r="B3133" s="5">
        <v>3128</v>
      </c>
      <c r="C3133" s="5">
        <v>70.956862272106619</v>
      </c>
      <c r="D3133" s="45"/>
    </row>
    <row r="3134" spans="2:4" ht="16" thickBot="1" x14ac:dyDescent="0.25">
      <c r="B3134" s="4">
        <v>3129</v>
      </c>
      <c r="C3134" s="4">
        <v>150.54378098190739</v>
      </c>
      <c r="D3134" s="45"/>
    </row>
    <row r="3135" spans="2:4" ht="16" thickBot="1" x14ac:dyDescent="0.25">
      <c r="B3135" s="5">
        <v>3130</v>
      </c>
      <c r="C3135" s="5">
        <v>122.59833857586382</v>
      </c>
      <c r="D3135" s="45"/>
    </row>
    <row r="3136" spans="2:4" ht="16" thickBot="1" x14ac:dyDescent="0.25">
      <c r="B3136" s="4">
        <v>3131</v>
      </c>
      <c r="C3136" s="4">
        <v>72.722236502052255</v>
      </c>
      <c r="D3136" s="45"/>
    </row>
    <row r="3137" spans="2:4" ht="16" thickBot="1" x14ac:dyDescent="0.25">
      <c r="B3137" s="5">
        <v>3132</v>
      </c>
      <c r="C3137" s="5">
        <v>258.43277464588289</v>
      </c>
      <c r="D3137" s="45"/>
    </row>
    <row r="3138" spans="2:4" ht="16" thickBot="1" x14ac:dyDescent="0.25">
      <c r="B3138" s="4">
        <v>3133</v>
      </c>
      <c r="C3138" s="4">
        <v>84.714794596442715</v>
      </c>
      <c r="D3138" s="45"/>
    </row>
    <row r="3139" spans="2:4" ht="16" thickBot="1" x14ac:dyDescent="0.25">
      <c r="B3139" s="5">
        <v>3134</v>
      </c>
      <c r="C3139" s="5">
        <v>243.36996845023509</v>
      </c>
      <c r="D3139" s="45"/>
    </row>
    <row r="3140" spans="2:4" ht="16" thickBot="1" x14ac:dyDescent="0.25">
      <c r="B3140" s="4">
        <v>3135</v>
      </c>
      <c r="C3140" s="4">
        <v>131.23349136608931</v>
      </c>
      <c r="D3140" s="45"/>
    </row>
    <row r="3141" spans="2:4" ht="16" thickBot="1" x14ac:dyDescent="0.25">
      <c r="B3141" s="5">
        <v>3136</v>
      </c>
      <c r="C3141" s="5">
        <v>170.92734121715483</v>
      </c>
      <c r="D3141" s="45"/>
    </row>
    <row r="3142" spans="2:4" ht="16" thickBot="1" x14ac:dyDescent="0.25">
      <c r="B3142" s="4">
        <v>3137</v>
      </c>
      <c r="C3142" s="4">
        <v>91.860552426486763</v>
      </c>
      <c r="D3142" s="45"/>
    </row>
    <row r="3143" spans="2:4" ht="16" thickBot="1" x14ac:dyDescent="0.25">
      <c r="B3143" s="5">
        <v>3138</v>
      </c>
      <c r="C3143" s="5">
        <v>474.34494460329927</v>
      </c>
      <c r="D3143" s="45"/>
    </row>
    <row r="3144" spans="2:4" ht="16" thickBot="1" x14ac:dyDescent="0.25">
      <c r="B3144" s="4">
        <v>3139</v>
      </c>
      <c r="C3144" s="4">
        <v>322.95212013373703</v>
      </c>
      <c r="D3144" s="45"/>
    </row>
    <row r="3145" spans="2:4" ht="16" thickBot="1" x14ac:dyDescent="0.25">
      <c r="B3145" s="5">
        <v>3140</v>
      </c>
      <c r="C3145" s="5">
        <v>109.89411914730238</v>
      </c>
      <c r="D3145" s="45"/>
    </row>
    <row r="3146" spans="2:4" ht="16" thickBot="1" x14ac:dyDescent="0.25">
      <c r="B3146" s="4">
        <v>3141</v>
      </c>
      <c r="C3146" s="4">
        <v>272.60964452184055</v>
      </c>
      <c r="D3146" s="45"/>
    </row>
    <row r="3147" spans="2:4" ht="16" thickBot="1" x14ac:dyDescent="0.25">
      <c r="B3147" s="5">
        <v>3142</v>
      </c>
      <c r="C3147" s="5">
        <v>210.76699403048306</v>
      </c>
      <c r="D3147" s="45"/>
    </row>
    <row r="3148" spans="2:4" ht="16" thickBot="1" x14ac:dyDescent="0.25">
      <c r="B3148" s="4">
        <v>3143</v>
      </c>
      <c r="C3148" s="4">
        <v>211.58233461198839</v>
      </c>
      <c r="D3148" s="45"/>
    </row>
    <row r="3149" spans="2:4" ht="16" thickBot="1" x14ac:dyDescent="0.25">
      <c r="B3149" s="5">
        <v>3144</v>
      </c>
      <c r="C3149" s="5">
        <v>219.83754963856379</v>
      </c>
      <c r="D3149" s="45"/>
    </row>
    <row r="3150" spans="2:4" ht="16" thickBot="1" x14ac:dyDescent="0.25">
      <c r="B3150" s="4">
        <v>3145</v>
      </c>
      <c r="C3150" s="4">
        <v>131.22795314421154</v>
      </c>
      <c r="D3150" s="45"/>
    </row>
    <row r="3151" spans="2:4" ht="16" thickBot="1" x14ac:dyDescent="0.25">
      <c r="B3151" s="5">
        <v>3146</v>
      </c>
      <c r="C3151" s="5">
        <v>219.93961514891464</v>
      </c>
      <c r="D3151" s="45"/>
    </row>
    <row r="3152" spans="2:4" ht="16" thickBot="1" x14ac:dyDescent="0.25">
      <c r="B3152" s="4">
        <v>3147</v>
      </c>
      <c r="C3152" s="4">
        <v>225.95237408259405</v>
      </c>
      <c r="D3152" s="45"/>
    </row>
    <row r="3153" spans="2:4" ht="16" thickBot="1" x14ac:dyDescent="0.25">
      <c r="B3153" s="5">
        <v>3148</v>
      </c>
      <c r="C3153" s="5">
        <v>257.1668942004008</v>
      </c>
      <c r="D3153" s="45"/>
    </row>
    <row r="3154" spans="2:4" ht="16" thickBot="1" x14ac:dyDescent="0.25">
      <c r="B3154" s="4">
        <v>3149</v>
      </c>
      <c r="C3154" s="4">
        <v>88.643138787117437</v>
      </c>
      <c r="D3154" s="45"/>
    </row>
    <row r="3155" spans="2:4" ht="16" thickBot="1" x14ac:dyDescent="0.25">
      <c r="B3155" s="5">
        <v>3150</v>
      </c>
      <c r="C3155" s="5">
        <v>362.61171394226739</v>
      </c>
      <c r="D3155" s="45"/>
    </row>
    <row r="3156" spans="2:4" ht="16" thickBot="1" x14ac:dyDescent="0.25">
      <c r="B3156" s="4">
        <v>3151</v>
      </c>
      <c r="C3156" s="4">
        <v>97.780823712094204</v>
      </c>
      <c r="D3156" s="45"/>
    </row>
    <row r="3157" spans="2:4" ht="16" thickBot="1" x14ac:dyDescent="0.25">
      <c r="B3157" s="5">
        <v>3152</v>
      </c>
      <c r="C3157" s="5">
        <v>370.62923661925385</v>
      </c>
      <c r="D3157" s="45"/>
    </row>
    <row r="3158" spans="2:4" ht="16" thickBot="1" x14ac:dyDescent="0.25">
      <c r="B3158" s="4">
        <v>3153</v>
      </c>
      <c r="C3158" s="4">
        <v>264.88490107134839</v>
      </c>
      <c r="D3158" s="45"/>
    </row>
    <row r="3159" spans="2:4" ht="16" thickBot="1" x14ac:dyDescent="0.25">
      <c r="B3159" s="5">
        <v>3154</v>
      </c>
      <c r="C3159" s="5">
        <v>96.971669113779811</v>
      </c>
      <c r="D3159" s="45"/>
    </row>
    <row r="3160" spans="2:4" ht="16" thickBot="1" x14ac:dyDescent="0.25">
      <c r="B3160" s="4">
        <v>3155</v>
      </c>
      <c r="C3160" s="4">
        <v>130.73028548018587</v>
      </c>
      <c r="D3160" s="45"/>
    </row>
    <row r="3161" spans="2:4" ht="16" thickBot="1" x14ac:dyDescent="0.25">
      <c r="B3161" s="5">
        <v>3156</v>
      </c>
      <c r="C3161" s="5">
        <v>155.07243612091219</v>
      </c>
      <c r="D3161" s="45"/>
    </row>
    <row r="3162" spans="2:4" ht="16" thickBot="1" x14ac:dyDescent="0.25">
      <c r="B3162" s="4">
        <v>3157</v>
      </c>
      <c r="C3162" s="4">
        <v>282.05357862111305</v>
      </c>
      <c r="D3162" s="45"/>
    </row>
    <row r="3163" spans="2:4" ht="16" thickBot="1" x14ac:dyDescent="0.25">
      <c r="B3163" s="5">
        <v>3158</v>
      </c>
      <c r="C3163" s="5">
        <v>62.395687787528345</v>
      </c>
      <c r="D3163" s="45"/>
    </row>
    <row r="3164" spans="2:4" ht="16" thickBot="1" x14ac:dyDescent="0.25">
      <c r="B3164" s="4">
        <v>3159</v>
      </c>
      <c r="C3164" s="4">
        <v>334.05445828963667</v>
      </c>
      <c r="D3164" s="45"/>
    </row>
    <row r="3165" spans="2:4" ht="16" thickBot="1" x14ac:dyDescent="0.25">
      <c r="B3165" s="5">
        <v>3160</v>
      </c>
      <c r="C3165" s="5">
        <v>290.31018052638217</v>
      </c>
      <c r="D3165" s="45"/>
    </row>
    <row r="3166" spans="2:4" ht="16" thickBot="1" x14ac:dyDescent="0.25">
      <c r="B3166" s="4">
        <v>3161</v>
      </c>
      <c r="C3166" s="4">
        <v>189.9890150821825</v>
      </c>
      <c r="D3166" s="45"/>
    </row>
    <row r="3167" spans="2:4" ht="16" thickBot="1" x14ac:dyDescent="0.25">
      <c r="B3167" s="5">
        <v>3162</v>
      </c>
      <c r="C3167" s="5">
        <v>217.68938881660455</v>
      </c>
      <c r="D3167" s="45"/>
    </row>
    <row r="3168" spans="2:4" ht="16" thickBot="1" x14ac:dyDescent="0.25">
      <c r="B3168" s="4">
        <v>3163</v>
      </c>
      <c r="C3168" s="4">
        <v>130.74111180159295</v>
      </c>
      <c r="D3168" s="45"/>
    </row>
    <row r="3169" spans="2:4" ht="16" thickBot="1" x14ac:dyDescent="0.25">
      <c r="B3169" s="5">
        <v>3164</v>
      </c>
      <c r="C3169" s="5">
        <v>150.62897931956849</v>
      </c>
      <c r="D3169" s="45"/>
    </row>
    <row r="3170" spans="2:4" ht="16" thickBot="1" x14ac:dyDescent="0.25">
      <c r="B3170" s="4">
        <v>3165</v>
      </c>
      <c r="C3170" s="4">
        <v>148.23927155477412</v>
      </c>
      <c r="D3170" s="45"/>
    </row>
    <row r="3171" spans="2:4" ht="16" thickBot="1" x14ac:dyDescent="0.25">
      <c r="B3171" s="5">
        <v>3166</v>
      </c>
      <c r="C3171" s="5">
        <v>129.90140983273835</v>
      </c>
      <c r="D3171" s="45"/>
    </row>
    <row r="3172" spans="2:4" ht="16" thickBot="1" x14ac:dyDescent="0.25">
      <c r="B3172" s="4">
        <v>3167</v>
      </c>
      <c r="C3172" s="4">
        <v>144.80419473218859</v>
      </c>
      <c r="D3172" s="45"/>
    </row>
    <row r="3173" spans="2:4" ht="16" thickBot="1" x14ac:dyDescent="0.25">
      <c r="B3173" s="5">
        <v>3168</v>
      </c>
      <c r="C3173" s="5">
        <v>318.91350661923582</v>
      </c>
      <c r="D3173" s="45"/>
    </row>
    <row r="3174" spans="2:4" ht="16" thickBot="1" x14ac:dyDescent="0.25">
      <c r="B3174" s="4">
        <v>3169</v>
      </c>
      <c r="C3174" s="4">
        <v>87.59174141613353</v>
      </c>
      <c r="D3174" s="45"/>
    </row>
    <row r="3175" spans="2:4" ht="16" thickBot="1" x14ac:dyDescent="0.25">
      <c r="B3175" s="5">
        <v>3170</v>
      </c>
      <c r="C3175" s="5">
        <v>122.61400352542039</v>
      </c>
      <c r="D3175" s="45"/>
    </row>
    <row r="3176" spans="2:4" ht="16" thickBot="1" x14ac:dyDescent="0.25">
      <c r="B3176" s="4">
        <v>3171</v>
      </c>
      <c r="C3176" s="4">
        <v>79.399649290856544</v>
      </c>
      <c r="D3176" s="45"/>
    </row>
    <row r="3177" spans="2:4" ht="16" thickBot="1" x14ac:dyDescent="0.25">
      <c r="B3177" s="5">
        <v>3172</v>
      </c>
      <c r="C3177" s="5">
        <v>119.32325706251432</v>
      </c>
      <c r="D3177" s="45"/>
    </row>
    <row r="3178" spans="2:4" ht="16" thickBot="1" x14ac:dyDescent="0.25">
      <c r="B3178" s="4">
        <v>3173</v>
      </c>
      <c r="C3178" s="4">
        <v>110.17719878719687</v>
      </c>
      <c r="D3178" s="45"/>
    </row>
    <row r="3179" spans="2:4" ht="16" thickBot="1" x14ac:dyDescent="0.25">
      <c r="B3179" s="5">
        <v>3174</v>
      </c>
      <c r="C3179" s="5">
        <v>180.61680719516625</v>
      </c>
      <c r="D3179" s="45"/>
    </row>
    <row r="3180" spans="2:4" ht="16" thickBot="1" x14ac:dyDescent="0.25">
      <c r="B3180" s="4">
        <v>3175</v>
      </c>
      <c r="C3180" s="4">
        <v>87.70642034458912</v>
      </c>
      <c r="D3180" s="45"/>
    </row>
    <row r="3181" spans="2:4" ht="16" thickBot="1" x14ac:dyDescent="0.25">
      <c r="B3181" s="5">
        <v>3176</v>
      </c>
      <c r="C3181" s="5">
        <v>171.5434571607465</v>
      </c>
      <c r="D3181" s="45"/>
    </row>
    <row r="3182" spans="2:4" ht="16" thickBot="1" x14ac:dyDescent="0.25">
      <c r="B3182" s="4">
        <v>3177</v>
      </c>
      <c r="C3182" s="4">
        <v>95.621207934025577</v>
      </c>
      <c r="D3182" s="45"/>
    </row>
    <row r="3183" spans="2:4" ht="16" thickBot="1" x14ac:dyDescent="0.25">
      <c r="B3183" s="5">
        <v>3178</v>
      </c>
      <c r="C3183" s="5">
        <v>138.22659706171351</v>
      </c>
      <c r="D3183" s="45"/>
    </row>
    <row r="3184" spans="2:4" ht="16" thickBot="1" x14ac:dyDescent="0.25">
      <c r="B3184" s="4">
        <v>3179</v>
      </c>
      <c r="C3184" s="4">
        <v>130.55825084955043</v>
      </c>
      <c r="D3184" s="45"/>
    </row>
    <row r="3185" spans="2:4" ht="16" thickBot="1" x14ac:dyDescent="0.25">
      <c r="B3185" s="5">
        <v>3180</v>
      </c>
      <c r="C3185" s="5">
        <v>189.50626269213993</v>
      </c>
      <c r="D3185" s="45"/>
    </row>
    <row r="3186" spans="2:4" ht="16" thickBot="1" x14ac:dyDescent="0.25">
      <c r="B3186" s="4">
        <v>3181</v>
      </c>
      <c r="C3186" s="4">
        <v>108.94713616832856</v>
      </c>
      <c r="D3186" s="45"/>
    </row>
    <row r="3187" spans="2:4" ht="16" thickBot="1" x14ac:dyDescent="0.25">
      <c r="B3187" s="5">
        <v>3182</v>
      </c>
      <c r="C3187" s="5">
        <v>108.12392296048374</v>
      </c>
      <c r="D3187" s="45"/>
    </row>
    <row r="3188" spans="2:4" ht="16" thickBot="1" x14ac:dyDescent="0.25">
      <c r="B3188" s="4">
        <v>3183</v>
      </c>
      <c r="C3188" s="4">
        <v>117.13200095518741</v>
      </c>
      <c r="D3188" s="45"/>
    </row>
    <row r="3189" spans="2:4" ht="16" thickBot="1" x14ac:dyDescent="0.25">
      <c r="B3189" s="5">
        <v>3184</v>
      </c>
      <c r="C3189" s="5">
        <v>256.31714427696653</v>
      </c>
      <c r="D3189" s="45"/>
    </row>
    <row r="3190" spans="2:4" ht="16" thickBot="1" x14ac:dyDescent="0.25">
      <c r="B3190" s="4">
        <v>3185</v>
      </c>
      <c r="C3190" s="4">
        <v>99.497184573591241</v>
      </c>
      <c r="D3190" s="45"/>
    </row>
    <row r="3191" spans="2:4" ht="16" thickBot="1" x14ac:dyDescent="0.25">
      <c r="B3191" s="5">
        <v>3186</v>
      </c>
      <c r="C3191" s="5">
        <v>239.43827236769761</v>
      </c>
      <c r="D3191" s="45"/>
    </row>
    <row r="3192" spans="2:4" ht="16" thickBot="1" x14ac:dyDescent="0.25">
      <c r="B3192" s="4">
        <v>3187</v>
      </c>
      <c r="C3192" s="4">
        <v>337.03816456494337</v>
      </c>
      <c r="D3192" s="45"/>
    </row>
    <row r="3193" spans="2:4" ht="16" thickBot="1" x14ac:dyDescent="0.25">
      <c r="B3193" s="5">
        <v>3188</v>
      </c>
      <c r="C3193" s="5">
        <v>236.76773493908564</v>
      </c>
      <c r="D3193" s="45"/>
    </row>
    <row r="3194" spans="2:4" ht="16" thickBot="1" x14ac:dyDescent="0.25">
      <c r="B3194" s="4">
        <v>3189</v>
      </c>
      <c r="C3194" s="4">
        <v>126.39256222835969</v>
      </c>
      <c r="D3194" s="45"/>
    </row>
    <row r="3195" spans="2:4" ht="16" thickBot="1" x14ac:dyDescent="0.25">
      <c r="B3195" s="5">
        <v>3190</v>
      </c>
      <c r="C3195" s="5">
        <v>244.4935190091272</v>
      </c>
      <c r="D3195" s="45"/>
    </row>
    <row r="3196" spans="2:4" ht="16" thickBot="1" x14ac:dyDescent="0.25">
      <c r="B3196" s="4">
        <v>3191</v>
      </c>
      <c r="C3196" s="4">
        <v>117.22055707524503</v>
      </c>
      <c r="D3196" s="45"/>
    </row>
    <row r="3197" spans="2:4" ht="16" thickBot="1" x14ac:dyDescent="0.25">
      <c r="B3197" s="5">
        <v>3192</v>
      </c>
      <c r="C3197" s="5">
        <v>163.9204931189025</v>
      </c>
      <c r="D3197" s="45"/>
    </row>
    <row r="3198" spans="2:4" ht="16" thickBot="1" x14ac:dyDescent="0.25">
      <c r="B3198" s="4">
        <v>3193</v>
      </c>
      <c r="C3198" s="4">
        <v>74.948343777058909</v>
      </c>
      <c r="D3198" s="45"/>
    </row>
    <row r="3199" spans="2:4" ht="16" thickBot="1" x14ac:dyDescent="0.25">
      <c r="B3199" s="5">
        <v>3194</v>
      </c>
      <c r="C3199" s="5">
        <v>112.39702444816443</v>
      </c>
      <c r="D3199" s="45"/>
    </row>
    <row r="3200" spans="2:4" ht="16" thickBot="1" x14ac:dyDescent="0.25">
      <c r="B3200" s="4">
        <v>3195</v>
      </c>
      <c r="C3200" s="4">
        <v>100.65044127706332</v>
      </c>
      <c r="D3200" s="45"/>
    </row>
    <row r="3201" spans="2:4" ht="16" thickBot="1" x14ac:dyDescent="0.25">
      <c r="B3201" s="5">
        <v>3196</v>
      </c>
      <c r="C3201" s="5">
        <v>210.78889660680659</v>
      </c>
      <c r="D3201" s="45"/>
    </row>
    <row r="3202" spans="2:4" ht="16" thickBot="1" x14ac:dyDescent="0.25">
      <c r="B3202" s="4">
        <v>3197</v>
      </c>
      <c r="C3202" s="4">
        <v>171.54022022635624</v>
      </c>
      <c r="D3202" s="45"/>
    </row>
    <row r="3203" spans="2:4" ht="16" thickBot="1" x14ac:dyDescent="0.25">
      <c r="B3203" s="5">
        <v>3198</v>
      </c>
      <c r="C3203" s="5">
        <v>88.664117124055181</v>
      </c>
      <c r="D3203" s="45"/>
    </row>
    <row r="3204" spans="2:4" ht="16" thickBot="1" x14ac:dyDescent="0.25">
      <c r="B3204" s="4">
        <v>3199</v>
      </c>
      <c r="C3204" s="4">
        <v>245.044411329143</v>
      </c>
      <c r="D3204" s="45"/>
    </row>
    <row r="3205" spans="2:4" ht="16" thickBot="1" x14ac:dyDescent="0.25">
      <c r="B3205" s="5">
        <v>3200</v>
      </c>
      <c r="C3205" s="5">
        <v>104.9876014025166</v>
      </c>
      <c r="D3205" s="45"/>
    </row>
    <row r="3206" spans="2:4" ht="16" thickBot="1" x14ac:dyDescent="0.25">
      <c r="B3206" s="4">
        <v>3201</v>
      </c>
      <c r="C3206" s="4">
        <v>221.40519542419403</v>
      </c>
      <c r="D3206" s="45"/>
    </row>
    <row r="3207" spans="2:4" ht="16" thickBot="1" x14ac:dyDescent="0.25">
      <c r="B3207" s="5">
        <v>3202</v>
      </c>
      <c r="C3207" s="5">
        <v>161.30751730978423</v>
      </c>
      <c r="D3207" s="45"/>
    </row>
    <row r="3208" spans="2:4" ht="16" thickBot="1" x14ac:dyDescent="0.25">
      <c r="B3208" s="4">
        <v>3203</v>
      </c>
      <c r="C3208" s="4">
        <v>117.00835828827374</v>
      </c>
      <c r="D3208" s="45"/>
    </row>
    <row r="3209" spans="2:4" ht="16" thickBot="1" x14ac:dyDescent="0.25">
      <c r="B3209" s="5">
        <v>3204</v>
      </c>
      <c r="C3209" s="5">
        <v>171.31156340521616</v>
      </c>
      <c r="D3209" s="45"/>
    </row>
    <row r="3210" spans="2:4" ht="16" thickBot="1" x14ac:dyDescent="0.25">
      <c r="B3210" s="4">
        <v>3205</v>
      </c>
      <c r="C3210" s="4">
        <v>64.144749420820887</v>
      </c>
      <c r="D3210" s="45"/>
    </row>
    <row r="3211" spans="2:4" ht="16" thickBot="1" x14ac:dyDescent="0.25">
      <c r="B3211" s="5">
        <v>3206</v>
      </c>
      <c r="C3211" s="5">
        <v>238.54622146176521</v>
      </c>
      <c r="D3211" s="45"/>
    </row>
    <row r="3212" spans="2:4" ht="16" thickBot="1" x14ac:dyDescent="0.25">
      <c r="B3212" s="4">
        <v>3207</v>
      </c>
      <c r="C3212" s="4">
        <v>90.438903531569906</v>
      </c>
      <c r="D3212" s="45"/>
    </row>
    <row r="3213" spans="2:4" ht="16" thickBot="1" x14ac:dyDescent="0.25">
      <c r="B3213" s="5">
        <v>3208</v>
      </c>
      <c r="C3213" s="5">
        <v>176.10980434698237</v>
      </c>
      <c r="D3213" s="45"/>
    </row>
    <row r="3214" spans="2:4" ht="16" thickBot="1" x14ac:dyDescent="0.25">
      <c r="B3214" s="4">
        <v>3209</v>
      </c>
      <c r="C3214" s="4">
        <v>76.103605242697881</v>
      </c>
      <c r="D3214" s="45"/>
    </row>
    <row r="3215" spans="2:4" ht="16" thickBot="1" x14ac:dyDescent="0.25">
      <c r="B3215" s="5">
        <v>3210</v>
      </c>
      <c r="C3215" s="5">
        <v>70.804133272340579</v>
      </c>
      <c r="D3215" s="45"/>
    </row>
    <row r="3216" spans="2:4" ht="16" thickBot="1" x14ac:dyDescent="0.25">
      <c r="B3216" s="4">
        <v>3211</v>
      </c>
      <c r="C3216" s="4">
        <v>149.14809893341879</v>
      </c>
      <c r="D3216" s="45"/>
    </row>
    <row r="3217" spans="2:4" ht="16" thickBot="1" x14ac:dyDescent="0.25">
      <c r="B3217" s="5">
        <v>3212</v>
      </c>
      <c r="C3217" s="5">
        <v>189.5409911171765</v>
      </c>
      <c r="D3217" s="45"/>
    </row>
    <row r="3218" spans="2:4" ht="16" thickBot="1" x14ac:dyDescent="0.25">
      <c r="B3218" s="4">
        <v>3213</v>
      </c>
      <c r="C3218" s="4">
        <v>222.97866922280897</v>
      </c>
      <c r="D3218" s="45"/>
    </row>
    <row r="3219" spans="2:4" ht="16" thickBot="1" x14ac:dyDescent="0.25">
      <c r="B3219" s="5">
        <v>3214</v>
      </c>
      <c r="C3219" s="5">
        <v>89.876282000710333</v>
      </c>
      <c r="D3219" s="45"/>
    </row>
    <row r="3220" spans="2:4" ht="16" thickBot="1" x14ac:dyDescent="0.25">
      <c r="B3220" s="4">
        <v>3215</v>
      </c>
      <c r="C3220" s="4">
        <v>96.579408755246405</v>
      </c>
      <c r="D3220" s="45"/>
    </row>
    <row r="3221" spans="2:4" ht="16" thickBot="1" x14ac:dyDescent="0.25">
      <c r="B3221" s="5">
        <v>3216</v>
      </c>
      <c r="C3221" s="5">
        <v>114.1066547884774</v>
      </c>
      <c r="D3221" s="45"/>
    </row>
    <row r="3222" spans="2:4" ht="16" thickBot="1" x14ac:dyDescent="0.25">
      <c r="B3222" s="4">
        <v>3217</v>
      </c>
      <c r="C3222" s="4">
        <v>296.27664944206424</v>
      </c>
      <c r="D3222" s="45"/>
    </row>
    <row r="3223" spans="2:4" ht="16" thickBot="1" x14ac:dyDescent="0.25">
      <c r="B3223" s="5">
        <v>3218</v>
      </c>
      <c r="C3223" s="5">
        <v>84.809657205514952</v>
      </c>
      <c r="D3223" s="45"/>
    </row>
    <row r="3224" spans="2:4" ht="16" thickBot="1" x14ac:dyDescent="0.25">
      <c r="B3224" s="4">
        <v>3219</v>
      </c>
      <c r="C3224" s="4">
        <v>190.95880088279534</v>
      </c>
      <c r="D3224" s="45"/>
    </row>
    <row r="3225" spans="2:4" ht="16" thickBot="1" x14ac:dyDescent="0.25">
      <c r="B3225" s="5">
        <v>3220</v>
      </c>
      <c r="C3225" s="5">
        <v>136.5866651539005</v>
      </c>
      <c r="D3225" s="45"/>
    </row>
    <row r="3226" spans="2:4" ht="16" thickBot="1" x14ac:dyDescent="0.25">
      <c r="B3226" s="4">
        <v>3221</v>
      </c>
      <c r="C3226" s="4">
        <v>254.07530074768977</v>
      </c>
      <c r="D3226" s="45"/>
    </row>
    <row r="3227" spans="2:4" ht="16" thickBot="1" x14ac:dyDescent="0.25">
      <c r="B3227" s="5">
        <v>3222</v>
      </c>
      <c r="C3227" s="5">
        <v>100.57790273538045</v>
      </c>
      <c r="D3227" s="45"/>
    </row>
    <row r="3228" spans="2:4" ht="16" thickBot="1" x14ac:dyDescent="0.25">
      <c r="B3228" s="4">
        <v>3223</v>
      </c>
      <c r="C3228" s="4">
        <v>113.27283959566206</v>
      </c>
      <c r="D3228" s="45"/>
    </row>
    <row r="3229" spans="2:4" ht="16" thickBot="1" x14ac:dyDescent="0.25">
      <c r="B3229" s="5">
        <v>3224</v>
      </c>
      <c r="C3229" s="5">
        <v>82.246252441023344</v>
      </c>
      <c r="D3229" s="45"/>
    </row>
    <row r="3230" spans="2:4" ht="16" thickBot="1" x14ac:dyDescent="0.25">
      <c r="B3230" s="4">
        <v>3225</v>
      </c>
      <c r="C3230" s="4">
        <v>62.976972998841731</v>
      </c>
      <c r="D3230" s="45"/>
    </row>
    <row r="3231" spans="2:4" ht="16" thickBot="1" x14ac:dyDescent="0.25">
      <c r="B3231" s="5">
        <v>3226</v>
      </c>
      <c r="C3231" s="5">
        <v>54.231573798098978</v>
      </c>
      <c r="D3231" s="45"/>
    </row>
    <row r="3232" spans="2:4" ht="16" thickBot="1" x14ac:dyDescent="0.25">
      <c r="B3232" s="4">
        <v>3227</v>
      </c>
      <c r="C3232" s="4">
        <v>110.47499206151957</v>
      </c>
      <c r="D3232" s="45"/>
    </row>
    <row r="3233" spans="2:4" ht="16" thickBot="1" x14ac:dyDescent="0.25">
      <c r="B3233" s="5">
        <v>3228</v>
      </c>
      <c r="C3233" s="5">
        <v>139.71454289235166</v>
      </c>
      <c r="D3233" s="45"/>
    </row>
    <row r="3234" spans="2:4" ht="16" thickBot="1" x14ac:dyDescent="0.25">
      <c r="B3234" s="4">
        <v>3229</v>
      </c>
      <c r="C3234" s="4">
        <v>125.30944700753376</v>
      </c>
      <c r="D3234" s="45"/>
    </row>
    <row r="3235" spans="2:4" ht="16" thickBot="1" x14ac:dyDescent="0.25">
      <c r="B3235" s="5">
        <v>3230</v>
      </c>
      <c r="C3235" s="5">
        <v>141.87822169753656</v>
      </c>
      <c r="D3235" s="45"/>
    </row>
    <row r="3236" spans="2:4" ht="16" thickBot="1" x14ac:dyDescent="0.25">
      <c r="B3236" s="4">
        <v>3231</v>
      </c>
      <c r="C3236" s="4">
        <v>313.84930704127282</v>
      </c>
      <c r="D3236" s="45"/>
    </row>
    <row r="3237" spans="2:4" ht="16" thickBot="1" x14ac:dyDescent="0.25">
      <c r="B3237" s="5">
        <v>3232</v>
      </c>
      <c r="C3237" s="5">
        <v>73.550112071747122</v>
      </c>
      <c r="D3237" s="45"/>
    </row>
    <row r="3238" spans="2:4" ht="16" thickBot="1" x14ac:dyDescent="0.25">
      <c r="B3238" s="4">
        <v>3233</v>
      </c>
      <c r="C3238" s="4">
        <v>141.51228161027427</v>
      </c>
      <c r="D3238" s="45"/>
    </row>
    <row r="3239" spans="2:4" ht="16" thickBot="1" x14ac:dyDescent="0.25">
      <c r="B3239" s="5">
        <v>3234</v>
      </c>
      <c r="C3239" s="5">
        <v>74.695684748698326</v>
      </c>
      <c r="D3239" s="45"/>
    </row>
    <row r="3240" spans="2:4" ht="16" thickBot="1" x14ac:dyDescent="0.25">
      <c r="B3240" s="4">
        <v>3235</v>
      </c>
      <c r="C3240" s="4">
        <v>579.41654350063015</v>
      </c>
      <c r="D3240" s="45"/>
    </row>
    <row r="3241" spans="2:4" ht="16" thickBot="1" x14ac:dyDescent="0.25">
      <c r="B3241" s="5">
        <v>3236</v>
      </c>
      <c r="C3241" s="5">
        <v>133.08997085976603</v>
      </c>
      <c r="D3241" s="45"/>
    </row>
    <row r="3242" spans="2:4" ht="16" thickBot="1" x14ac:dyDescent="0.25">
      <c r="B3242" s="4">
        <v>3237</v>
      </c>
      <c r="C3242" s="4">
        <v>62.479337641248733</v>
      </c>
      <c r="D3242" s="45"/>
    </row>
    <row r="3243" spans="2:4" ht="16" thickBot="1" x14ac:dyDescent="0.25">
      <c r="B3243" s="5">
        <v>3238</v>
      </c>
      <c r="C3243" s="5">
        <v>117.29484154369045</v>
      </c>
      <c r="D3243" s="45"/>
    </row>
    <row r="3244" spans="2:4" ht="16" thickBot="1" x14ac:dyDescent="0.25">
      <c r="B3244" s="4">
        <v>3239</v>
      </c>
      <c r="C3244" s="4">
        <v>194.98634562309309</v>
      </c>
      <c r="D3244" s="45"/>
    </row>
    <row r="3245" spans="2:4" ht="16" thickBot="1" x14ac:dyDescent="0.25">
      <c r="B3245" s="5">
        <v>3240</v>
      </c>
      <c r="C3245" s="5">
        <v>108.55491759776245</v>
      </c>
      <c r="D3245" s="45"/>
    </row>
    <row r="3246" spans="2:4" ht="16" thickBot="1" x14ac:dyDescent="0.25">
      <c r="B3246" s="4">
        <v>3241</v>
      </c>
      <c r="C3246" s="4">
        <v>170.19041822815529</v>
      </c>
      <c r="D3246" s="45"/>
    </row>
    <row r="3247" spans="2:4" ht="16" thickBot="1" x14ac:dyDescent="0.25">
      <c r="B3247" s="5">
        <v>3242</v>
      </c>
      <c r="C3247" s="5">
        <v>174.6627037217238</v>
      </c>
      <c r="D3247" s="45"/>
    </row>
    <row r="3248" spans="2:4" ht="16" thickBot="1" x14ac:dyDescent="0.25">
      <c r="B3248" s="4">
        <v>3243</v>
      </c>
      <c r="C3248" s="4">
        <v>104.59312539339368</v>
      </c>
      <c r="D3248" s="45"/>
    </row>
    <row r="3249" spans="2:4" ht="16" thickBot="1" x14ac:dyDescent="0.25">
      <c r="B3249" s="5">
        <v>3244</v>
      </c>
      <c r="C3249" s="5">
        <v>140.18682674891528</v>
      </c>
      <c r="D3249" s="45"/>
    </row>
    <row r="3250" spans="2:4" ht="16" thickBot="1" x14ac:dyDescent="0.25">
      <c r="B3250" s="4">
        <v>3245</v>
      </c>
      <c r="C3250" s="4">
        <v>177.08873994944938</v>
      </c>
      <c r="D3250" s="45"/>
    </row>
    <row r="3251" spans="2:4" ht="16" thickBot="1" x14ac:dyDescent="0.25">
      <c r="B3251" s="5">
        <v>3246</v>
      </c>
      <c r="C3251" s="5">
        <v>76.198621987204746</v>
      </c>
      <c r="D3251" s="45"/>
    </row>
    <row r="3252" spans="2:4" ht="16" thickBot="1" x14ac:dyDescent="0.25">
      <c r="B3252" s="4">
        <v>3247</v>
      </c>
      <c r="C3252" s="4">
        <v>118.25471489182242</v>
      </c>
      <c r="D3252" s="45"/>
    </row>
    <row r="3253" spans="2:4" ht="16" thickBot="1" x14ac:dyDescent="0.25">
      <c r="B3253" s="5">
        <v>3248</v>
      </c>
      <c r="C3253" s="5">
        <v>226.86277182371319</v>
      </c>
      <c r="D3253" s="45"/>
    </row>
    <row r="3254" spans="2:4" ht="16" thickBot="1" x14ac:dyDescent="0.25">
      <c r="B3254" s="4">
        <v>3249</v>
      </c>
      <c r="C3254" s="4">
        <v>79.63443760103921</v>
      </c>
      <c r="D3254" s="45"/>
    </row>
    <row r="3255" spans="2:4" ht="16" thickBot="1" x14ac:dyDescent="0.25">
      <c r="B3255" s="5">
        <v>3250</v>
      </c>
      <c r="C3255" s="5">
        <v>404.11952536077263</v>
      </c>
      <c r="D3255" s="45"/>
    </row>
    <row r="3256" spans="2:4" ht="16" thickBot="1" x14ac:dyDescent="0.25">
      <c r="B3256" s="4">
        <v>3251</v>
      </c>
      <c r="C3256" s="4">
        <v>214.34733273971585</v>
      </c>
      <c r="D3256" s="45"/>
    </row>
    <row r="3257" spans="2:4" ht="16" thickBot="1" x14ac:dyDescent="0.25">
      <c r="B3257" s="5">
        <v>3252</v>
      </c>
      <c r="C3257" s="5">
        <v>245.09266795617077</v>
      </c>
      <c r="D3257" s="45"/>
    </row>
    <row r="3258" spans="2:4" ht="16" thickBot="1" x14ac:dyDescent="0.25">
      <c r="B3258" s="4">
        <v>3253</v>
      </c>
      <c r="C3258" s="4">
        <v>115.59736141518418</v>
      </c>
      <c r="D3258" s="45"/>
    </row>
    <row r="3259" spans="2:4" ht="16" thickBot="1" x14ac:dyDescent="0.25">
      <c r="B3259" s="5">
        <v>3254</v>
      </c>
      <c r="C3259" s="5">
        <v>241.81245342976811</v>
      </c>
      <c r="D3259" s="45"/>
    </row>
    <row r="3260" spans="2:4" ht="16" thickBot="1" x14ac:dyDescent="0.25">
      <c r="B3260" s="4">
        <v>3255</v>
      </c>
      <c r="C3260" s="4">
        <v>179.76596778061486</v>
      </c>
      <c r="D3260" s="45"/>
    </row>
    <row r="3261" spans="2:4" ht="16" thickBot="1" x14ac:dyDescent="0.25">
      <c r="B3261" s="5">
        <v>3256</v>
      </c>
      <c r="C3261" s="5">
        <v>82.693985842779028</v>
      </c>
      <c r="D3261" s="45"/>
    </row>
    <row r="3262" spans="2:4" ht="16" thickBot="1" x14ac:dyDescent="0.25">
      <c r="B3262" s="4">
        <v>3257</v>
      </c>
      <c r="C3262" s="4">
        <v>172.74218550753008</v>
      </c>
      <c r="D3262" s="45"/>
    </row>
    <row r="3263" spans="2:4" ht="16" thickBot="1" x14ac:dyDescent="0.25">
      <c r="B3263" s="5">
        <v>3258</v>
      </c>
      <c r="C3263" s="5">
        <v>137.01495056607376</v>
      </c>
      <c r="D3263" s="45"/>
    </row>
    <row r="3264" spans="2:4" ht="16" thickBot="1" x14ac:dyDescent="0.25">
      <c r="B3264" s="4">
        <v>3259</v>
      </c>
      <c r="C3264" s="4">
        <v>175.91051147795019</v>
      </c>
      <c r="D3264" s="45"/>
    </row>
    <row r="3265" spans="2:4" ht="16" thickBot="1" x14ac:dyDescent="0.25">
      <c r="B3265" s="5">
        <v>3260</v>
      </c>
      <c r="C3265" s="5">
        <v>473.817592878857</v>
      </c>
      <c r="D3265" s="45"/>
    </row>
    <row r="3266" spans="2:4" ht="16" thickBot="1" x14ac:dyDescent="0.25">
      <c r="B3266" s="4">
        <v>3261</v>
      </c>
      <c r="C3266" s="4">
        <v>77.086571493679642</v>
      </c>
      <c r="D3266" s="45"/>
    </row>
    <row r="3267" spans="2:4" ht="16" thickBot="1" x14ac:dyDescent="0.25">
      <c r="B3267" s="5">
        <v>3262</v>
      </c>
      <c r="C3267" s="5">
        <v>215.29434106646627</v>
      </c>
      <c r="D3267" s="45"/>
    </row>
    <row r="3268" spans="2:4" ht="16" thickBot="1" x14ac:dyDescent="0.25">
      <c r="B3268" s="4">
        <v>3263</v>
      </c>
      <c r="C3268" s="4">
        <v>145.7074399857834</v>
      </c>
      <c r="D3268" s="45"/>
    </row>
    <row r="3269" spans="2:4" ht="16" thickBot="1" x14ac:dyDescent="0.25">
      <c r="B3269" s="5">
        <v>3264</v>
      </c>
      <c r="C3269" s="5">
        <v>272.63491351515893</v>
      </c>
      <c r="D3269" s="45"/>
    </row>
    <row r="3270" spans="2:4" ht="16" thickBot="1" x14ac:dyDescent="0.25">
      <c r="B3270" s="4">
        <v>3265</v>
      </c>
      <c r="C3270" s="4">
        <v>200.91867111524198</v>
      </c>
      <c r="D3270" s="45"/>
    </row>
    <row r="3271" spans="2:4" ht="16" thickBot="1" x14ac:dyDescent="0.25">
      <c r="B3271" s="5">
        <v>3266</v>
      </c>
      <c r="C3271" s="5">
        <v>86.703897779433007</v>
      </c>
      <c r="D3271" s="45"/>
    </row>
    <row r="3272" spans="2:4" ht="16" thickBot="1" x14ac:dyDescent="0.25">
      <c r="B3272" s="4">
        <v>3267</v>
      </c>
      <c r="C3272" s="4">
        <v>175.76403409116546</v>
      </c>
      <c r="D3272" s="45"/>
    </row>
    <row r="3273" spans="2:4" ht="16" thickBot="1" x14ac:dyDescent="0.25">
      <c r="B3273" s="5">
        <v>3268</v>
      </c>
      <c r="C3273" s="5">
        <v>92.222976978326145</v>
      </c>
      <c r="D3273" s="45"/>
    </row>
    <row r="3274" spans="2:4" ht="16" thickBot="1" x14ac:dyDescent="0.25">
      <c r="B3274" s="4">
        <v>3269</v>
      </c>
      <c r="C3274" s="4">
        <v>100.13465976408698</v>
      </c>
      <c r="D3274" s="45"/>
    </row>
    <row r="3275" spans="2:4" ht="16" thickBot="1" x14ac:dyDescent="0.25">
      <c r="B3275" s="5">
        <v>3270</v>
      </c>
      <c r="C3275" s="5">
        <v>85.192743076472752</v>
      </c>
      <c r="D3275" s="45"/>
    </row>
    <row r="3276" spans="2:4" ht="16" thickBot="1" x14ac:dyDescent="0.25">
      <c r="B3276" s="4">
        <v>3271</v>
      </c>
      <c r="C3276" s="4">
        <v>120.67677345073699</v>
      </c>
      <c r="D3276" s="45"/>
    </row>
    <row r="3277" spans="2:4" ht="16" thickBot="1" x14ac:dyDescent="0.25">
      <c r="B3277" s="5">
        <v>3272</v>
      </c>
      <c r="C3277" s="5">
        <v>156.2472785921492</v>
      </c>
      <c r="D3277" s="45"/>
    </row>
    <row r="3278" spans="2:4" ht="16" thickBot="1" x14ac:dyDescent="0.25">
      <c r="B3278" s="4">
        <v>3273</v>
      </c>
      <c r="C3278" s="4">
        <v>58.070741049628865</v>
      </c>
      <c r="D3278" s="45"/>
    </row>
    <row r="3279" spans="2:4" ht="16" thickBot="1" x14ac:dyDescent="0.25">
      <c r="B3279" s="5">
        <v>3274</v>
      </c>
      <c r="C3279" s="5">
        <v>529.12502248221597</v>
      </c>
      <c r="D3279" s="45"/>
    </row>
    <row r="3280" spans="2:4" ht="16" thickBot="1" x14ac:dyDescent="0.25">
      <c r="B3280" s="4">
        <v>3275</v>
      </c>
      <c r="C3280" s="4">
        <v>158.42716375137582</v>
      </c>
      <c r="D3280" s="45"/>
    </row>
    <row r="3281" spans="2:4" ht="16" thickBot="1" x14ac:dyDescent="0.25">
      <c r="B3281" s="5">
        <v>3276</v>
      </c>
      <c r="C3281" s="5">
        <v>106.95678612234012</v>
      </c>
      <c r="D3281" s="45"/>
    </row>
    <row r="3282" spans="2:4" ht="16" thickBot="1" x14ac:dyDescent="0.25">
      <c r="B3282" s="4">
        <v>3277</v>
      </c>
      <c r="C3282" s="4">
        <v>193.24822428919575</v>
      </c>
      <c r="D3282" s="45"/>
    </row>
    <row r="3283" spans="2:4" ht="16" thickBot="1" x14ac:dyDescent="0.25">
      <c r="B3283" s="5">
        <v>3278</v>
      </c>
      <c r="C3283" s="5">
        <v>182.30983422067709</v>
      </c>
      <c r="D3283" s="45"/>
    </row>
    <row r="3284" spans="2:4" ht="16" thickBot="1" x14ac:dyDescent="0.25">
      <c r="B3284" s="4">
        <v>3279</v>
      </c>
      <c r="C3284" s="4">
        <v>160.54206145061718</v>
      </c>
      <c r="D3284" s="45"/>
    </row>
    <row r="3285" spans="2:4" ht="16" thickBot="1" x14ac:dyDescent="0.25">
      <c r="B3285" s="5">
        <v>3280</v>
      </c>
      <c r="C3285" s="5">
        <v>162.83385325348885</v>
      </c>
      <c r="D3285" s="45"/>
    </row>
    <row r="3286" spans="2:4" ht="16" thickBot="1" x14ac:dyDescent="0.25">
      <c r="B3286" s="4">
        <v>3281</v>
      </c>
      <c r="C3286" s="4">
        <v>167.99061798406512</v>
      </c>
      <c r="D3286" s="45"/>
    </row>
    <row r="3287" spans="2:4" ht="16" thickBot="1" x14ac:dyDescent="0.25">
      <c r="B3287" s="5">
        <v>3282</v>
      </c>
      <c r="C3287" s="5">
        <v>71.706437388924158</v>
      </c>
      <c r="D3287" s="45"/>
    </row>
    <row r="3288" spans="2:4" ht="16" thickBot="1" x14ac:dyDescent="0.25">
      <c r="B3288" s="4">
        <v>3283</v>
      </c>
      <c r="C3288" s="4">
        <v>105.3782116386361</v>
      </c>
      <c r="D3288" s="45"/>
    </row>
    <row r="3289" spans="2:4" ht="16" thickBot="1" x14ac:dyDescent="0.25">
      <c r="B3289" s="5">
        <v>3284</v>
      </c>
      <c r="C3289" s="5">
        <v>81.27086243810372</v>
      </c>
      <c r="D3289" s="45"/>
    </row>
    <row r="3290" spans="2:4" ht="16" thickBot="1" x14ac:dyDescent="0.25">
      <c r="B3290" s="4">
        <v>3285</v>
      </c>
      <c r="C3290" s="4">
        <v>133.10715289868386</v>
      </c>
      <c r="D3290" s="45"/>
    </row>
    <row r="3291" spans="2:4" ht="16" thickBot="1" x14ac:dyDescent="0.25">
      <c r="B3291" s="5">
        <v>3286</v>
      </c>
      <c r="C3291" s="5">
        <v>113.09541912020885</v>
      </c>
      <c r="D3291" s="45"/>
    </row>
    <row r="3292" spans="2:4" ht="16" thickBot="1" x14ac:dyDescent="0.25">
      <c r="B3292" s="4">
        <v>3287</v>
      </c>
      <c r="C3292" s="4">
        <v>144.37631449350218</v>
      </c>
      <c r="D3292" s="45"/>
    </row>
    <row r="3293" spans="2:4" ht="16" thickBot="1" x14ac:dyDescent="0.25">
      <c r="B3293" s="5">
        <v>3288</v>
      </c>
      <c r="C3293" s="5">
        <v>95.914313543259453</v>
      </c>
      <c r="D3293" s="45"/>
    </row>
    <row r="3294" spans="2:4" ht="16" thickBot="1" x14ac:dyDescent="0.25">
      <c r="B3294" s="4">
        <v>3289</v>
      </c>
      <c r="C3294" s="4">
        <v>130.67641237642371</v>
      </c>
      <c r="D3294" s="45"/>
    </row>
    <row r="3295" spans="2:4" ht="16" thickBot="1" x14ac:dyDescent="0.25">
      <c r="B3295" s="5">
        <v>3290</v>
      </c>
      <c r="C3295" s="5">
        <v>78.090085663978186</v>
      </c>
      <c r="D3295" s="45"/>
    </row>
    <row r="3296" spans="2:4" ht="16" thickBot="1" x14ac:dyDescent="0.25">
      <c r="B3296" s="4">
        <v>3291</v>
      </c>
      <c r="C3296" s="4">
        <v>217.53059928380168</v>
      </c>
      <c r="D3296" s="45"/>
    </row>
    <row r="3297" spans="2:4" ht="16" thickBot="1" x14ac:dyDescent="0.25">
      <c r="B3297" s="5">
        <v>3292</v>
      </c>
      <c r="C3297" s="5">
        <v>224.61774093810129</v>
      </c>
      <c r="D3297" s="45"/>
    </row>
    <row r="3298" spans="2:4" ht="16" thickBot="1" x14ac:dyDescent="0.25">
      <c r="B3298" s="4">
        <v>3293</v>
      </c>
      <c r="C3298" s="4">
        <v>138.95129060840091</v>
      </c>
      <c r="D3298" s="45"/>
    </row>
    <row r="3299" spans="2:4" ht="16" thickBot="1" x14ac:dyDescent="0.25">
      <c r="B3299" s="5">
        <v>3294</v>
      </c>
      <c r="C3299" s="5">
        <v>190.18235451862557</v>
      </c>
      <c r="D3299" s="45"/>
    </row>
    <row r="3300" spans="2:4" ht="16" thickBot="1" x14ac:dyDescent="0.25">
      <c r="B3300" s="4">
        <v>3295</v>
      </c>
      <c r="C3300" s="4">
        <v>163.10447668029653</v>
      </c>
      <c r="D3300" s="45"/>
    </row>
    <row r="3301" spans="2:4" ht="16" thickBot="1" x14ac:dyDescent="0.25">
      <c r="B3301" s="5">
        <v>3296</v>
      </c>
      <c r="C3301" s="5">
        <v>266.21368814629756</v>
      </c>
      <c r="D3301" s="45"/>
    </row>
    <row r="3302" spans="2:4" ht="16" thickBot="1" x14ac:dyDescent="0.25">
      <c r="B3302" s="4">
        <v>3297</v>
      </c>
      <c r="C3302" s="4">
        <v>139.31000493588454</v>
      </c>
      <c r="D3302" s="45"/>
    </row>
    <row r="3303" spans="2:4" ht="16" thickBot="1" x14ac:dyDescent="0.25">
      <c r="B3303" s="5">
        <v>3298</v>
      </c>
      <c r="C3303" s="5">
        <v>285.86375822087854</v>
      </c>
      <c r="D3303" s="45"/>
    </row>
    <row r="3304" spans="2:4" ht="16" thickBot="1" x14ac:dyDescent="0.25">
      <c r="B3304" s="4">
        <v>3299</v>
      </c>
      <c r="C3304" s="4">
        <v>211.52890425193991</v>
      </c>
      <c r="D3304" s="45"/>
    </row>
    <row r="3305" spans="2:4" ht="16" thickBot="1" x14ac:dyDescent="0.25">
      <c r="B3305" s="5">
        <v>3300</v>
      </c>
      <c r="C3305" s="5">
        <v>77.964733229022769</v>
      </c>
      <c r="D3305" s="45"/>
    </row>
    <row r="3306" spans="2:4" ht="16" thickBot="1" x14ac:dyDescent="0.25">
      <c r="B3306" s="4">
        <v>3301</v>
      </c>
      <c r="C3306" s="4">
        <v>215.33031025183146</v>
      </c>
      <c r="D3306" s="45"/>
    </row>
    <row r="3307" spans="2:4" ht="16" thickBot="1" x14ac:dyDescent="0.25">
      <c r="B3307" s="5">
        <v>3302</v>
      </c>
      <c r="C3307" s="5">
        <v>225.38046159721745</v>
      </c>
      <c r="D3307" s="45"/>
    </row>
    <row r="3308" spans="2:4" ht="16" thickBot="1" x14ac:dyDescent="0.25">
      <c r="B3308" s="4">
        <v>3303</v>
      </c>
      <c r="C3308" s="4">
        <v>58.239883592789631</v>
      </c>
      <c r="D3308" s="45"/>
    </row>
    <row r="3309" spans="2:4" ht="16" thickBot="1" x14ac:dyDescent="0.25">
      <c r="B3309" s="5">
        <v>3304</v>
      </c>
      <c r="C3309" s="5">
        <v>365.80463753102538</v>
      </c>
      <c r="D3309" s="45"/>
    </row>
    <row r="3310" spans="2:4" ht="16" thickBot="1" x14ac:dyDescent="0.25">
      <c r="B3310" s="4">
        <v>3305</v>
      </c>
      <c r="C3310" s="4">
        <v>142.86534491803047</v>
      </c>
      <c r="D3310" s="45"/>
    </row>
    <row r="3311" spans="2:4" ht="16" thickBot="1" x14ac:dyDescent="0.25">
      <c r="B3311" s="5">
        <v>3306</v>
      </c>
      <c r="C3311" s="5">
        <v>118.01672258615579</v>
      </c>
      <c r="D3311" s="45"/>
    </row>
    <row r="3312" spans="2:4" ht="16" thickBot="1" x14ac:dyDescent="0.25">
      <c r="B3312" s="4">
        <v>3307</v>
      </c>
      <c r="C3312" s="4">
        <v>154.3312474759081</v>
      </c>
      <c r="D3312" s="45"/>
    </row>
    <row r="3313" spans="2:4" ht="16" thickBot="1" x14ac:dyDescent="0.25">
      <c r="B3313" s="5">
        <v>3308</v>
      </c>
      <c r="C3313" s="5">
        <v>82.999763241238767</v>
      </c>
      <c r="D3313" s="45"/>
    </row>
    <row r="3314" spans="2:4" ht="16" thickBot="1" x14ac:dyDescent="0.25">
      <c r="B3314" s="4">
        <v>3309</v>
      </c>
      <c r="C3314" s="4">
        <v>116.26241978171261</v>
      </c>
      <c r="D3314" s="45"/>
    </row>
    <row r="3315" spans="2:4" ht="16" thickBot="1" x14ac:dyDescent="0.25">
      <c r="B3315" s="5">
        <v>3310</v>
      </c>
      <c r="C3315" s="5">
        <v>162.43342600002089</v>
      </c>
      <c r="D3315" s="45"/>
    </row>
    <row r="3316" spans="2:4" ht="16" thickBot="1" x14ac:dyDescent="0.25">
      <c r="B3316" s="4">
        <v>3311</v>
      </c>
      <c r="C3316" s="4">
        <v>69.621863993434147</v>
      </c>
      <c r="D3316" s="45"/>
    </row>
    <row r="3317" spans="2:4" ht="16" thickBot="1" x14ac:dyDescent="0.25">
      <c r="B3317" s="5">
        <v>3312</v>
      </c>
      <c r="C3317" s="5">
        <v>241.26615913763646</v>
      </c>
      <c r="D3317" s="45"/>
    </row>
    <row r="3318" spans="2:4" ht="16" thickBot="1" x14ac:dyDescent="0.25">
      <c r="B3318" s="4">
        <v>3313</v>
      </c>
      <c r="C3318" s="4">
        <v>168.60036971585384</v>
      </c>
      <c r="D3318" s="45"/>
    </row>
    <row r="3319" spans="2:4" ht="16" thickBot="1" x14ac:dyDescent="0.25">
      <c r="B3319" s="5">
        <v>3314</v>
      </c>
      <c r="C3319" s="5">
        <v>145.0962751766686</v>
      </c>
      <c r="D3319" s="45"/>
    </row>
    <row r="3320" spans="2:4" ht="16" thickBot="1" x14ac:dyDescent="0.25">
      <c r="B3320" s="4">
        <v>3315</v>
      </c>
      <c r="C3320" s="4">
        <v>63.142752410497089</v>
      </c>
      <c r="D3320" s="45"/>
    </row>
    <row r="3321" spans="2:4" ht="16" thickBot="1" x14ac:dyDescent="0.25">
      <c r="B3321" s="5">
        <v>3316</v>
      </c>
      <c r="C3321" s="5">
        <v>90.286099478952835</v>
      </c>
      <c r="D3321" s="45"/>
    </row>
    <row r="3322" spans="2:4" ht="16" thickBot="1" x14ac:dyDescent="0.25">
      <c r="B3322" s="4">
        <v>3317</v>
      </c>
      <c r="C3322" s="4">
        <v>95.66520272469333</v>
      </c>
      <c r="D3322" s="45"/>
    </row>
    <row r="3323" spans="2:4" ht="16" thickBot="1" x14ac:dyDescent="0.25">
      <c r="B3323" s="5">
        <v>3318</v>
      </c>
      <c r="C3323" s="5">
        <v>51.220828164458965</v>
      </c>
      <c r="D3323" s="45"/>
    </row>
    <row r="3324" spans="2:4" ht="16" thickBot="1" x14ac:dyDescent="0.25">
      <c r="B3324" s="4">
        <v>3319</v>
      </c>
      <c r="C3324" s="4">
        <v>148.60907732969503</v>
      </c>
      <c r="D3324" s="45"/>
    </row>
    <row r="3325" spans="2:4" ht="16" thickBot="1" x14ac:dyDescent="0.25">
      <c r="B3325" s="5">
        <v>3320</v>
      </c>
      <c r="C3325" s="5">
        <v>117.69503161362559</v>
      </c>
      <c r="D3325" s="45"/>
    </row>
    <row r="3326" spans="2:4" ht="16" thickBot="1" x14ac:dyDescent="0.25">
      <c r="B3326" s="4">
        <v>3321</v>
      </c>
      <c r="C3326" s="4">
        <v>279.23155129661001</v>
      </c>
      <c r="D3326" s="45"/>
    </row>
    <row r="3327" spans="2:4" ht="16" thickBot="1" x14ac:dyDescent="0.25">
      <c r="B3327" s="5">
        <v>3322</v>
      </c>
      <c r="C3327" s="5">
        <v>115.65471012088656</v>
      </c>
      <c r="D3327" s="45"/>
    </row>
    <row r="3328" spans="2:4" ht="16" thickBot="1" x14ac:dyDescent="0.25">
      <c r="B3328" s="4">
        <v>3323</v>
      </c>
      <c r="C3328" s="4">
        <v>141.04368207451461</v>
      </c>
      <c r="D3328" s="45"/>
    </row>
    <row r="3329" spans="2:4" ht="16" thickBot="1" x14ac:dyDescent="0.25">
      <c r="B3329" s="5">
        <v>3324</v>
      </c>
      <c r="C3329" s="5">
        <v>161.96136331380472</v>
      </c>
      <c r="D3329" s="45"/>
    </row>
    <row r="3330" spans="2:4" ht="16" thickBot="1" x14ac:dyDescent="0.25">
      <c r="B3330" s="4">
        <v>3325</v>
      </c>
      <c r="C3330" s="4">
        <v>80.80233680543833</v>
      </c>
      <c r="D3330" s="45"/>
    </row>
    <row r="3331" spans="2:4" ht="16" thickBot="1" x14ac:dyDescent="0.25">
      <c r="B3331" s="5">
        <v>3326</v>
      </c>
      <c r="C3331" s="5">
        <v>175.11307162973986</v>
      </c>
      <c r="D3331" s="45"/>
    </row>
    <row r="3332" spans="2:4" ht="16" thickBot="1" x14ac:dyDescent="0.25">
      <c r="B3332" s="4">
        <v>3327</v>
      </c>
      <c r="C3332" s="4">
        <v>348.15364345985938</v>
      </c>
      <c r="D3332" s="45"/>
    </row>
    <row r="3333" spans="2:4" ht="16" thickBot="1" x14ac:dyDescent="0.25">
      <c r="B3333" s="5">
        <v>3328</v>
      </c>
      <c r="C3333" s="5">
        <v>145.83989986905831</v>
      </c>
      <c r="D3333" s="45"/>
    </row>
    <row r="3334" spans="2:4" ht="16" thickBot="1" x14ac:dyDescent="0.25">
      <c r="B3334" s="4">
        <v>3329</v>
      </c>
      <c r="C3334" s="4">
        <v>272.35231370914812</v>
      </c>
      <c r="D3334" s="45"/>
    </row>
    <row r="3335" spans="2:4" ht="16" thickBot="1" x14ac:dyDescent="0.25">
      <c r="B3335" s="5">
        <v>3330</v>
      </c>
      <c r="C3335" s="5">
        <v>129.7554152509185</v>
      </c>
      <c r="D3335" s="45"/>
    </row>
    <row r="3336" spans="2:4" ht="16" thickBot="1" x14ac:dyDescent="0.25">
      <c r="B3336" s="4">
        <v>3331</v>
      </c>
      <c r="C3336" s="4">
        <v>155.13209487224199</v>
      </c>
      <c r="D3336" s="45"/>
    </row>
    <row r="3337" spans="2:4" ht="16" thickBot="1" x14ac:dyDescent="0.25">
      <c r="B3337" s="5">
        <v>3332</v>
      </c>
      <c r="C3337" s="5">
        <v>22.692173333035438</v>
      </c>
      <c r="D3337" s="45"/>
    </row>
    <row r="3338" spans="2:4" ht="16" thickBot="1" x14ac:dyDescent="0.25">
      <c r="B3338" s="4">
        <v>3333</v>
      </c>
      <c r="C3338" s="4">
        <v>368.96805069474283</v>
      </c>
      <c r="D3338" s="45"/>
    </row>
    <row r="3339" spans="2:4" ht="16" thickBot="1" x14ac:dyDescent="0.25">
      <c r="B3339" s="5">
        <v>3334</v>
      </c>
      <c r="C3339" s="5">
        <v>355.55797176388393</v>
      </c>
      <c r="D3339" s="45"/>
    </row>
    <row r="3340" spans="2:4" ht="16" thickBot="1" x14ac:dyDescent="0.25">
      <c r="B3340" s="4">
        <v>3335</v>
      </c>
      <c r="C3340" s="4">
        <v>234.98857891863557</v>
      </c>
      <c r="D3340" s="45"/>
    </row>
    <row r="3341" spans="2:4" ht="16" thickBot="1" x14ac:dyDescent="0.25">
      <c r="B3341" s="5">
        <v>3336</v>
      </c>
      <c r="C3341" s="5">
        <v>72.745708689029499</v>
      </c>
      <c r="D3341" s="45"/>
    </row>
    <row r="3342" spans="2:4" ht="16" thickBot="1" x14ac:dyDescent="0.25">
      <c r="B3342" s="4">
        <v>3337</v>
      </c>
      <c r="C3342" s="4">
        <v>152.98593076917496</v>
      </c>
      <c r="D3342" s="45"/>
    </row>
    <row r="3343" spans="2:4" ht="16" thickBot="1" x14ac:dyDescent="0.25">
      <c r="B3343" s="5">
        <v>3338</v>
      </c>
      <c r="C3343" s="5">
        <v>188.99000096865564</v>
      </c>
      <c r="D3343" s="45"/>
    </row>
    <row r="3344" spans="2:4" ht="16" thickBot="1" x14ac:dyDescent="0.25">
      <c r="B3344" s="4">
        <v>3339</v>
      </c>
      <c r="C3344" s="4">
        <v>160.49604035522316</v>
      </c>
      <c r="D3344" s="45"/>
    </row>
    <row r="3345" spans="2:4" ht="16" thickBot="1" x14ac:dyDescent="0.25">
      <c r="B3345" s="5">
        <v>3340</v>
      </c>
      <c r="C3345" s="5">
        <v>117.10776350364074</v>
      </c>
      <c r="D3345" s="45"/>
    </row>
    <row r="3346" spans="2:4" ht="16" thickBot="1" x14ac:dyDescent="0.25">
      <c r="B3346" s="4">
        <v>3341</v>
      </c>
      <c r="C3346" s="4">
        <v>166.33011880361178</v>
      </c>
      <c r="D3346" s="45"/>
    </row>
    <row r="3347" spans="2:4" ht="16" thickBot="1" x14ac:dyDescent="0.25">
      <c r="B3347" s="5">
        <v>3342</v>
      </c>
      <c r="C3347" s="5">
        <v>84.787701414749463</v>
      </c>
      <c r="D3347" s="45"/>
    </row>
    <row r="3348" spans="2:4" ht="16" thickBot="1" x14ac:dyDescent="0.25">
      <c r="B3348" s="4">
        <v>3343</v>
      </c>
      <c r="C3348" s="4">
        <v>177.106828198268</v>
      </c>
      <c r="D3348" s="45"/>
    </row>
    <row r="3349" spans="2:4" ht="16" thickBot="1" x14ac:dyDescent="0.25">
      <c r="B3349" s="5">
        <v>3344</v>
      </c>
      <c r="C3349" s="5">
        <v>106.10357330147666</v>
      </c>
      <c r="D3349" s="45"/>
    </row>
    <row r="3350" spans="2:4" ht="16" thickBot="1" x14ac:dyDescent="0.25">
      <c r="B3350" s="4">
        <v>3345</v>
      </c>
      <c r="C3350" s="4">
        <v>70.162478421297848</v>
      </c>
      <c r="D3350" s="45"/>
    </row>
    <row r="3351" spans="2:4" ht="16" thickBot="1" x14ac:dyDescent="0.25">
      <c r="B3351" s="5">
        <v>3346</v>
      </c>
      <c r="C3351" s="5">
        <v>59.321411796714337</v>
      </c>
      <c r="D3351" s="45"/>
    </row>
    <row r="3352" spans="2:4" ht="16" thickBot="1" x14ac:dyDescent="0.25">
      <c r="B3352" s="4">
        <v>3347</v>
      </c>
      <c r="C3352" s="4">
        <v>233.64986371897049</v>
      </c>
      <c r="D3352" s="45"/>
    </row>
    <row r="3353" spans="2:4" ht="16" thickBot="1" x14ac:dyDescent="0.25">
      <c r="B3353" s="5">
        <v>3348</v>
      </c>
      <c r="C3353" s="5">
        <v>193.74811749266996</v>
      </c>
      <c r="D3353" s="45"/>
    </row>
    <row r="3354" spans="2:4" ht="16" thickBot="1" x14ac:dyDescent="0.25">
      <c r="B3354" s="4">
        <v>3349</v>
      </c>
      <c r="C3354" s="4">
        <v>94.383878078868435</v>
      </c>
      <c r="D3354" s="45"/>
    </row>
    <row r="3355" spans="2:4" ht="16" thickBot="1" x14ac:dyDescent="0.25">
      <c r="B3355" s="5">
        <v>3350</v>
      </c>
      <c r="C3355" s="5">
        <v>81.518293616651107</v>
      </c>
      <c r="D3355" s="45"/>
    </row>
    <row r="3356" spans="2:4" ht="16" thickBot="1" x14ac:dyDescent="0.25">
      <c r="B3356" s="4">
        <v>3351</v>
      </c>
      <c r="C3356" s="4">
        <v>70.075957693898985</v>
      </c>
      <c r="D3356" s="45"/>
    </row>
    <row r="3357" spans="2:4" ht="16" thickBot="1" x14ac:dyDescent="0.25">
      <c r="B3357" s="5">
        <v>3352</v>
      </c>
      <c r="C3357" s="5">
        <v>126.41358506333599</v>
      </c>
      <c r="D3357" s="45"/>
    </row>
    <row r="3358" spans="2:4" ht="16" thickBot="1" x14ac:dyDescent="0.25">
      <c r="B3358" s="4">
        <v>3353</v>
      </c>
      <c r="C3358" s="4">
        <v>335.82934607964546</v>
      </c>
      <c r="D3358" s="45"/>
    </row>
    <row r="3359" spans="2:4" ht="16" thickBot="1" x14ac:dyDescent="0.25">
      <c r="B3359" s="5">
        <v>3354</v>
      </c>
      <c r="C3359" s="5">
        <v>141.08983410900174</v>
      </c>
      <c r="D3359" s="45"/>
    </row>
    <row r="3360" spans="2:4" ht="16" thickBot="1" x14ac:dyDescent="0.25">
      <c r="B3360" s="4">
        <v>3355</v>
      </c>
      <c r="C3360" s="4">
        <v>95.094392471027632</v>
      </c>
      <c r="D3360" s="45"/>
    </row>
    <row r="3361" spans="2:4" ht="16" thickBot="1" x14ac:dyDescent="0.25">
      <c r="B3361" s="5">
        <v>3356</v>
      </c>
      <c r="C3361" s="5">
        <v>224.03775248192701</v>
      </c>
      <c r="D3361" s="45"/>
    </row>
    <row r="3362" spans="2:4" ht="16" thickBot="1" x14ac:dyDescent="0.25">
      <c r="B3362" s="4">
        <v>3357</v>
      </c>
      <c r="C3362" s="4">
        <v>193.9456265158401</v>
      </c>
      <c r="D3362" s="45"/>
    </row>
    <row r="3363" spans="2:4" ht="16" thickBot="1" x14ac:dyDescent="0.25">
      <c r="B3363" s="5">
        <v>3358</v>
      </c>
      <c r="C3363" s="5">
        <v>180.89979206458065</v>
      </c>
      <c r="D3363" s="45"/>
    </row>
    <row r="3364" spans="2:4" ht="16" thickBot="1" x14ac:dyDescent="0.25">
      <c r="B3364" s="4">
        <v>3359</v>
      </c>
      <c r="C3364" s="4">
        <v>239.21288900075626</v>
      </c>
      <c r="D3364" s="45"/>
    </row>
    <row r="3365" spans="2:4" ht="16" thickBot="1" x14ac:dyDescent="0.25">
      <c r="B3365" s="5">
        <v>3360</v>
      </c>
      <c r="C3365" s="5">
        <v>107.30090173742187</v>
      </c>
      <c r="D3365" s="45"/>
    </row>
    <row r="3366" spans="2:4" ht="16" thickBot="1" x14ac:dyDescent="0.25">
      <c r="B3366" s="4">
        <v>3361</v>
      </c>
      <c r="C3366" s="4">
        <v>429.89412635062394</v>
      </c>
      <c r="D3366" s="45"/>
    </row>
    <row r="3367" spans="2:4" ht="16" thickBot="1" x14ac:dyDescent="0.25">
      <c r="B3367" s="5">
        <v>3362</v>
      </c>
      <c r="C3367" s="5">
        <v>231.97323342847949</v>
      </c>
      <c r="D3367" s="45"/>
    </row>
    <row r="3368" spans="2:4" ht="16" thickBot="1" x14ac:dyDescent="0.25">
      <c r="B3368" s="4">
        <v>3363</v>
      </c>
      <c r="C3368" s="4">
        <v>241.73517599722226</v>
      </c>
      <c r="D3368" s="45"/>
    </row>
    <row r="3369" spans="2:4" ht="16" thickBot="1" x14ac:dyDescent="0.25">
      <c r="B3369" s="5">
        <v>3364</v>
      </c>
      <c r="C3369" s="5">
        <v>358.70921308751093</v>
      </c>
      <c r="D3369" s="45"/>
    </row>
    <row r="3370" spans="2:4" ht="16" thickBot="1" x14ac:dyDescent="0.25">
      <c r="B3370" s="4">
        <v>3365</v>
      </c>
      <c r="C3370" s="4">
        <v>174.03134846469158</v>
      </c>
      <c r="D3370" s="45"/>
    </row>
    <row r="3371" spans="2:4" ht="16" thickBot="1" x14ac:dyDescent="0.25">
      <c r="B3371" s="5">
        <v>3366</v>
      </c>
      <c r="C3371" s="5">
        <v>232.97515265328565</v>
      </c>
      <c r="D3371" s="45"/>
    </row>
    <row r="3372" spans="2:4" ht="16" thickBot="1" x14ac:dyDescent="0.25">
      <c r="B3372" s="4">
        <v>3367</v>
      </c>
      <c r="C3372" s="4">
        <v>55.941797277223422</v>
      </c>
      <c r="D3372" s="45"/>
    </row>
    <row r="3373" spans="2:4" ht="16" thickBot="1" x14ac:dyDescent="0.25">
      <c r="B3373" s="5">
        <v>3368</v>
      </c>
      <c r="C3373" s="5">
        <v>168.59040973449345</v>
      </c>
      <c r="D3373" s="45"/>
    </row>
    <row r="3374" spans="2:4" ht="16" thickBot="1" x14ac:dyDescent="0.25">
      <c r="B3374" s="4">
        <v>3369</v>
      </c>
      <c r="C3374" s="4">
        <v>282.66137194880082</v>
      </c>
      <c r="D3374" s="45"/>
    </row>
    <row r="3375" spans="2:4" ht="16" thickBot="1" x14ac:dyDescent="0.25">
      <c r="B3375" s="5">
        <v>3370</v>
      </c>
      <c r="C3375" s="5">
        <v>209.33501614160662</v>
      </c>
      <c r="D3375" s="45"/>
    </row>
    <row r="3376" spans="2:4" ht="16" thickBot="1" x14ac:dyDescent="0.25">
      <c r="B3376" s="4">
        <v>3371</v>
      </c>
      <c r="C3376" s="4">
        <v>128.42273596700022</v>
      </c>
      <c r="D3376" s="45"/>
    </row>
    <row r="3377" spans="2:4" ht="16" thickBot="1" x14ac:dyDescent="0.25">
      <c r="B3377" s="5">
        <v>3372</v>
      </c>
      <c r="C3377" s="5">
        <v>209.56588447678578</v>
      </c>
      <c r="D3377" s="45"/>
    </row>
    <row r="3378" spans="2:4" ht="16" thickBot="1" x14ac:dyDescent="0.25">
      <c r="B3378" s="4">
        <v>3373</v>
      </c>
      <c r="C3378" s="4">
        <v>144.51734317542912</v>
      </c>
      <c r="D3378" s="45"/>
    </row>
    <row r="3379" spans="2:4" ht="16" thickBot="1" x14ac:dyDescent="0.25">
      <c r="B3379" s="5">
        <v>3374</v>
      </c>
      <c r="C3379" s="5">
        <v>136.26210801530391</v>
      </c>
      <c r="D3379" s="45"/>
    </row>
    <row r="3380" spans="2:4" ht="16" thickBot="1" x14ac:dyDescent="0.25">
      <c r="B3380" s="4">
        <v>3375</v>
      </c>
      <c r="C3380" s="4">
        <v>364.0792945979328</v>
      </c>
      <c r="D3380" s="45"/>
    </row>
    <row r="3381" spans="2:4" ht="16" thickBot="1" x14ac:dyDescent="0.25">
      <c r="B3381" s="5">
        <v>3376</v>
      </c>
      <c r="C3381" s="5">
        <v>121.3371215677693</v>
      </c>
      <c r="D3381" s="45"/>
    </row>
    <row r="3382" spans="2:4" ht="16" thickBot="1" x14ac:dyDescent="0.25">
      <c r="B3382" s="4">
        <v>3377</v>
      </c>
      <c r="C3382" s="4">
        <v>62.219152100741418</v>
      </c>
      <c r="D3382" s="45"/>
    </row>
    <row r="3383" spans="2:4" ht="16" thickBot="1" x14ac:dyDescent="0.25">
      <c r="B3383" s="5">
        <v>3378</v>
      </c>
      <c r="C3383" s="5">
        <v>114.80229582529998</v>
      </c>
      <c r="D3383" s="45"/>
    </row>
    <row r="3384" spans="2:4" ht="16" thickBot="1" x14ac:dyDescent="0.25">
      <c r="B3384" s="4">
        <v>3379</v>
      </c>
      <c r="C3384" s="4">
        <v>99.049487500304664</v>
      </c>
      <c r="D3384" s="45"/>
    </row>
    <row r="3385" spans="2:4" ht="16" thickBot="1" x14ac:dyDescent="0.25">
      <c r="B3385" s="5">
        <v>3380</v>
      </c>
      <c r="C3385" s="5">
        <v>235.32085175815368</v>
      </c>
      <c r="D3385" s="45"/>
    </row>
    <row r="3386" spans="2:4" ht="16" thickBot="1" x14ac:dyDescent="0.25">
      <c r="B3386" s="4">
        <v>3381</v>
      </c>
      <c r="C3386" s="4">
        <v>240.99490252825544</v>
      </c>
      <c r="D3386" s="45"/>
    </row>
    <row r="3387" spans="2:4" ht="16" thickBot="1" x14ac:dyDescent="0.25">
      <c r="B3387" s="5">
        <v>3382</v>
      </c>
      <c r="C3387" s="5">
        <v>225.53028286943564</v>
      </c>
      <c r="D3387" s="45"/>
    </row>
    <row r="3388" spans="2:4" ht="16" thickBot="1" x14ac:dyDescent="0.25">
      <c r="B3388" s="4">
        <v>3383</v>
      </c>
      <c r="C3388" s="4">
        <v>224.8275634841747</v>
      </c>
      <c r="D3388" s="45"/>
    </row>
    <row r="3389" spans="2:4" ht="16" thickBot="1" x14ac:dyDescent="0.25">
      <c r="B3389" s="5">
        <v>3384</v>
      </c>
      <c r="C3389" s="5">
        <v>76.757576075540143</v>
      </c>
      <c r="D3389" s="45"/>
    </row>
    <row r="3390" spans="2:4" ht="16" thickBot="1" x14ac:dyDescent="0.25">
      <c r="B3390" s="4">
        <v>3385</v>
      </c>
      <c r="C3390" s="4">
        <v>287.0949706864601</v>
      </c>
      <c r="D3390" s="45"/>
    </row>
    <row r="3391" spans="2:4" ht="16" thickBot="1" x14ac:dyDescent="0.25">
      <c r="B3391" s="5">
        <v>3386</v>
      </c>
      <c r="C3391" s="5">
        <v>151.85207702855666</v>
      </c>
      <c r="D3391" s="45"/>
    </row>
    <row r="3392" spans="2:4" ht="16" thickBot="1" x14ac:dyDescent="0.25">
      <c r="B3392" s="4">
        <v>3387</v>
      </c>
      <c r="C3392" s="4">
        <v>38.174354481994342</v>
      </c>
      <c r="D3392" s="45"/>
    </row>
    <row r="3393" spans="2:4" ht="16" thickBot="1" x14ac:dyDescent="0.25">
      <c r="B3393" s="5">
        <v>3388</v>
      </c>
      <c r="C3393" s="5">
        <v>325.83347743730189</v>
      </c>
      <c r="D3393" s="45"/>
    </row>
    <row r="3394" spans="2:4" ht="16" thickBot="1" x14ac:dyDescent="0.25">
      <c r="B3394" s="4">
        <v>3389</v>
      </c>
      <c r="C3394" s="4">
        <v>138.44715658197535</v>
      </c>
      <c r="D3394" s="45"/>
    </row>
    <row r="3395" spans="2:4" ht="16" thickBot="1" x14ac:dyDescent="0.25">
      <c r="B3395" s="5">
        <v>3390</v>
      </c>
      <c r="C3395" s="5">
        <v>174.63803382509263</v>
      </c>
      <c r="D3395" s="45"/>
    </row>
    <row r="3396" spans="2:4" ht="16" thickBot="1" x14ac:dyDescent="0.25">
      <c r="B3396" s="4">
        <v>3391</v>
      </c>
      <c r="C3396" s="4">
        <v>89.469088323567718</v>
      </c>
      <c r="D3396" s="45"/>
    </row>
    <row r="3397" spans="2:4" ht="16" thickBot="1" x14ac:dyDescent="0.25">
      <c r="B3397" s="5">
        <v>3392</v>
      </c>
      <c r="C3397" s="5">
        <v>191.89192283537517</v>
      </c>
      <c r="D3397" s="45"/>
    </row>
    <row r="3398" spans="2:4" ht="16" thickBot="1" x14ac:dyDescent="0.25">
      <c r="B3398" s="4">
        <v>3393</v>
      </c>
      <c r="C3398" s="4">
        <v>71.009052385220187</v>
      </c>
      <c r="D3398" s="45"/>
    </row>
    <row r="3399" spans="2:4" ht="16" thickBot="1" x14ac:dyDescent="0.25">
      <c r="B3399" s="5">
        <v>3394</v>
      </c>
      <c r="C3399" s="5">
        <v>91.07444318526737</v>
      </c>
      <c r="D3399" s="45"/>
    </row>
    <row r="3400" spans="2:4" ht="16" thickBot="1" x14ac:dyDescent="0.25">
      <c r="B3400" s="4">
        <v>3395</v>
      </c>
      <c r="C3400" s="4">
        <v>109.30936709372617</v>
      </c>
      <c r="D3400" s="45"/>
    </row>
    <row r="3401" spans="2:4" ht="16" thickBot="1" x14ac:dyDescent="0.25">
      <c r="B3401" s="5">
        <v>3396</v>
      </c>
      <c r="C3401" s="5">
        <v>96.900073280422262</v>
      </c>
      <c r="D3401" s="45"/>
    </row>
    <row r="3402" spans="2:4" ht="16" thickBot="1" x14ac:dyDescent="0.25">
      <c r="B3402" s="4">
        <v>3397</v>
      </c>
      <c r="C3402" s="4">
        <v>200.93135995710077</v>
      </c>
      <c r="D3402" s="45"/>
    </row>
    <row r="3403" spans="2:4" ht="16" thickBot="1" x14ac:dyDescent="0.25">
      <c r="B3403" s="5">
        <v>3398</v>
      </c>
      <c r="C3403" s="5">
        <v>121.26947416272998</v>
      </c>
      <c r="D3403" s="45"/>
    </row>
    <row r="3404" spans="2:4" ht="16" thickBot="1" x14ac:dyDescent="0.25">
      <c r="B3404" s="4">
        <v>3399</v>
      </c>
      <c r="C3404" s="4">
        <v>89.509575382513916</v>
      </c>
      <c r="D3404" s="45"/>
    </row>
    <row r="3405" spans="2:4" ht="16" thickBot="1" x14ac:dyDescent="0.25">
      <c r="B3405" s="5">
        <v>3400</v>
      </c>
      <c r="C3405" s="5">
        <v>98.205479696947165</v>
      </c>
      <c r="D3405" s="45"/>
    </row>
    <row r="3406" spans="2:4" ht="16" thickBot="1" x14ac:dyDescent="0.25">
      <c r="B3406" s="4">
        <v>3401</v>
      </c>
      <c r="C3406" s="4">
        <v>68.79350152695028</v>
      </c>
      <c r="D3406" s="45"/>
    </row>
    <row r="3407" spans="2:4" ht="16" thickBot="1" x14ac:dyDescent="0.25">
      <c r="B3407" s="5">
        <v>3402</v>
      </c>
      <c r="C3407" s="5">
        <v>175.79450797710095</v>
      </c>
      <c r="D3407" s="45"/>
    </row>
    <row r="3408" spans="2:4" ht="16" thickBot="1" x14ac:dyDescent="0.25">
      <c r="B3408" s="4">
        <v>3403</v>
      </c>
      <c r="C3408" s="4">
        <v>78.010505369647476</v>
      </c>
      <c r="D3408" s="45"/>
    </row>
    <row r="3409" spans="2:4" ht="16" thickBot="1" x14ac:dyDescent="0.25">
      <c r="B3409" s="5">
        <v>3404</v>
      </c>
      <c r="C3409" s="5">
        <v>108.96059698599251</v>
      </c>
      <c r="D3409" s="45"/>
    </row>
    <row r="3410" spans="2:4" ht="16" thickBot="1" x14ac:dyDescent="0.25">
      <c r="B3410" s="4">
        <v>3405</v>
      </c>
      <c r="C3410" s="4">
        <v>156.37619227020201</v>
      </c>
      <c r="D3410" s="45"/>
    </row>
    <row r="3411" spans="2:4" ht="16" thickBot="1" x14ac:dyDescent="0.25">
      <c r="B3411" s="5">
        <v>3406</v>
      </c>
      <c r="C3411" s="5">
        <v>348.55318917206057</v>
      </c>
      <c r="D3411" s="45"/>
    </row>
    <row r="3412" spans="2:4" ht="16" thickBot="1" x14ac:dyDescent="0.25">
      <c r="B3412" s="4">
        <v>3407</v>
      </c>
      <c r="C3412" s="4">
        <v>126.30505985014324</v>
      </c>
      <c r="D3412" s="45"/>
    </row>
    <row r="3413" spans="2:4" ht="16" thickBot="1" x14ac:dyDescent="0.25">
      <c r="B3413" s="5">
        <v>3408</v>
      </c>
      <c r="C3413" s="5">
        <v>156.88855314856536</v>
      </c>
      <c r="D3413" s="45"/>
    </row>
    <row r="3414" spans="2:4" ht="16" thickBot="1" x14ac:dyDescent="0.25">
      <c r="B3414" s="4">
        <v>3409</v>
      </c>
      <c r="C3414" s="4">
        <v>86.413937773652862</v>
      </c>
      <c r="D3414" s="45"/>
    </row>
    <row r="3415" spans="2:4" ht="16" thickBot="1" x14ac:dyDescent="0.25">
      <c r="B3415" s="5">
        <v>3410</v>
      </c>
      <c r="C3415" s="5">
        <v>422.03995871163283</v>
      </c>
      <c r="D3415" s="45"/>
    </row>
    <row r="3416" spans="2:4" ht="16" thickBot="1" x14ac:dyDescent="0.25">
      <c r="B3416" s="4">
        <v>3411</v>
      </c>
      <c r="C3416" s="4">
        <v>456.8568452409616</v>
      </c>
      <c r="D3416" s="45"/>
    </row>
    <row r="3417" spans="2:4" ht="16" thickBot="1" x14ac:dyDescent="0.25">
      <c r="B3417" s="5">
        <v>3412</v>
      </c>
      <c r="C3417" s="5">
        <v>143.36108860214568</v>
      </c>
      <c r="D3417" s="45"/>
    </row>
    <row r="3418" spans="2:4" ht="16" thickBot="1" x14ac:dyDescent="0.25">
      <c r="B3418" s="4">
        <v>3413</v>
      </c>
      <c r="C3418" s="4">
        <v>184.6544497424407</v>
      </c>
      <c r="D3418" s="45"/>
    </row>
    <row r="3419" spans="2:4" ht="16" thickBot="1" x14ac:dyDescent="0.25">
      <c r="B3419" s="5">
        <v>3414</v>
      </c>
      <c r="C3419" s="5">
        <v>285.09252379705958</v>
      </c>
      <c r="D3419" s="45"/>
    </row>
    <row r="3420" spans="2:4" ht="16" thickBot="1" x14ac:dyDescent="0.25">
      <c r="B3420" s="4">
        <v>3415</v>
      </c>
      <c r="C3420" s="4">
        <v>215.083947669341</v>
      </c>
      <c r="D3420" s="45"/>
    </row>
    <row r="3421" spans="2:4" ht="16" thickBot="1" x14ac:dyDescent="0.25">
      <c r="B3421" s="5">
        <v>3416</v>
      </c>
      <c r="C3421" s="5">
        <v>138.2732986143493</v>
      </c>
      <c r="D3421" s="45"/>
    </row>
    <row r="3422" spans="2:4" ht="16" thickBot="1" x14ac:dyDescent="0.25">
      <c r="B3422" s="4">
        <v>3417</v>
      </c>
      <c r="C3422" s="4">
        <v>73.11288967093229</v>
      </c>
      <c r="D3422" s="45"/>
    </row>
    <row r="3423" spans="2:4" ht="16" thickBot="1" x14ac:dyDescent="0.25">
      <c r="B3423" s="5">
        <v>3418</v>
      </c>
      <c r="C3423" s="5">
        <v>191.24734537025083</v>
      </c>
      <c r="D3423" s="45"/>
    </row>
    <row r="3424" spans="2:4" ht="16" thickBot="1" x14ac:dyDescent="0.25">
      <c r="B3424" s="4">
        <v>3419</v>
      </c>
      <c r="C3424" s="4">
        <v>152.35463650625522</v>
      </c>
      <c r="D3424" s="45"/>
    </row>
    <row r="3425" spans="2:4" ht="16" thickBot="1" x14ac:dyDescent="0.25">
      <c r="B3425" s="5">
        <v>3420</v>
      </c>
      <c r="C3425" s="5">
        <v>180.45099514112223</v>
      </c>
      <c r="D3425" s="45"/>
    </row>
    <row r="3426" spans="2:4" ht="16" thickBot="1" x14ac:dyDescent="0.25">
      <c r="B3426" s="4">
        <v>3421</v>
      </c>
      <c r="C3426" s="4">
        <v>261.11439463746785</v>
      </c>
      <c r="D3426" s="45"/>
    </row>
    <row r="3427" spans="2:4" ht="16" thickBot="1" x14ac:dyDescent="0.25">
      <c r="B3427" s="5">
        <v>3422</v>
      </c>
      <c r="C3427" s="5">
        <v>67.698365459588359</v>
      </c>
      <c r="D3427" s="45"/>
    </row>
    <row r="3428" spans="2:4" ht="16" thickBot="1" x14ac:dyDescent="0.25">
      <c r="B3428" s="4">
        <v>3423</v>
      </c>
      <c r="C3428" s="4">
        <v>278.23373522257009</v>
      </c>
      <c r="D3428" s="45"/>
    </row>
    <row r="3429" spans="2:4" ht="16" thickBot="1" x14ac:dyDescent="0.25">
      <c r="B3429" s="5">
        <v>3424</v>
      </c>
      <c r="C3429" s="5">
        <v>112.58369728023715</v>
      </c>
      <c r="D3429" s="45"/>
    </row>
    <row r="3430" spans="2:4" ht="16" thickBot="1" x14ac:dyDescent="0.25">
      <c r="B3430" s="4">
        <v>3425</v>
      </c>
      <c r="C3430" s="4">
        <v>147.351004462253</v>
      </c>
      <c r="D3430" s="45"/>
    </row>
    <row r="3431" spans="2:4" ht="16" thickBot="1" x14ac:dyDescent="0.25">
      <c r="B3431" s="5">
        <v>3426</v>
      </c>
      <c r="C3431" s="5">
        <v>216.06603168186072</v>
      </c>
      <c r="D3431" s="45"/>
    </row>
    <row r="3432" spans="2:4" ht="16" thickBot="1" x14ac:dyDescent="0.25">
      <c r="B3432" s="4">
        <v>3427</v>
      </c>
      <c r="C3432" s="4">
        <v>214.18925680569848</v>
      </c>
      <c r="D3432" s="45"/>
    </row>
    <row r="3433" spans="2:4" ht="16" thickBot="1" x14ac:dyDescent="0.25">
      <c r="B3433" s="5">
        <v>3428</v>
      </c>
      <c r="C3433" s="5">
        <v>120.23228753967459</v>
      </c>
      <c r="D3433" s="45"/>
    </row>
    <row r="3434" spans="2:4" ht="16" thickBot="1" x14ac:dyDescent="0.25">
      <c r="B3434" s="4">
        <v>3429</v>
      </c>
      <c r="C3434" s="4">
        <v>111.6982728537681</v>
      </c>
      <c r="D3434" s="45"/>
    </row>
    <row r="3435" spans="2:4" ht="16" thickBot="1" x14ac:dyDescent="0.25">
      <c r="B3435" s="5">
        <v>3430</v>
      </c>
      <c r="C3435" s="5">
        <v>194.10707854236674</v>
      </c>
      <c r="D3435" s="45"/>
    </row>
    <row r="3436" spans="2:4" ht="16" thickBot="1" x14ac:dyDescent="0.25">
      <c r="B3436" s="4">
        <v>3431</v>
      </c>
      <c r="C3436" s="4">
        <v>109.77926210902507</v>
      </c>
      <c r="D3436" s="45"/>
    </row>
    <row r="3437" spans="2:4" ht="16" thickBot="1" x14ac:dyDescent="0.25">
      <c r="B3437" s="5">
        <v>3432</v>
      </c>
      <c r="C3437" s="5">
        <v>235.24906588138646</v>
      </c>
      <c r="D3437" s="45"/>
    </row>
    <row r="3438" spans="2:4" ht="16" thickBot="1" x14ac:dyDescent="0.25">
      <c r="B3438" s="4">
        <v>3433</v>
      </c>
      <c r="C3438" s="4">
        <v>211.78166961217227</v>
      </c>
      <c r="D3438" s="45"/>
    </row>
    <row r="3439" spans="2:4" ht="16" thickBot="1" x14ac:dyDescent="0.25">
      <c r="B3439" s="5">
        <v>3434</v>
      </c>
      <c r="C3439" s="5">
        <v>108.07962406536672</v>
      </c>
      <c r="D3439" s="45"/>
    </row>
    <row r="3440" spans="2:4" ht="16" thickBot="1" x14ac:dyDescent="0.25">
      <c r="B3440" s="4">
        <v>3435</v>
      </c>
      <c r="C3440" s="4">
        <v>101.0167904100505</v>
      </c>
      <c r="D3440" s="45"/>
    </row>
    <row r="3441" spans="2:4" ht="16" thickBot="1" x14ac:dyDescent="0.25">
      <c r="B3441" s="5">
        <v>3436</v>
      </c>
      <c r="C3441" s="5">
        <v>96.492437138326224</v>
      </c>
      <c r="D3441" s="45"/>
    </row>
    <row r="3442" spans="2:4" ht="16" thickBot="1" x14ac:dyDescent="0.25">
      <c r="B3442" s="4">
        <v>3437</v>
      </c>
      <c r="C3442" s="4">
        <v>143.96970870838533</v>
      </c>
      <c r="D3442" s="45"/>
    </row>
    <row r="3443" spans="2:4" ht="16" thickBot="1" x14ac:dyDescent="0.25">
      <c r="B3443" s="5">
        <v>3438</v>
      </c>
      <c r="C3443" s="5">
        <v>231.34897127356751</v>
      </c>
      <c r="D3443" s="45"/>
    </row>
    <row r="3444" spans="2:4" ht="16" thickBot="1" x14ac:dyDescent="0.25">
      <c r="B3444" s="4">
        <v>3439</v>
      </c>
      <c r="C3444" s="4">
        <v>133.95899471165632</v>
      </c>
      <c r="D3444" s="45"/>
    </row>
    <row r="3445" spans="2:4" ht="16" thickBot="1" x14ac:dyDescent="0.25">
      <c r="B3445" s="5">
        <v>3440</v>
      </c>
      <c r="C3445" s="5">
        <v>108.6984902650342</v>
      </c>
      <c r="D3445" s="45"/>
    </row>
    <row r="3446" spans="2:4" ht="16" thickBot="1" x14ac:dyDescent="0.25">
      <c r="B3446" s="4">
        <v>3441</v>
      </c>
      <c r="C3446" s="4">
        <v>118.98006357827647</v>
      </c>
      <c r="D3446" s="45"/>
    </row>
    <row r="3447" spans="2:4" ht="16" thickBot="1" x14ac:dyDescent="0.25">
      <c r="B3447" s="5">
        <v>3442</v>
      </c>
      <c r="C3447" s="5">
        <v>280.327234385027</v>
      </c>
      <c r="D3447" s="45"/>
    </row>
    <row r="3448" spans="2:4" ht="16" thickBot="1" x14ac:dyDescent="0.25">
      <c r="B3448" s="4">
        <v>3443</v>
      </c>
      <c r="C3448" s="4">
        <v>123.91163532627931</v>
      </c>
      <c r="D3448" s="45"/>
    </row>
    <row r="3449" spans="2:4" ht="16" thickBot="1" x14ac:dyDescent="0.25">
      <c r="B3449" s="5">
        <v>3444</v>
      </c>
      <c r="C3449" s="5">
        <v>78.32531830766591</v>
      </c>
      <c r="D3449" s="45"/>
    </row>
    <row r="3450" spans="2:4" ht="16" thickBot="1" x14ac:dyDescent="0.25">
      <c r="B3450" s="4">
        <v>3445</v>
      </c>
      <c r="C3450" s="4">
        <v>95.910252917212091</v>
      </c>
      <c r="D3450" s="45"/>
    </row>
    <row r="3451" spans="2:4" ht="16" thickBot="1" x14ac:dyDescent="0.25">
      <c r="B3451" s="5">
        <v>3446</v>
      </c>
      <c r="C3451" s="5">
        <v>472.85323284114605</v>
      </c>
      <c r="D3451" s="45"/>
    </row>
    <row r="3452" spans="2:4" ht="16" thickBot="1" x14ac:dyDescent="0.25">
      <c r="B3452" s="4">
        <v>3447</v>
      </c>
      <c r="C3452" s="4">
        <v>129.48619039490669</v>
      </c>
      <c r="D3452" s="45"/>
    </row>
    <row r="3453" spans="2:4" ht="16" thickBot="1" x14ac:dyDescent="0.25">
      <c r="B3453" s="5">
        <v>3448</v>
      </c>
      <c r="C3453" s="5">
        <v>186.00835633429716</v>
      </c>
      <c r="D3453" s="45"/>
    </row>
    <row r="3454" spans="2:4" ht="16" thickBot="1" x14ac:dyDescent="0.25">
      <c r="B3454" s="4">
        <v>3449</v>
      </c>
      <c r="C3454" s="4">
        <v>301.85353297836076</v>
      </c>
      <c r="D3454" s="45"/>
    </row>
    <row r="3455" spans="2:4" ht="16" thickBot="1" x14ac:dyDescent="0.25">
      <c r="B3455" s="5">
        <v>3450</v>
      </c>
      <c r="C3455" s="5">
        <v>118.60857490552151</v>
      </c>
      <c r="D3455" s="45"/>
    </row>
    <row r="3456" spans="2:4" ht="16" thickBot="1" x14ac:dyDescent="0.25">
      <c r="B3456" s="4">
        <v>3451</v>
      </c>
      <c r="C3456" s="4">
        <v>238.95378460700866</v>
      </c>
      <c r="D3456" s="45"/>
    </row>
    <row r="3457" spans="2:4" ht="16" thickBot="1" x14ac:dyDescent="0.25">
      <c r="B3457" s="5">
        <v>3452</v>
      </c>
      <c r="C3457" s="5">
        <v>266.65365611969031</v>
      </c>
      <c r="D3457" s="45"/>
    </row>
    <row r="3458" spans="2:4" ht="16" thickBot="1" x14ac:dyDescent="0.25">
      <c r="B3458" s="4">
        <v>3453</v>
      </c>
      <c r="C3458" s="4">
        <v>95.983850446245768</v>
      </c>
      <c r="D3458" s="45"/>
    </row>
    <row r="3459" spans="2:4" ht="16" thickBot="1" x14ac:dyDescent="0.25">
      <c r="B3459" s="5">
        <v>3454</v>
      </c>
      <c r="C3459" s="5">
        <v>160.43747022789537</v>
      </c>
      <c r="D3459" s="45"/>
    </row>
    <row r="3460" spans="2:4" ht="16" thickBot="1" x14ac:dyDescent="0.25">
      <c r="B3460" s="4">
        <v>3455</v>
      </c>
      <c r="C3460" s="4">
        <v>338.47765723798432</v>
      </c>
      <c r="D3460" s="45"/>
    </row>
    <row r="3461" spans="2:4" ht="16" thickBot="1" x14ac:dyDescent="0.25">
      <c r="B3461" s="5">
        <v>3456</v>
      </c>
      <c r="C3461" s="5">
        <v>84.407551621248928</v>
      </c>
      <c r="D3461" s="45"/>
    </row>
    <row r="3462" spans="2:4" ht="16" thickBot="1" x14ac:dyDescent="0.25">
      <c r="B3462" s="4">
        <v>3457</v>
      </c>
      <c r="C3462" s="4">
        <v>166.25578819666876</v>
      </c>
      <c r="D3462" s="45"/>
    </row>
    <row r="3463" spans="2:4" ht="16" thickBot="1" x14ac:dyDescent="0.25">
      <c r="B3463" s="5">
        <v>3458</v>
      </c>
      <c r="C3463" s="5">
        <v>231.23496729780481</v>
      </c>
      <c r="D3463" s="45"/>
    </row>
    <row r="3464" spans="2:4" ht="16" thickBot="1" x14ac:dyDescent="0.25">
      <c r="B3464" s="4">
        <v>3459</v>
      </c>
      <c r="C3464" s="4">
        <v>161.79874090328354</v>
      </c>
      <c r="D3464" s="45"/>
    </row>
    <row r="3465" spans="2:4" ht="16" thickBot="1" x14ac:dyDescent="0.25">
      <c r="B3465" s="5">
        <v>3460</v>
      </c>
      <c r="C3465" s="5">
        <v>40.264466978317913</v>
      </c>
      <c r="D3465" s="45"/>
    </row>
    <row r="3466" spans="2:4" ht="16" thickBot="1" x14ac:dyDescent="0.25">
      <c r="B3466" s="4">
        <v>3461</v>
      </c>
      <c r="C3466" s="4">
        <v>221.53294279371573</v>
      </c>
      <c r="D3466" s="45"/>
    </row>
    <row r="3467" spans="2:4" ht="16" thickBot="1" x14ac:dyDescent="0.25">
      <c r="B3467" s="5">
        <v>3462</v>
      </c>
      <c r="C3467" s="5">
        <v>101.97737237556707</v>
      </c>
      <c r="D3467" s="45"/>
    </row>
    <row r="3468" spans="2:4" ht="16" thickBot="1" x14ac:dyDescent="0.25">
      <c r="B3468" s="4">
        <v>3463</v>
      </c>
      <c r="C3468" s="4">
        <v>152.16150917816279</v>
      </c>
      <c r="D3468" s="45"/>
    </row>
    <row r="3469" spans="2:4" ht="16" thickBot="1" x14ac:dyDescent="0.25">
      <c r="B3469" s="5">
        <v>3464</v>
      </c>
      <c r="C3469" s="5">
        <v>244.21433116547826</v>
      </c>
      <c r="D3469" s="45"/>
    </row>
    <row r="3470" spans="2:4" ht="16" thickBot="1" x14ac:dyDescent="0.25">
      <c r="B3470" s="4">
        <v>3465</v>
      </c>
      <c r="C3470" s="4">
        <v>260.14416946745428</v>
      </c>
      <c r="D3470" s="45"/>
    </row>
    <row r="3471" spans="2:4" ht="16" thickBot="1" x14ac:dyDescent="0.25">
      <c r="B3471" s="5">
        <v>3466</v>
      </c>
      <c r="C3471" s="5">
        <v>165.49965996966262</v>
      </c>
      <c r="D3471" s="45"/>
    </row>
    <row r="3472" spans="2:4" ht="16" thickBot="1" x14ac:dyDescent="0.25">
      <c r="B3472" s="4">
        <v>3467</v>
      </c>
      <c r="C3472" s="4">
        <v>161.7820320329248</v>
      </c>
      <c r="D3472" s="45"/>
    </row>
    <row r="3473" spans="2:4" ht="16" thickBot="1" x14ac:dyDescent="0.25">
      <c r="B3473" s="5">
        <v>3468</v>
      </c>
      <c r="C3473" s="5">
        <v>143.47065518228391</v>
      </c>
      <c r="D3473" s="45"/>
    </row>
    <row r="3474" spans="2:4" ht="16" thickBot="1" x14ac:dyDescent="0.25">
      <c r="B3474" s="4">
        <v>3469</v>
      </c>
      <c r="C3474" s="4">
        <v>156.60969250021361</v>
      </c>
      <c r="D3474" s="45"/>
    </row>
    <row r="3475" spans="2:4" ht="16" thickBot="1" x14ac:dyDescent="0.25">
      <c r="B3475" s="5">
        <v>3470</v>
      </c>
      <c r="C3475" s="5">
        <v>86.469298444354081</v>
      </c>
      <c r="D3475" s="45"/>
    </row>
    <row r="3476" spans="2:4" ht="16" thickBot="1" x14ac:dyDescent="0.25">
      <c r="B3476" s="4">
        <v>3471</v>
      </c>
      <c r="C3476" s="4">
        <v>198.13826293005161</v>
      </c>
      <c r="D3476" s="45"/>
    </row>
    <row r="3477" spans="2:4" ht="16" thickBot="1" x14ac:dyDescent="0.25">
      <c r="B3477" s="5">
        <v>3472</v>
      </c>
      <c r="C3477" s="5">
        <v>213.84116583286152</v>
      </c>
      <c r="D3477" s="45"/>
    </row>
    <row r="3478" spans="2:4" ht="16" thickBot="1" x14ac:dyDescent="0.25">
      <c r="B3478" s="4">
        <v>3473</v>
      </c>
      <c r="C3478" s="4">
        <v>144.02288882023072</v>
      </c>
      <c r="D3478" s="45"/>
    </row>
    <row r="3479" spans="2:4" ht="16" thickBot="1" x14ac:dyDescent="0.25">
      <c r="B3479" s="5">
        <v>3474</v>
      </c>
      <c r="C3479" s="5">
        <v>135.13316219229077</v>
      </c>
      <c r="D3479" s="45"/>
    </row>
    <row r="3480" spans="2:4" ht="16" thickBot="1" x14ac:dyDescent="0.25">
      <c r="B3480" s="4">
        <v>3475</v>
      </c>
      <c r="C3480" s="4">
        <v>107.75554906811004</v>
      </c>
      <c r="D3480" s="45"/>
    </row>
    <row r="3481" spans="2:4" ht="16" thickBot="1" x14ac:dyDescent="0.25">
      <c r="B3481" s="5">
        <v>3476</v>
      </c>
      <c r="C3481" s="5">
        <v>160.3848340344675</v>
      </c>
      <c r="D3481" s="45"/>
    </row>
    <row r="3482" spans="2:4" ht="16" thickBot="1" x14ac:dyDescent="0.25">
      <c r="B3482" s="4">
        <v>3477</v>
      </c>
      <c r="C3482" s="4">
        <v>128.67690019489254</v>
      </c>
      <c r="D3482" s="45"/>
    </row>
    <row r="3483" spans="2:4" ht="16" thickBot="1" x14ac:dyDescent="0.25">
      <c r="B3483" s="5">
        <v>3478</v>
      </c>
      <c r="C3483" s="5">
        <v>107.46671278562118</v>
      </c>
      <c r="D3483" s="45"/>
    </row>
    <row r="3484" spans="2:4" ht="16" thickBot="1" x14ac:dyDescent="0.25">
      <c r="B3484" s="4">
        <v>3479</v>
      </c>
      <c r="C3484" s="4">
        <v>243.23085908533238</v>
      </c>
      <c r="D3484" s="45"/>
    </row>
    <row r="3485" spans="2:4" ht="16" thickBot="1" x14ac:dyDescent="0.25">
      <c r="B3485" s="5">
        <v>3480</v>
      </c>
      <c r="C3485" s="5">
        <v>213.96926547750803</v>
      </c>
      <c r="D3485" s="45"/>
    </row>
    <row r="3486" spans="2:4" ht="16" thickBot="1" x14ac:dyDescent="0.25">
      <c r="B3486" s="4">
        <v>3481</v>
      </c>
      <c r="C3486" s="4">
        <v>325.9611339129176</v>
      </c>
      <c r="D3486" s="45"/>
    </row>
    <row r="3487" spans="2:4" ht="16" thickBot="1" x14ac:dyDescent="0.25">
      <c r="B3487" s="5">
        <v>3482</v>
      </c>
      <c r="C3487" s="5">
        <v>133.17239730266752</v>
      </c>
      <c r="D3487" s="45"/>
    </row>
    <row r="3488" spans="2:4" ht="16" thickBot="1" x14ac:dyDescent="0.25">
      <c r="B3488" s="4">
        <v>3483</v>
      </c>
      <c r="C3488" s="4">
        <v>160.92048272609662</v>
      </c>
      <c r="D3488" s="45"/>
    </row>
    <row r="3489" spans="2:4" ht="16" thickBot="1" x14ac:dyDescent="0.25">
      <c r="B3489" s="5">
        <v>3484</v>
      </c>
      <c r="C3489" s="5">
        <v>105.28245011196604</v>
      </c>
      <c r="D3489" s="45"/>
    </row>
    <row r="3490" spans="2:4" ht="16" thickBot="1" x14ac:dyDescent="0.25">
      <c r="B3490" s="4">
        <v>3485</v>
      </c>
      <c r="C3490" s="4">
        <v>206.18690744284063</v>
      </c>
      <c r="D3490" s="45"/>
    </row>
    <row r="3491" spans="2:4" ht="16" thickBot="1" x14ac:dyDescent="0.25">
      <c r="B3491" s="5">
        <v>3486</v>
      </c>
      <c r="C3491" s="5">
        <v>98.177395756386758</v>
      </c>
      <c r="D3491" s="45"/>
    </row>
    <row r="3492" spans="2:4" ht="16" thickBot="1" x14ac:dyDescent="0.25">
      <c r="B3492" s="4">
        <v>3487</v>
      </c>
      <c r="C3492" s="4">
        <v>123.84351273212582</v>
      </c>
      <c r="D3492" s="45"/>
    </row>
    <row r="3493" spans="2:4" ht="16" thickBot="1" x14ac:dyDescent="0.25">
      <c r="B3493" s="5">
        <v>3488</v>
      </c>
      <c r="C3493" s="5">
        <v>136.38530084730039</v>
      </c>
      <c r="D3493" s="45"/>
    </row>
    <row r="3494" spans="2:4" ht="16" thickBot="1" x14ac:dyDescent="0.25">
      <c r="B3494" s="4">
        <v>3489</v>
      </c>
      <c r="C3494" s="4">
        <v>185.58218435466082</v>
      </c>
      <c r="D3494" s="45"/>
    </row>
    <row r="3495" spans="2:4" ht="16" thickBot="1" x14ac:dyDescent="0.25">
      <c r="B3495" s="5">
        <v>3490</v>
      </c>
      <c r="C3495" s="5">
        <v>245.48189542240669</v>
      </c>
      <c r="D3495" s="45"/>
    </row>
    <row r="3496" spans="2:4" ht="16" thickBot="1" x14ac:dyDescent="0.25">
      <c r="B3496" s="4">
        <v>3491</v>
      </c>
      <c r="C3496" s="4">
        <v>114.8094101832254</v>
      </c>
      <c r="D3496" s="45"/>
    </row>
    <row r="3497" spans="2:4" ht="16" thickBot="1" x14ac:dyDescent="0.25">
      <c r="B3497" s="5">
        <v>3492</v>
      </c>
      <c r="C3497" s="5">
        <v>117.92204981470853</v>
      </c>
      <c r="D3497" s="45"/>
    </row>
    <row r="3498" spans="2:4" ht="16" thickBot="1" x14ac:dyDescent="0.25">
      <c r="B3498" s="4">
        <v>3493</v>
      </c>
      <c r="C3498" s="4">
        <v>97.794466082369212</v>
      </c>
      <c r="D3498" s="45"/>
    </row>
    <row r="3499" spans="2:4" ht="16" thickBot="1" x14ac:dyDescent="0.25">
      <c r="B3499" s="5">
        <v>3494</v>
      </c>
      <c r="C3499" s="5">
        <v>118.45243905076164</v>
      </c>
      <c r="D3499" s="45"/>
    </row>
    <row r="3500" spans="2:4" ht="16" thickBot="1" x14ac:dyDescent="0.25">
      <c r="B3500" s="4">
        <v>3495</v>
      </c>
      <c r="C3500" s="4">
        <v>50.880011705180266</v>
      </c>
      <c r="D3500" s="45"/>
    </row>
    <row r="3501" spans="2:4" ht="16" thickBot="1" x14ac:dyDescent="0.25">
      <c r="B3501" s="5">
        <v>3496</v>
      </c>
      <c r="C3501" s="5">
        <v>136.50975522757824</v>
      </c>
      <c r="D3501" s="45"/>
    </row>
    <row r="3502" spans="2:4" ht="16" thickBot="1" x14ac:dyDescent="0.25">
      <c r="B3502" s="4">
        <v>3497</v>
      </c>
      <c r="C3502" s="4">
        <v>101.10870783778677</v>
      </c>
      <c r="D3502" s="45"/>
    </row>
    <row r="3503" spans="2:4" ht="16" thickBot="1" x14ac:dyDescent="0.25">
      <c r="B3503" s="5">
        <v>3498</v>
      </c>
      <c r="C3503" s="5">
        <v>160.59792030579604</v>
      </c>
      <c r="D3503" s="45"/>
    </row>
    <row r="3504" spans="2:4" ht="16" thickBot="1" x14ac:dyDescent="0.25">
      <c r="B3504" s="4">
        <v>3499</v>
      </c>
      <c r="C3504" s="4">
        <v>123.91692731043983</v>
      </c>
      <c r="D3504" s="45"/>
    </row>
    <row r="3505" spans="2:4" ht="16" thickBot="1" x14ac:dyDescent="0.25">
      <c r="B3505" s="5">
        <v>3500</v>
      </c>
      <c r="C3505" s="5">
        <v>96.084070555266052</v>
      </c>
      <c r="D3505" s="45"/>
    </row>
    <row r="3506" spans="2:4" ht="16" thickBot="1" x14ac:dyDescent="0.25">
      <c r="B3506" s="4">
        <v>3501</v>
      </c>
      <c r="C3506" s="4">
        <v>85.287123698530138</v>
      </c>
      <c r="D3506" s="45"/>
    </row>
    <row r="3507" spans="2:4" ht="16" thickBot="1" x14ac:dyDescent="0.25">
      <c r="B3507" s="5">
        <v>3502</v>
      </c>
      <c r="C3507" s="5">
        <v>218.04283521215248</v>
      </c>
      <c r="D3507" s="45"/>
    </row>
    <row r="3508" spans="2:4" ht="16" thickBot="1" x14ac:dyDescent="0.25">
      <c r="B3508" s="4">
        <v>3503</v>
      </c>
      <c r="C3508" s="4">
        <v>93.959673229886846</v>
      </c>
      <c r="D3508" s="45"/>
    </row>
    <row r="3509" spans="2:4" ht="16" thickBot="1" x14ac:dyDescent="0.25">
      <c r="B3509" s="5">
        <v>3504</v>
      </c>
      <c r="C3509" s="5">
        <v>319.87879685379403</v>
      </c>
      <c r="D3509" s="45"/>
    </row>
    <row r="3510" spans="2:4" ht="16" thickBot="1" x14ac:dyDescent="0.25">
      <c r="B3510" s="4">
        <v>3505</v>
      </c>
      <c r="C3510" s="4">
        <v>220.23007694977176</v>
      </c>
      <c r="D3510" s="45"/>
    </row>
    <row r="3511" spans="2:4" ht="16" thickBot="1" x14ac:dyDescent="0.25">
      <c r="B3511" s="5">
        <v>3506</v>
      </c>
      <c r="C3511" s="5">
        <v>88.496381106029105</v>
      </c>
      <c r="D3511" s="45"/>
    </row>
    <row r="3512" spans="2:4" ht="16" thickBot="1" x14ac:dyDescent="0.25">
      <c r="B3512" s="4">
        <v>3507</v>
      </c>
      <c r="C3512" s="4">
        <v>304.89361907779778</v>
      </c>
      <c r="D3512" s="45"/>
    </row>
    <row r="3513" spans="2:4" ht="16" thickBot="1" x14ac:dyDescent="0.25">
      <c r="B3513" s="5">
        <v>3508</v>
      </c>
      <c r="C3513" s="5">
        <v>152.78615754515781</v>
      </c>
      <c r="D3513" s="45"/>
    </row>
    <row r="3514" spans="2:4" ht="16" thickBot="1" x14ac:dyDescent="0.25">
      <c r="B3514" s="4">
        <v>3509</v>
      </c>
      <c r="C3514" s="4">
        <v>136.76691495953779</v>
      </c>
      <c r="D3514" s="45"/>
    </row>
    <row r="3515" spans="2:4" ht="16" thickBot="1" x14ac:dyDescent="0.25">
      <c r="B3515" s="5">
        <v>3510</v>
      </c>
      <c r="C3515" s="5">
        <v>185.37678360591156</v>
      </c>
      <c r="D3515" s="45"/>
    </row>
    <row r="3516" spans="2:4" ht="16" thickBot="1" x14ac:dyDescent="0.25">
      <c r="B3516" s="4">
        <v>3511</v>
      </c>
      <c r="C3516" s="4">
        <v>103.34057386903929</v>
      </c>
      <c r="D3516" s="45"/>
    </row>
    <row r="3517" spans="2:4" ht="16" thickBot="1" x14ac:dyDescent="0.25">
      <c r="B3517" s="5">
        <v>3512</v>
      </c>
      <c r="C3517" s="5">
        <v>169.30803745904092</v>
      </c>
      <c r="D3517" s="45"/>
    </row>
    <row r="3518" spans="2:4" ht="16" thickBot="1" x14ac:dyDescent="0.25">
      <c r="B3518" s="4">
        <v>3513</v>
      </c>
      <c r="C3518" s="4">
        <v>38.480785590389388</v>
      </c>
      <c r="D3518" s="45"/>
    </row>
    <row r="3519" spans="2:4" ht="16" thickBot="1" x14ac:dyDescent="0.25">
      <c r="B3519" s="5">
        <v>3514</v>
      </c>
      <c r="C3519" s="5">
        <v>127.00894162228221</v>
      </c>
      <c r="D3519" s="45"/>
    </row>
    <row r="3520" spans="2:4" ht="16" thickBot="1" x14ac:dyDescent="0.25">
      <c r="B3520" s="4">
        <v>3515</v>
      </c>
      <c r="C3520" s="4">
        <v>64.560760866170284</v>
      </c>
      <c r="D3520" s="45"/>
    </row>
    <row r="3521" spans="2:4" ht="16" thickBot="1" x14ac:dyDescent="0.25">
      <c r="B3521" s="5">
        <v>3516</v>
      </c>
      <c r="C3521" s="5">
        <v>202.58709221354525</v>
      </c>
      <c r="D3521" s="45"/>
    </row>
    <row r="3522" spans="2:4" ht="16" thickBot="1" x14ac:dyDescent="0.25">
      <c r="B3522" s="4">
        <v>3517</v>
      </c>
      <c r="C3522" s="4">
        <v>124.49097100943892</v>
      </c>
      <c r="D3522" s="45"/>
    </row>
    <row r="3523" spans="2:4" ht="16" thickBot="1" x14ac:dyDescent="0.25">
      <c r="B3523" s="5">
        <v>3518</v>
      </c>
      <c r="C3523" s="5">
        <v>156.90102841847147</v>
      </c>
      <c r="D3523" s="45"/>
    </row>
    <row r="3524" spans="2:4" ht="16" thickBot="1" x14ac:dyDescent="0.25">
      <c r="B3524" s="4">
        <v>3519</v>
      </c>
      <c r="C3524" s="4">
        <v>61.685911077200302</v>
      </c>
      <c r="D3524" s="45"/>
    </row>
    <row r="3525" spans="2:4" ht="16" thickBot="1" x14ac:dyDescent="0.25">
      <c r="B3525" s="5">
        <v>3520</v>
      </c>
      <c r="C3525" s="5">
        <v>210.29374234897176</v>
      </c>
      <c r="D3525" s="45"/>
    </row>
    <row r="3526" spans="2:4" ht="16" thickBot="1" x14ac:dyDescent="0.25">
      <c r="B3526" s="4">
        <v>3521</v>
      </c>
      <c r="C3526" s="4">
        <v>109.13308809706834</v>
      </c>
      <c r="D3526" s="45"/>
    </row>
    <row r="3527" spans="2:4" ht="16" thickBot="1" x14ac:dyDescent="0.25">
      <c r="B3527" s="5">
        <v>3522</v>
      </c>
      <c r="C3527" s="5">
        <v>116.31572577670501</v>
      </c>
      <c r="D3527" s="45"/>
    </row>
    <row r="3528" spans="2:4" ht="16" thickBot="1" x14ac:dyDescent="0.25">
      <c r="B3528" s="4">
        <v>3523</v>
      </c>
      <c r="C3528" s="4">
        <v>164.03421160774349</v>
      </c>
      <c r="D3528" s="45"/>
    </row>
    <row r="3529" spans="2:4" ht="16" thickBot="1" x14ac:dyDescent="0.25">
      <c r="B3529" s="5">
        <v>3524</v>
      </c>
      <c r="C3529" s="5">
        <v>296.3821965707549</v>
      </c>
      <c r="D3529" s="45"/>
    </row>
    <row r="3530" spans="2:4" ht="16" thickBot="1" x14ac:dyDescent="0.25">
      <c r="B3530" s="4">
        <v>3525</v>
      </c>
      <c r="C3530" s="4">
        <v>264.23212052285413</v>
      </c>
      <c r="D3530" s="45"/>
    </row>
    <row r="3531" spans="2:4" ht="16" thickBot="1" x14ac:dyDescent="0.25">
      <c r="B3531" s="5">
        <v>3526</v>
      </c>
      <c r="C3531" s="5">
        <v>110.01950696407744</v>
      </c>
      <c r="D3531" s="45"/>
    </row>
    <row r="3532" spans="2:4" ht="16" thickBot="1" x14ac:dyDescent="0.25">
      <c r="B3532" s="4">
        <v>3527</v>
      </c>
      <c r="C3532" s="4">
        <v>98.718174444428726</v>
      </c>
      <c r="D3532" s="45"/>
    </row>
    <row r="3533" spans="2:4" ht="16" thickBot="1" x14ac:dyDescent="0.25">
      <c r="B3533" s="5">
        <v>3528</v>
      </c>
      <c r="C3533" s="5">
        <v>209.06776341681584</v>
      </c>
      <c r="D3533" s="45"/>
    </row>
    <row r="3534" spans="2:4" ht="16" thickBot="1" x14ac:dyDescent="0.25">
      <c r="B3534" s="4">
        <v>3529</v>
      </c>
      <c r="C3534" s="4">
        <v>65.898104711205661</v>
      </c>
      <c r="D3534" s="45"/>
    </row>
    <row r="3535" spans="2:4" ht="16" thickBot="1" x14ac:dyDescent="0.25">
      <c r="B3535" s="5">
        <v>3530</v>
      </c>
      <c r="C3535" s="5">
        <v>162.93195168456938</v>
      </c>
      <c r="D3535" s="45"/>
    </row>
    <row r="3536" spans="2:4" ht="16" thickBot="1" x14ac:dyDescent="0.25">
      <c r="B3536" s="4">
        <v>3531</v>
      </c>
      <c r="C3536" s="4">
        <v>149.38110239123895</v>
      </c>
      <c r="D3536" s="45"/>
    </row>
    <row r="3537" spans="2:4" ht="16" thickBot="1" x14ac:dyDescent="0.25">
      <c r="B3537" s="5">
        <v>3532</v>
      </c>
      <c r="C3537" s="5">
        <v>209.45791094589993</v>
      </c>
      <c r="D3537" s="45"/>
    </row>
    <row r="3538" spans="2:4" ht="16" thickBot="1" x14ac:dyDescent="0.25">
      <c r="B3538" s="4">
        <v>3533</v>
      </c>
      <c r="C3538" s="4">
        <v>138.17322155879887</v>
      </c>
      <c r="D3538" s="45"/>
    </row>
    <row r="3539" spans="2:4" ht="16" thickBot="1" x14ac:dyDescent="0.25">
      <c r="B3539" s="5">
        <v>3534</v>
      </c>
      <c r="C3539" s="5">
        <v>320.33886564817811</v>
      </c>
      <c r="D3539" s="45"/>
    </row>
    <row r="3540" spans="2:4" ht="16" thickBot="1" x14ac:dyDescent="0.25">
      <c r="B3540" s="4">
        <v>3535</v>
      </c>
      <c r="C3540" s="4">
        <v>124.2261597883641</v>
      </c>
      <c r="D3540" s="45"/>
    </row>
    <row r="3541" spans="2:4" ht="16" thickBot="1" x14ac:dyDescent="0.25">
      <c r="B3541" s="5">
        <v>3536</v>
      </c>
      <c r="C3541" s="5">
        <v>68.943729438201387</v>
      </c>
      <c r="D3541" s="45"/>
    </row>
    <row r="3542" spans="2:4" ht="16" thickBot="1" x14ac:dyDescent="0.25">
      <c r="B3542" s="4">
        <v>3537</v>
      </c>
      <c r="C3542" s="4">
        <v>404.62168500060585</v>
      </c>
      <c r="D3542" s="45"/>
    </row>
    <row r="3543" spans="2:4" ht="16" thickBot="1" x14ac:dyDescent="0.25">
      <c r="B3543" s="5">
        <v>3538</v>
      </c>
      <c r="C3543" s="5">
        <v>156.56334476615734</v>
      </c>
      <c r="D3543" s="45"/>
    </row>
    <row r="3544" spans="2:4" ht="16" thickBot="1" x14ac:dyDescent="0.25">
      <c r="B3544" s="4">
        <v>3539</v>
      </c>
      <c r="C3544" s="4">
        <v>122.99781278144809</v>
      </c>
      <c r="D3544" s="45"/>
    </row>
    <row r="3545" spans="2:4" ht="16" thickBot="1" x14ac:dyDescent="0.25">
      <c r="B3545" s="5">
        <v>3540</v>
      </c>
      <c r="C3545" s="5">
        <v>209.71386260364125</v>
      </c>
      <c r="D3545" s="45"/>
    </row>
    <row r="3546" spans="2:4" ht="16" thickBot="1" x14ac:dyDescent="0.25">
      <c r="B3546" s="4">
        <v>3541</v>
      </c>
      <c r="C3546" s="4">
        <v>228.67428203636766</v>
      </c>
      <c r="D3546" s="45"/>
    </row>
    <row r="3547" spans="2:4" ht="16" thickBot="1" x14ac:dyDescent="0.25">
      <c r="B3547" s="5">
        <v>3542</v>
      </c>
      <c r="C3547" s="5">
        <v>109.43032839313464</v>
      </c>
      <c r="D3547" s="45"/>
    </row>
    <row r="3548" spans="2:4" ht="16" thickBot="1" x14ac:dyDescent="0.25">
      <c r="B3548" s="4">
        <v>3543</v>
      </c>
      <c r="C3548" s="4">
        <v>105.41795240592145</v>
      </c>
      <c r="D3548" s="45"/>
    </row>
    <row r="3549" spans="2:4" ht="16" thickBot="1" x14ac:dyDescent="0.25">
      <c r="B3549" s="5">
        <v>3544</v>
      </c>
      <c r="C3549" s="5">
        <v>140.62494272136206</v>
      </c>
      <c r="D3549" s="45"/>
    </row>
    <row r="3550" spans="2:4" ht="16" thickBot="1" x14ac:dyDescent="0.25">
      <c r="B3550" s="4">
        <v>3545</v>
      </c>
      <c r="C3550" s="4">
        <v>130.80565992993655</v>
      </c>
      <c r="D3550" s="45"/>
    </row>
    <row r="3551" spans="2:4" ht="16" thickBot="1" x14ac:dyDescent="0.25">
      <c r="B3551" s="5">
        <v>3546</v>
      </c>
      <c r="C3551" s="5">
        <v>205.15155681990569</v>
      </c>
      <c r="D3551" s="45"/>
    </row>
    <row r="3552" spans="2:4" ht="16" thickBot="1" x14ac:dyDescent="0.25">
      <c r="B3552" s="4">
        <v>3547</v>
      </c>
      <c r="C3552" s="4">
        <v>119.76163189701511</v>
      </c>
      <c r="D3552" s="45"/>
    </row>
    <row r="3553" spans="2:4" ht="16" thickBot="1" x14ac:dyDescent="0.25">
      <c r="B3553" s="5">
        <v>3548</v>
      </c>
      <c r="C3553" s="5">
        <v>140.49576055525677</v>
      </c>
      <c r="D3553" s="45"/>
    </row>
    <row r="3554" spans="2:4" ht="16" thickBot="1" x14ac:dyDescent="0.25">
      <c r="B3554" s="4">
        <v>3549</v>
      </c>
      <c r="C3554" s="4">
        <v>334.23740643304217</v>
      </c>
      <c r="D3554" s="45"/>
    </row>
    <row r="3555" spans="2:4" ht="16" thickBot="1" x14ac:dyDescent="0.25">
      <c r="B3555" s="5">
        <v>3550</v>
      </c>
      <c r="C3555" s="5">
        <v>367.64777504726175</v>
      </c>
      <c r="D3555" s="45"/>
    </row>
    <row r="3556" spans="2:4" ht="16" thickBot="1" x14ac:dyDescent="0.25">
      <c r="B3556" s="4">
        <v>3551</v>
      </c>
      <c r="C3556" s="4">
        <v>87.172423324896499</v>
      </c>
      <c r="D3556" s="45"/>
    </row>
    <row r="3557" spans="2:4" ht="16" thickBot="1" x14ac:dyDescent="0.25">
      <c r="B3557" s="5">
        <v>3552</v>
      </c>
      <c r="C3557" s="5">
        <v>356.52741322793395</v>
      </c>
      <c r="D3557" s="45"/>
    </row>
    <row r="3558" spans="2:4" ht="16" thickBot="1" x14ac:dyDescent="0.25">
      <c r="B3558" s="4">
        <v>3553</v>
      </c>
      <c r="C3558" s="4">
        <v>115.45390039232126</v>
      </c>
      <c r="D3558" s="45"/>
    </row>
    <row r="3559" spans="2:4" ht="16" thickBot="1" x14ac:dyDescent="0.25">
      <c r="B3559" s="5">
        <v>3554</v>
      </c>
      <c r="C3559" s="5">
        <v>132.23678139665793</v>
      </c>
      <c r="D3559" s="45"/>
    </row>
    <row r="3560" spans="2:4" ht="16" thickBot="1" x14ac:dyDescent="0.25">
      <c r="B3560" s="4">
        <v>3555</v>
      </c>
      <c r="C3560" s="4">
        <v>111.08167543929657</v>
      </c>
      <c r="D3560" s="45"/>
    </row>
    <row r="3561" spans="2:4" ht="16" thickBot="1" x14ac:dyDescent="0.25">
      <c r="B3561" s="5">
        <v>3556</v>
      </c>
      <c r="C3561" s="5">
        <v>181.02766661644813</v>
      </c>
      <c r="D3561" s="45"/>
    </row>
    <row r="3562" spans="2:4" ht="16" thickBot="1" x14ac:dyDescent="0.25">
      <c r="B3562" s="4">
        <v>3557</v>
      </c>
      <c r="C3562" s="4">
        <v>197.4709957711996</v>
      </c>
      <c r="D3562" s="45"/>
    </row>
    <row r="3563" spans="2:4" ht="16" thickBot="1" x14ac:dyDescent="0.25">
      <c r="B3563" s="5">
        <v>3558</v>
      </c>
      <c r="C3563" s="5">
        <v>179.94708254637499</v>
      </c>
      <c r="D3563" s="45"/>
    </row>
    <row r="3564" spans="2:4" ht="16" thickBot="1" x14ac:dyDescent="0.25">
      <c r="B3564" s="4">
        <v>3559</v>
      </c>
      <c r="C3564" s="4">
        <v>227.52481102695643</v>
      </c>
      <c r="D3564" s="45"/>
    </row>
    <row r="3565" spans="2:4" ht="16" thickBot="1" x14ac:dyDescent="0.25">
      <c r="B3565" s="5">
        <v>3560</v>
      </c>
      <c r="C3565" s="5">
        <v>94.73841059050298</v>
      </c>
      <c r="D3565" s="45"/>
    </row>
    <row r="3566" spans="2:4" ht="16" thickBot="1" x14ac:dyDescent="0.25">
      <c r="B3566" s="4">
        <v>3561</v>
      </c>
      <c r="C3566" s="4">
        <v>232.32832680859605</v>
      </c>
      <c r="D3566" s="45"/>
    </row>
    <row r="3567" spans="2:4" ht="16" thickBot="1" x14ac:dyDescent="0.25">
      <c r="B3567" s="5">
        <v>3562</v>
      </c>
      <c r="C3567" s="5">
        <v>227.45030123335167</v>
      </c>
      <c r="D3567" s="45"/>
    </row>
    <row r="3568" spans="2:4" ht="16" thickBot="1" x14ac:dyDescent="0.25">
      <c r="B3568" s="4">
        <v>3563</v>
      </c>
      <c r="C3568" s="4">
        <v>164.34761597086199</v>
      </c>
      <c r="D3568" s="45"/>
    </row>
    <row r="3569" spans="2:4" ht="16" thickBot="1" x14ac:dyDescent="0.25">
      <c r="B3569" s="5">
        <v>3564</v>
      </c>
      <c r="C3569" s="5">
        <v>219.89481961241464</v>
      </c>
      <c r="D3569" s="45"/>
    </row>
    <row r="3570" spans="2:4" ht="16" thickBot="1" x14ac:dyDescent="0.25">
      <c r="B3570" s="4">
        <v>3565</v>
      </c>
      <c r="C3570" s="4">
        <v>124.00959065461016</v>
      </c>
      <c r="D3570" s="45"/>
    </row>
    <row r="3571" spans="2:4" ht="16" thickBot="1" x14ac:dyDescent="0.25">
      <c r="B3571" s="5">
        <v>3566</v>
      </c>
      <c r="C3571" s="5">
        <v>85.232753324503591</v>
      </c>
      <c r="D3571" s="45"/>
    </row>
    <row r="3572" spans="2:4" ht="16" thickBot="1" x14ac:dyDescent="0.25">
      <c r="B3572" s="4">
        <v>3567</v>
      </c>
      <c r="C3572" s="4">
        <v>130.70716914521398</v>
      </c>
      <c r="D3572" s="45"/>
    </row>
    <row r="3573" spans="2:4" ht="16" thickBot="1" x14ac:dyDescent="0.25">
      <c r="B3573" s="5">
        <v>3568</v>
      </c>
      <c r="C3573" s="5">
        <v>56.693463094494412</v>
      </c>
      <c r="D3573" s="45"/>
    </row>
    <row r="3574" spans="2:4" ht="16" thickBot="1" x14ac:dyDescent="0.25">
      <c r="B3574" s="4">
        <v>3569</v>
      </c>
      <c r="C3574" s="4">
        <v>328.76438660782213</v>
      </c>
      <c r="D3574" s="45"/>
    </row>
    <row r="3575" spans="2:4" ht="16" thickBot="1" x14ac:dyDescent="0.25">
      <c r="B3575" s="5">
        <v>3570</v>
      </c>
      <c r="C3575" s="5">
        <v>193.40704326628199</v>
      </c>
      <c r="D3575" s="45"/>
    </row>
    <row r="3576" spans="2:4" ht="16" thickBot="1" x14ac:dyDescent="0.25">
      <c r="B3576" s="4">
        <v>3571</v>
      </c>
      <c r="C3576" s="4">
        <v>191.33250002503652</v>
      </c>
      <c r="D3576" s="45"/>
    </row>
    <row r="3577" spans="2:4" ht="16" thickBot="1" x14ac:dyDescent="0.25">
      <c r="B3577" s="5">
        <v>3572</v>
      </c>
      <c r="C3577" s="5">
        <v>263.09155702090857</v>
      </c>
      <c r="D3577" s="45"/>
    </row>
    <row r="3578" spans="2:4" ht="16" thickBot="1" x14ac:dyDescent="0.25">
      <c r="B3578" s="4">
        <v>3573</v>
      </c>
      <c r="C3578" s="4">
        <v>136.41913557796676</v>
      </c>
      <c r="D3578" s="45"/>
    </row>
    <row r="3579" spans="2:4" ht="16" thickBot="1" x14ac:dyDescent="0.25">
      <c r="B3579" s="5">
        <v>3574</v>
      </c>
      <c r="C3579" s="5">
        <v>211.01626152113343</v>
      </c>
      <c r="D3579" s="45"/>
    </row>
    <row r="3580" spans="2:4" ht="16" thickBot="1" x14ac:dyDescent="0.25">
      <c r="B3580" s="4">
        <v>3575</v>
      </c>
      <c r="C3580" s="4">
        <v>144.64584308623716</v>
      </c>
      <c r="D3580" s="45"/>
    </row>
    <row r="3581" spans="2:4" ht="16" thickBot="1" x14ac:dyDescent="0.25">
      <c r="B3581" s="5">
        <v>3576</v>
      </c>
      <c r="C3581" s="5">
        <v>79.052209986099797</v>
      </c>
      <c r="D3581" s="45"/>
    </row>
    <row r="3582" spans="2:4" ht="16" thickBot="1" x14ac:dyDescent="0.25">
      <c r="B3582" s="4">
        <v>3577</v>
      </c>
      <c r="C3582" s="4">
        <v>86.652749497573126</v>
      </c>
      <c r="D3582" s="45"/>
    </row>
    <row r="3583" spans="2:4" ht="16" thickBot="1" x14ac:dyDescent="0.25">
      <c r="B3583" s="5">
        <v>3578</v>
      </c>
      <c r="C3583" s="5">
        <v>173.36726424930987</v>
      </c>
      <c r="D3583" s="45"/>
    </row>
    <row r="3584" spans="2:4" ht="16" thickBot="1" x14ac:dyDescent="0.25">
      <c r="B3584" s="4">
        <v>3579</v>
      </c>
      <c r="C3584" s="4">
        <v>107.24524242909517</v>
      </c>
      <c r="D3584" s="45"/>
    </row>
    <row r="3585" spans="2:4" ht="16" thickBot="1" x14ac:dyDescent="0.25">
      <c r="B3585" s="5">
        <v>3580</v>
      </c>
      <c r="C3585" s="5">
        <v>111.32402693956807</v>
      </c>
      <c r="D3585" s="45"/>
    </row>
    <row r="3586" spans="2:4" ht="16" thickBot="1" x14ac:dyDescent="0.25">
      <c r="B3586" s="4">
        <v>3581</v>
      </c>
      <c r="C3586" s="4">
        <v>387.55127732558503</v>
      </c>
      <c r="D3586" s="45"/>
    </row>
    <row r="3587" spans="2:4" ht="16" thickBot="1" x14ac:dyDescent="0.25">
      <c r="B3587" s="5">
        <v>3582</v>
      </c>
      <c r="C3587" s="5">
        <v>292.55747336585881</v>
      </c>
      <c r="D3587" s="45"/>
    </row>
    <row r="3588" spans="2:4" ht="16" thickBot="1" x14ac:dyDescent="0.25">
      <c r="B3588" s="4">
        <v>3583</v>
      </c>
      <c r="C3588" s="4">
        <v>121.85745236826574</v>
      </c>
      <c r="D3588" s="45"/>
    </row>
    <row r="3589" spans="2:4" ht="16" thickBot="1" x14ac:dyDescent="0.25">
      <c r="B3589" s="5">
        <v>3584</v>
      </c>
      <c r="C3589" s="5">
        <v>155.80840269181627</v>
      </c>
      <c r="D3589" s="45"/>
    </row>
    <row r="3590" spans="2:4" ht="16" thickBot="1" x14ac:dyDescent="0.25">
      <c r="B3590" s="4">
        <v>3585</v>
      </c>
      <c r="C3590" s="4">
        <v>262.14168288630088</v>
      </c>
      <c r="D3590" s="45"/>
    </row>
    <row r="3591" spans="2:4" ht="16" thickBot="1" x14ac:dyDescent="0.25">
      <c r="B3591" s="5">
        <v>3586</v>
      </c>
      <c r="C3591" s="5">
        <v>44.112371376035426</v>
      </c>
      <c r="D3591" s="45"/>
    </row>
    <row r="3592" spans="2:4" ht="16" thickBot="1" x14ac:dyDescent="0.25">
      <c r="B3592" s="4">
        <v>3587</v>
      </c>
      <c r="C3592" s="4">
        <v>170.98290877780664</v>
      </c>
      <c r="D3592" s="45"/>
    </row>
    <row r="3593" spans="2:4" ht="16" thickBot="1" x14ac:dyDescent="0.25">
      <c r="B3593" s="5">
        <v>3588</v>
      </c>
      <c r="C3593" s="5">
        <v>125.33331517019244</v>
      </c>
      <c r="D3593" s="45"/>
    </row>
    <row r="3594" spans="2:4" ht="16" thickBot="1" x14ac:dyDescent="0.25">
      <c r="B3594" s="4">
        <v>3589</v>
      </c>
      <c r="C3594" s="4">
        <v>117.01270295045971</v>
      </c>
      <c r="D3594" s="45"/>
    </row>
    <row r="3595" spans="2:4" ht="16" thickBot="1" x14ac:dyDescent="0.25">
      <c r="B3595" s="5">
        <v>3590</v>
      </c>
      <c r="C3595" s="5">
        <v>276.95477251035362</v>
      </c>
      <c r="D3595" s="45"/>
    </row>
    <row r="3596" spans="2:4" ht="16" thickBot="1" x14ac:dyDescent="0.25">
      <c r="B3596" s="4">
        <v>3591</v>
      </c>
      <c r="C3596" s="4">
        <v>101.16293437096864</v>
      </c>
      <c r="D3596" s="45"/>
    </row>
    <row r="3597" spans="2:4" ht="16" thickBot="1" x14ac:dyDescent="0.25">
      <c r="B3597" s="5">
        <v>3592</v>
      </c>
      <c r="C3597" s="5">
        <v>53.569697475838446</v>
      </c>
      <c r="D3597" s="45"/>
    </row>
    <row r="3598" spans="2:4" ht="16" thickBot="1" x14ac:dyDescent="0.25">
      <c r="B3598" s="4">
        <v>3593</v>
      </c>
      <c r="C3598" s="4">
        <v>163.68732358326926</v>
      </c>
      <c r="D3598" s="45"/>
    </row>
    <row r="3599" spans="2:4" ht="16" thickBot="1" x14ac:dyDescent="0.25">
      <c r="B3599" s="5">
        <v>3594</v>
      </c>
      <c r="C3599" s="5">
        <v>175.80109397492939</v>
      </c>
      <c r="D3599" s="45"/>
    </row>
    <row r="3600" spans="2:4" ht="16" thickBot="1" x14ac:dyDescent="0.25">
      <c r="B3600" s="4">
        <v>3595</v>
      </c>
      <c r="C3600" s="4">
        <v>195.13872490657855</v>
      </c>
      <c r="D3600" s="45"/>
    </row>
    <row r="3601" spans="2:4" ht="16" thickBot="1" x14ac:dyDescent="0.25">
      <c r="B3601" s="5">
        <v>3596</v>
      </c>
      <c r="C3601" s="5">
        <v>97.047172166168068</v>
      </c>
      <c r="D3601" s="45"/>
    </row>
    <row r="3602" spans="2:4" ht="16" thickBot="1" x14ac:dyDescent="0.25">
      <c r="B3602" s="4">
        <v>3597</v>
      </c>
      <c r="C3602" s="4">
        <v>169.15952652700193</v>
      </c>
      <c r="D3602" s="45"/>
    </row>
    <row r="3603" spans="2:4" ht="16" thickBot="1" x14ac:dyDescent="0.25">
      <c r="B3603" s="5">
        <v>3598</v>
      </c>
      <c r="C3603" s="5">
        <v>89.287714322490672</v>
      </c>
      <c r="D3603" s="45"/>
    </row>
    <row r="3604" spans="2:4" ht="16" thickBot="1" x14ac:dyDescent="0.25">
      <c r="B3604" s="4">
        <v>3599</v>
      </c>
      <c r="C3604" s="4">
        <v>332.32673281889441</v>
      </c>
      <c r="D3604" s="45"/>
    </row>
    <row r="3605" spans="2:4" ht="16" thickBot="1" x14ac:dyDescent="0.25">
      <c r="B3605" s="5">
        <v>3600</v>
      </c>
      <c r="C3605" s="5">
        <v>387.40092165350455</v>
      </c>
      <c r="D3605" s="45"/>
    </row>
    <row r="3606" spans="2:4" ht="16" thickBot="1" x14ac:dyDescent="0.25">
      <c r="B3606" s="4">
        <v>3601</v>
      </c>
      <c r="C3606" s="4">
        <v>225.3354557523401</v>
      </c>
      <c r="D3606" s="45"/>
    </row>
    <row r="3607" spans="2:4" ht="16" thickBot="1" x14ac:dyDescent="0.25">
      <c r="B3607" s="5">
        <v>3602</v>
      </c>
      <c r="C3607" s="5">
        <v>114.89236817420748</v>
      </c>
      <c r="D3607" s="45"/>
    </row>
    <row r="3608" spans="2:4" ht="16" thickBot="1" x14ac:dyDescent="0.25">
      <c r="B3608" s="4">
        <v>3603</v>
      </c>
      <c r="C3608" s="4">
        <v>59.612809978187776</v>
      </c>
      <c r="D3608" s="45"/>
    </row>
    <row r="3609" spans="2:4" ht="16" thickBot="1" x14ac:dyDescent="0.25">
      <c r="B3609" s="5">
        <v>3604</v>
      </c>
      <c r="C3609" s="5">
        <v>176.24247962259918</v>
      </c>
      <c r="D3609" s="45"/>
    </row>
    <row r="3610" spans="2:4" ht="16" thickBot="1" x14ac:dyDescent="0.25">
      <c r="B3610" s="4">
        <v>3605</v>
      </c>
      <c r="C3610" s="4">
        <v>122.98754358425906</v>
      </c>
      <c r="D3610" s="45"/>
    </row>
    <row r="3611" spans="2:4" ht="16" thickBot="1" x14ac:dyDescent="0.25">
      <c r="B3611" s="5">
        <v>3606</v>
      </c>
      <c r="C3611" s="5">
        <v>129.61563099012045</v>
      </c>
      <c r="D3611" s="45"/>
    </row>
    <row r="3612" spans="2:4" ht="16" thickBot="1" x14ac:dyDescent="0.25">
      <c r="B3612" s="4">
        <v>3607</v>
      </c>
      <c r="C3612" s="4">
        <v>159.34014656609543</v>
      </c>
      <c r="D3612" s="45"/>
    </row>
    <row r="3613" spans="2:4" ht="16" thickBot="1" x14ac:dyDescent="0.25">
      <c r="B3613" s="5">
        <v>3608</v>
      </c>
      <c r="C3613" s="5">
        <v>82.689280352092709</v>
      </c>
      <c r="D3613" s="45"/>
    </row>
    <row r="3614" spans="2:4" ht="16" thickBot="1" x14ac:dyDescent="0.25">
      <c r="B3614" s="4">
        <v>3609</v>
      </c>
      <c r="C3614" s="4">
        <v>157.16361225718816</v>
      </c>
      <c r="D3614" s="45"/>
    </row>
    <row r="3615" spans="2:4" ht="16" thickBot="1" x14ac:dyDescent="0.25">
      <c r="B3615" s="5">
        <v>3610</v>
      </c>
      <c r="C3615" s="5">
        <v>193.23096059308546</v>
      </c>
      <c r="D3615" s="45"/>
    </row>
    <row r="3616" spans="2:4" ht="16" thickBot="1" x14ac:dyDescent="0.25">
      <c r="B3616" s="4">
        <v>3611</v>
      </c>
      <c r="C3616" s="4">
        <v>75.051461036492597</v>
      </c>
      <c r="D3616" s="45"/>
    </row>
    <row r="3617" spans="2:4" ht="16" thickBot="1" x14ac:dyDescent="0.25">
      <c r="B3617" s="5">
        <v>3612</v>
      </c>
      <c r="C3617" s="5">
        <v>94.120172576712108</v>
      </c>
      <c r="D3617" s="45"/>
    </row>
    <row r="3618" spans="2:4" ht="16" thickBot="1" x14ac:dyDescent="0.25">
      <c r="B3618" s="4">
        <v>3613</v>
      </c>
      <c r="C3618" s="4">
        <v>130.41648786212767</v>
      </c>
      <c r="D3618" s="45"/>
    </row>
    <row r="3619" spans="2:4" ht="16" thickBot="1" x14ac:dyDescent="0.25">
      <c r="B3619" s="5">
        <v>3614</v>
      </c>
      <c r="C3619" s="5">
        <v>199.75790313827565</v>
      </c>
      <c r="D3619" s="45"/>
    </row>
    <row r="3620" spans="2:4" ht="16" thickBot="1" x14ac:dyDescent="0.25">
      <c r="B3620" s="4">
        <v>3615</v>
      </c>
      <c r="C3620" s="4">
        <v>116.7558293609538</v>
      </c>
      <c r="D3620" s="45"/>
    </row>
    <row r="3621" spans="2:4" ht="16" thickBot="1" x14ac:dyDescent="0.25">
      <c r="B3621" s="5">
        <v>3616</v>
      </c>
      <c r="C3621" s="5">
        <v>122.96536577463769</v>
      </c>
      <c r="D3621" s="45"/>
    </row>
    <row r="3622" spans="2:4" ht="16" thickBot="1" x14ac:dyDescent="0.25">
      <c r="B3622" s="4">
        <v>3617</v>
      </c>
      <c r="C3622" s="4">
        <v>138.8259107873146</v>
      </c>
      <c r="D3622" s="45"/>
    </row>
    <row r="3623" spans="2:4" ht="16" thickBot="1" x14ac:dyDescent="0.25">
      <c r="B3623" s="5">
        <v>3618</v>
      </c>
      <c r="C3623" s="5">
        <v>155.60404247780565</v>
      </c>
      <c r="D3623" s="45"/>
    </row>
    <row r="3624" spans="2:4" ht="16" thickBot="1" x14ac:dyDescent="0.25">
      <c r="B3624" s="4">
        <v>3619</v>
      </c>
      <c r="C3624" s="4">
        <v>96.828140558328698</v>
      </c>
      <c r="D3624" s="45"/>
    </row>
    <row r="3625" spans="2:4" ht="16" thickBot="1" x14ac:dyDescent="0.25">
      <c r="B3625" s="5">
        <v>3620</v>
      </c>
      <c r="C3625" s="5">
        <v>271.88973863792967</v>
      </c>
      <c r="D3625" s="45"/>
    </row>
    <row r="3626" spans="2:4" ht="16" thickBot="1" x14ac:dyDescent="0.25">
      <c r="B3626" s="4">
        <v>3621</v>
      </c>
      <c r="C3626" s="4">
        <v>183.32317413617008</v>
      </c>
      <c r="D3626" s="45"/>
    </row>
    <row r="3627" spans="2:4" ht="16" thickBot="1" x14ac:dyDescent="0.25">
      <c r="B3627" s="5">
        <v>3622</v>
      </c>
      <c r="C3627" s="5">
        <v>199.28595101361597</v>
      </c>
      <c r="D3627" s="45"/>
    </row>
    <row r="3628" spans="2:4" ht="16" thickBot="1" x14ac:dyDescent="0.25">
      <c r="B3628" s="4">
        <v>3623</v>
      </c>
      <c r="C3628" s="4">
        <v>166.46351441571113</v>
      </c>
      <c r="D3628" s="45"/>
    </row>
    <row r="3629" spans="2:4" ht="16" thickBot="1" x14ac:dyDescent="0.25">
      <c r="B3629" s="5">
        <v>3624</v>
      </c>
      <c r="C3629" s="5">
        <v>107.87640118384851</v>
      </c>
      <c r="D3629" s="45"/>
    </row>
    <row r="3630" spans="2:4" ht="16" thickBot="1" x14ac:dyDescent="0.25">
      <c r="B3630" s="4">
        <v>3625</v>
      </c>
      <c r="C3630" s="4">
        <v>141.51772836868705</v>
      </c>
      <c r="D3630" s="45"/>
    </row>
    <row r="3631" spans="2:4" ht="16" thickBot="1" x14ac:dyDescent="0.25">
      <c r="B3631" s="5">
        <v>3626</v>
      </c>
      <c r="C3631" s="5">
        <v>237.13927202275991</v>
      </c>
      <c r="D3631" s="45"/>
    </row>
    <row r="3632" spans="2:4" ht="16" thickBot="1" x14ac:dyDescent="0.25">
      <c r="B3632" s="4">
        <v>3627</v>
      </c>
      <c r="C3632" s="4">
        <v>267.88015158030379</v>
      </c>
      <c r="D3632" s="45"/>
    </row>
    <row r="3633" spans="2:4" ht="16" thickBot="1" x14ac:dyDescent="0.25">
      <c r="B3633" s="5">
        <v>3628</v>
      </c>
      <c r="C3633" s="5">
        <v>210.15889797854149</v>
      </c>
      <c r="D3633" s="45"/>
    </row>
    <row r="3634" spans="2:4" ht="16" thickBot="1" x14ac:dyDescent="0.25">
      <c r="B3634" s="4">
        <v>3629</v>
      </c>
      <c r="C3634" s="4">
        <v>76.942653254123968</v>
      </c>
      <c r="D3634" s="45"/>
    </row>
    <row r="3635" spans="2:4" ht="16" thickBot="1" x14ac:dyDescent="0.25">
      <c r="B3635" s="5">
        <v>3630</v>
      </c>
      <c r="C3635" s="5">
        <v>73.972859997799972</v>
      </c>
      <c r="D3635" s="45"/>
    </row>
    <row r="3636" spans="2:4" ht="16" thickBot="1" x14ac:dyDescent="0.25">
      <c r="B3636" s="4">
        <v>3631</v>
      </c>
      <c r="C3636" s="4">
        <v>227.89401035077003</v>
      </c>
      <c r="D3636" s="45"/>
    </row>
    <row r="3637" spans="2:4" ht="16" thickBot="1" x14ac:dyDescent="0.25">
      <c r="B3637" s="5">
        <v>3632</v>
      </c>
      <c r="C3637" s="5">
        <v>277.55419816922461</v>
      </c>
      <c r="D3637" s="45"/>
    </row>
    <row r="3638" spans="2:4" ht="16" thickBot="1" x14ac:dyDescent="0.25">
      <c r="B3638" s="4">
        <v>3633</v>
      </c>
      <c r="C3638" s="4">
        <v>206.98269845721961</v>
      </c>
      <c r="D3638" s="45"/>
    </row>
    <row r="3639" spans="2:4" ht="16" thickBot="1" x14ac:dyDescent="0.25">
      <c r="B3639" s="5">
        <v>3634</v>
      </c>
      <c r="C3639" s="5">
        <v>187.32226836461376</v>
      </c>
      <c r="D3639" s="45"/>
    </row>
    <row r="3640" spans="2:4" ht="16" thickBot="1" x14ac:dyDescent="0.25">
      <c r="B3640" s="4">
        <v>3635</v>
      </c>
      <c r="C3640" s="4">
        <v>234.67377245843275</v>
      </c>
      <c r="D3640" s="45"/>
    </row>
    <row r="3641" spans="2:4" ht="16" thickBot="1" x14ac:dyDescent="0.25">
      <c r="B3641" s="5">
        <v>3636</v>
      </c>
      <c r="C3641" s="5">
        <v>96.396454901879508</v>
      </c>
      <c r="D3641" s="45"/>
    </row>
    <row r="3642" spans="2:4" ht="16" thickBot="1" x14ac:dyDescent="0.25">
      <c r="B3642" s="4">
        <v>3637</v>
      </c>
      <c r="C3642" s="4">
        <v>186.35670272030688</v>
      </c>
      <c r="D3642" s="45"/>
    </row>
    <row r="3643" spans="2:4" ht="16" thickBot="1" x14ac:dyDescent="0.25">
      <c r="B3643" s="5">
        <v>3638</v>
      </c>
      <c r="C3643" s="5">
        <v>195.77453218003092</v>
      </c>
      <c r="D3643" s="45"/>
    </row>
    <row r="3644" spans="2:4" ht="16" thickBot="1" x14ac:dyDescent="0.25">
      <c r="B3644" s="4">
        <v>3639</v>
      </c>
      <c r="C3644" s="4">
        <v>127.69862894560637</v>
      </c>
      <c r="D3644" s="45"/>
    </row>
    <row r="3645" spans="2:4" ht="16" thickBot="1" x14ac:dyDescent="0.25">
      <c r="B3645" s="5">
        <v>3640</v>
      </c>
      <c r="C3645" s="5">
        <v>125.74829873523908</v>
      </c>
      <c r="D3645" s="45"/>
    </row>
    <row r="3646" spans="2:4" ht="16" thickBot="1" x14ac:dyDescent="0.25">
      <c r="B3646" s="4">
        <v>3641</v>
      </c>
      <c r="C3646" s="4">
        <v>162.59540402003498</v>
      </c>
      <c r="D3646" s="45"/>
    </row>
    <row r="3647" spans="2:4" ht="16" thickBot="1" x14ac:dyDescent="0.25">
      <c r="B3647" s="5">
        <v>3642</v>
      </c>
      <c r="C3647" s="5">
        <v>228.45412729703486</v>
      </c>
      <c r="D3647" s="45"/>
    </row>
    <row r="3648" spans="2:4" ht="16" thickBot="1" x14ac:dyDescent="0.25">
      <c r="B3648" s="4">
        <v>3643</v>
      </c>
      <c r="C3648" s="4">
        <v>238.8541180530635</v>
      </c>
      <c r="D3648" s="45"/>
    </row>
    <row r="3649" spans="2:4" ht="16" thickBot="1" x14ac:dyDescent="0.25">
      <c r="B3649" s="5">
        <v>3644</v>
      </c>
      <c r="C3649" s="5">
        <v>68.515190560492996</v>
      </c>
      <c r="D3649" s="45"/>
    </row>
    <row r="3650" spans="2:4" ht="16" thickBot="1" x14ac:dyDescent="0.25">
      <c r="B3650" s="4">
        <v>3645</v>
      </c>
      <c r="C3650" s="4">
        <v>86.92335255551059</v>
      </c>
      <c r="D3650" s="45"/>
    </row>
    <row r="3651" spans="2:4" ht="16" thickBot="1" x14ac:dyDescent="0.25">
      <c r="B3651" s="5">
        <v>3646</v>
      </c>
      <c r="C3651" s="5">
        <v>403.8984301831739</v>
      </c>
      <c r="D3651" s="45"/>
    </row>
    <row r="3652" spans="2:4" ht="16" thickBot="1" x14ac:dyDescent="0.25">
      <c r="B3652" s="4">
        <v>3647</v>
      </c>
      <c r="C3652" s="4">
        <v>39.540448340247671</v>
      </c>
      <c r="D3652" s="45"/>
    </row>
    <row r="3653" spans="2:4" ht="16" thickBot="1" x14ac:dyDescent="0.25">
      <c r="B3653" s="5">
        <v>3648</v>
      </c>
      <c r="C3653" s="5">
        <v>140.59190674132802</v>
      </c>
      <c r="D3653" s="45"/>
    </row>
    <row r="3654" spans="2:4" ht="16" thickBot="1" x14ac:dyDescent="0.25">
      <c r="B3654" s="4">
        <v>3649</v>
      </c>
      <c r="C3654" s="4">
        <v>166.99350461815024</v>
      </c>
      <c r="D3654" s="45"/>
    </row>
    <row r="3655" spans="2:4" ht="16" thickBot="1" x14ac:dyDescent="0.25">
      <c r="B3655" s="5">
        <v>3650</v>
      </c>
      <c r="C3655" s="5">
        <v>124.20886070054691</v>
      </c>
      <c r="D3655" s="45"/>
    </row>
    <row r="3656" spans="2:4" ht="16" thickBot="1" x14ac:dyDescent="0.25">
      <c r="B3656" s="4">
        <v>3651</v>
      </c>
      <c r="C3656" s="4">
        <v>179.20587025734645</v>
      </c>
      <c r="D3656" s="45"/>
    </row>
    <row r="3657" spans="2:4" ht="16" thickBot="1" x14ac:dyDescent="0.25">
      <c r="B3657" s="5">
        <v>3652</v>
      </c>
      <c r="C3657" s="5">
        <v>92.012505906123309</v>
      </c>
      <c r="D3657" s="45"/>
    </row>
    <row r="3658" spans="2:4" ht="16" thickBot="1" x14ac:dyDescent="0.25">
      <c r="B3658" s="4">
        <v>3653</v>
      </c>
      <c r="C3658" s="4">
        <v>113.14277482687082</v>
      </c>
      <c r="D3658" s="45"/>
    </row>
    <row r="3659" spans="2:4" ht="16" thickBot="1" x14ac:dyDescent="0.25">
      <c r="B3659" s="5">
        <v>3654</v>
      </c>
      <c r="C3659" s="5">
        <v>218.972908891765</v>
      </c>
      <c r="D3659" s="45"/>
    </row>
    <row r="3660" spans="2:4" ht="16" thickBot="1" x14ac:dyDescent="0.25">
      <c r="B3660" s="4">
        <v>3655</v>
      </c>
      <c r="C3660" s="4">
        <v>120.53019574429335</v>
      </c>
      <c r="D3660" s="45"/>
    </row>
    <row r="3661" spans="2:4" ht="16" thickBot="1" x14ac:dyDescent="0.25">
      <c r="B3661" s="5">
        <v>3656</v>
      </c>
      <c r="C3661" s="5">
        <v>128.8891139547091</v>
      </c>
      <c r="D3661" s="45"/>
    </row>
    <row r="3662" spans="2:4" ht="16" thickBot="1" x14ac:dyDescent="0.25">
      <c r="B3662" s="4">
        <v>3657</v>
      </c>
      <c r="C3662" s="4">
        <v>165.64682655913131</v>
      </c>
      <c r="D3662" s="45"/>
    </row>
    <row r="3663" spans="2:4" ht="16" thickBot="1" x14ac:dyDescent="0.25">
      <c r="B3663" s="5">
        <v>3658</v>
      </c>
      <c r="C3663" s="5">
        <v>78.661133914196967</v>
      </c>
      <c r="D3663" s="45"/>
    </row>
    <row r="3664" spans="2:4" ht="16" thickBot="1" x14ac:dyDescent="0.25">
      <c r="B3664" s="4">
        <v>3659</v>
      </c>
      <c r="C3664" s="4">
        <v>83.388310120083972</v>
      </c>
      <c r="D3664" s="45"/>
    </row>
    <row r="3665" spans="2:4" ht="16" thickBot="1" x14ac:dyDescent="0.25">
      <c r="B3665" s="5">
        <v>3660</v>
      </c>
      <c r="C3665" s="5">
        <v>100.70934939822205</v>
      </c>
      <c r="D3665" s="45"/>
    </row>
    <row r="3666" spans="2:4" ht="16" thickBot="1" x14ac:dyDescent="0.25">
      <c r="B3666" s="4">
        <v>3661</v>
      </c>
      <c r="C3666" s="4">
        <v>145.55336515917827</v>
      </c>
      <c r="D3666" s="45"/>
    </row>
    <row r="3667" spans="2:4" ht="16" thickBot="1" x14ac:dyDescent="0.25">
      <c r="B3667" s="5">
        <v>3662</v>
      </c>
      <c r="C3667" s="5">
        <v>102.38287969895838</v>
      </c>
      <c r="D3667" s="45"/>
    </row>
    <row r="3668" spans="2:4" ht="16" thickBot="1" x14ac:dyDescent="0.25">
      <c r="B3668" s="4">
        <v>3663</v>
      </c>
      <c r="C3668" s="4">
        <v>187.43517074869081</v>
      </c>
      <c r="D3668" s="45"/>
    </row>
    <row r="3669" spans="2:4" ht="16" thickBot="1" x14ac:dyDescent="0.25">
      <c r="B3669" s="5">
        <v>3664</v>
      </c>
      <c r="C3669" s="5">
        <v>248.08746469532616</v>
      </c>
      <c r="D3669" s="45"/>
    </row>
    <row r="3670" spans="2:4" ht="16" thickBot="1" x14ac:dyDescent="0.25">
      <c r="B3670" s="4">
        <v>3665</v>
      </c>
      <c r="C3670" s="4">
        <v>206.51895766144429</v>
      </c>
      <c r="D3670" s="45"/>
    </row>
    <row r="3671" spans="2:4" ht="16" thickBot="1" x14ac:dyDescent="0.25">
      <c r="B3671" s="5">
        <v>3666</v>
      </c>
      <c r="C3671" s="5">
        <v>39.810807803301671</v>
      </c>
      <c r="D3671" s="45"/>
    </row>
    <row r="3672" spans="2:4" ht="16" thickBot="1" x14ac:dyDescent="0.25">
      <c r="B3672" s="4">
        <v>3667</v>
      </c>
      <c r="C3672" s="4">
        <v>83.53735161274389</v>
      </c>
      <c r="D3672" s="45"/>
    </row>
    <row r="3673" spans="2:4" ht="16" thickBot="1" x14ac:dyDescent="0.25">
      <c r="B3673" s="5">
        <v>3668</v>
      </c>
      <c r="C3673" s="5">
        <v>289.07254656824767</v>
      </c>
      <c r="D3673" s="45"/>
    </row>
    <row r="3674" spans="2:4" ht="16" thickBot="1" x14ac:dyDescent="0.25">
      <c r="B3674" s="4">
        <v>3669</v>
      </c>
      <c r="C3674" s="4">
        <v>92.239706663236461</v>
      </c>
      <c r="D3674" s="45"/>
    </row>
    <row r="3675" spans="2:4" ht="16" thickBot="1" x14ac:dyDescent="0.25">
      <c r="B3675" s="5">
        <v>3670</v>
      </c>
      <c r="C3675" s="5">
        <v>168.78489111077798</v>
      </c>
      <c r="D3675" s="45"/>
    </row>
    <row r="3676" spans="2:4" ht="16" thickBot="1" x14ac:dyDescent="0.25">
      <c r="B3676" s="4">
        <v>3671</v>
      </c>
      <c r="C3676" s="4">
        <v>119.82751692099124</v>
      </c>
      <c r="D3676" s="45"/>
    </row>
    <row r="3677" spans="2:4" ht="16" thickBot="1" x14ac:dyDescent="0.25">
      <c r="B3677" s="5">
        <v>3672</v>
      </c>
      <c r="C3677" s="5">
        <v>271.22581186855058</v>
      </c>
      <c r="D3677" s="45"/>
    </row>
    <row r="3678" spans="2:4" ht="16" thickBot="1" x14ac:dyDescent="0.25">
      <c r="B3678" s="4">
        <v>3673</v>
      </c>
      <c r="C3678" s="4">
        <v>276.26863203263503</v>
      </c>
      <c r="D3678" s="45"/>
    </row>
    <row r="3679" spans="2:4" ht="16" thickBot="1" x14ac:dyDescent="0.25">
      <c r="B3679" s="5">
        <v>3674</v>
      </c>
      <c r="C3679" s="5">
        <v>120.9796001000435</v>
      </c>
      <c r="D3679" s="45"/>
    </row>
    <row r="3680" spans="2:4" ht="16" thickBot="1" x14ac:dyDescent="0.25">
      <c r="B3680" s="4">
        <v>3675</v>
      </c>
      <c r="C3680" s="4">
        <v>188.3447768667009</v>
      </c>
      <c r="D3680" s="45"/>
    </row>
    <row r="3681" spans="2:4" ht="16" thickBot="1" x14ac:dyDescent="0.25">
      <c r="B3681" s="5">
        <v>3676</v>
      </c>
      <c r="C3681" s="5">
        <v>96.499013398204198</v>
      </c>
      <c r="D3681" s="45"/>
    </row>
    <row r="3682" spans="2:4" ht="16" thickBot="1" x14ac:dyDescent="0.25">
      <c r="B3682" s="4">
        <v>3677</v>
      </c>
      <c r="C3682" s="4">
        <v>83.497587310763848</v>
      </c>
      <c r="D3682" s="45"/>
    </row>
    <row r="3683" spans="2:4" ht="16" thickBot="1" x14ac:dyDescent="0.25">
      <c r="B3683" s="5">
        <v>3678</v>
      </c>
      <c r="C3683" s="5">
        <v>261.3094919560279</v>
      </c>
      <c r="D3683" s="45"/>
    </row>
    <row r="3684" spans="2:4" ht="16" thickBot="1" x14ac:dyDescent="0.25">
      <c r="B3684" s="4">
        <v>3679</v>
      </c>
      <c r="C3684" s="4">
        <v>221.47142600747389</v>
      </c>
      <c r="D3684" s="45"/>
    </row>
    <row r="3685" spans="2:4" ht="16" thickBot="1" x14ac:dyDescent="0.25">
      <c r="B3685" s="5">
        <v>3680</v>
      </c>
      <c r="C3685" s="5">
        <v>228.85867193240071</v>
      </c>
      <c r="D3685" s="45"/>
    </row>
    <row r="3686" spans="2:4" ht="16" thickBot="1" x14ac:dyDescent="0.25">
      <c r="B3686" s="4">
        <v>3681</v>
      </c>
      <c r="C3686" s="4">
        <v>128.66272972932194</v>
      </c>
      <c r="D3686" s="45"/>
    </row>
    <row r="3687" spans="2:4" ht="16" thickBot="1" x14ac:dyDescent="0.25">
      <c r="B3687" s="5">
        <v>3682</v>
      </c>
      <c r="C3687" s="5">
        <v>110.77112614924916</v>
      </c>
      <c r="D3687" s="45"/>
    </row>
    <row r="3688" spans="2:4" ht="16" thickBot="1" x14ac:dyDescent="0.25">
      <c r="B3688" s="4">
        <v>3683</v>
      </c>
      <c r="C3688" s="4">
        <v>269.58024850384129</v>
      </c>
      <c r="D3688" s="45"/>
    </row>
    <row r="3689" spans="2:4" ht="16" thickBot="1" x14ac:dyDescent="0.25">
      <c r="B3689" s="5">
        <v>3684</v>
      </c>
      <c r="C3689" s="5">
        <v>64.59514873975192</v>
      </c>
      <c r="D3689" s="45"/>
    </row>
    <row r="3690" spans="2:4" ht="16" thickBot="1" x14ac:dyDescent="0.25">
      <c r="B3690" s="4">
        <v>3685</v>
      </c>
      <c r="C3690" s="4">
        <v>118.57032238075786</v>
      </c>
      <c r="D3690" s="45"/>
    </row>
    <row r="3691" spans="2:4" ht="16" thickBot="1" x14ac:dyDescent="0.25">
      <c r="B3691" s="5">
        <v>3686</v>
      </c>
      <c r="C3691" s="5">
        <v>148.80858498857714</v>
      </c>
      <c r="D3691" s="45"/>
    </row>
    <row r="3692" spans="2:4" ht="16" thickBot="1" x14ac:dyDescent="0.25">
      <c r="B3692" s="4">
        <v>3687</v>
      </c>
      <c r="C3692" s="4">
        <v>105.48285138366228</v>
      </c>
      <c r="D3692" s="45"/>
    </row>
    <row r="3693" spans="2:4" ht="16" thickBot="1" x14ac:dyDescent="0.25">
      <c r="B3693" s="5">
        <v>3688</v>
      </c>
      <c r="C3693" s="5">
        <v>387.99797586929941</v>
      </c>
      <c r="D3693" s="45"/>
    </row>
    <row r="3694" spans="2:4" ht="16" thickBot="1" x14ac:dyDescent="0.25">
      <c r="B3694" s="4">
        <v>3689</v>
      </c>
      <c r="C3694" s="4">
        <v>230.20617250146222</v>
      </c>
      <c r="D3694" s="45"/>
    </row>
    <row r="3695" spans="2:4" ht="16" thickBot="1" x14ac:dyDescent="0.25">
      <c r="B3695" s="5">
        <v>3690</v>
      </c>
      <c r="C3695" s="5">
        <v>123.18398506808049</v>
      </c>
      <c r="D3695" s="45"/>
    </row>
    <row r="3696" spans="2:4" ht="16" thickBot="1" x14ac:dyDescent="0.25">
      <c r="B3696" s="4">
        <v>3691</v>
      </c>
      <c r="C3696" s="4">
        <v>96.561031396029605</v>
      </c>
      <c r="D3696" s="45"/>
    </row>
    <row r="3697" spans="2:4" ht="16" thickBot="1" x14ac:dyDescent="0.25">
      <c r="B3697" s="5">
        <v>3692</v>
      </c>
      <c r="C3697" s="5">
        <v>83.634419294969192</v>
      </c>
      <c r="D3697" s="45"/>
    </row>
    <row r="3698" spans="2:4" ht="16" thickBot="1" x14ac:dyDescent="0.25">
      <c r="B3698" s="4">
        <v>3693</v>
      </c>
      <c r="C3698" s="4">
        <v>107.51406291698608</v>
      </c>
      <c r="D3698" s="45"/>
    </row>
    <row r="3699" spans="2:4" ht="16" thickBot="1" x14ac:dyDescent="0.25">
      <c r="B3699" s="5">
        <v>3694</v>
      </c>
      <c r="C3699" s="5">
        <v>208.74080725989185</v>
      </c>
      <c r="D3699" s="45"/>
    </row>
    <row r="3700" spans="2:4" ht="16" thickBot="1" x14ac:dyDescent="0.25">
      <c r="B3700" s="4">
        <v>3695</v>
      </c>
      <c r="C3700" s="4">
        <v>96.829615194860565</v>
      </c>
      <c r="D3700" s="45"/>
    </row>
    <row r="3701" spans="2:4" ht="16" thickBot="1" x14ac:dyDescent="0.25">
      <c r="B3701" s="5">
        <v>3696</v>
      </c>
      <c r="C3701" s="5">
        <v>116.29400789620711</v>
      </c>
      <c r="D3701" s="45"/>
    </row>
    <row r="3702" spans="2:4" ht="16" thickBot="1" x14ac:dyDescent="0.25">
      <c r="B3702" s="4">
        <v>3697</v>
      </c>
      <c r="C3702" s="4">
        <v>266.34122660102503</v>
      </c>
      <c r="D3702" s="45"/>
    </row>
    <row r="3703" spans="2:4" ht="16" thickBot="1" x14ac:dyDescent="0.25">
      <c r="B3703" s="5">
        <v>3698</v>
      </c>
      <c r="C3703" s="5">
        <v>187.57939822579593</v>
      </c>
      <c r="D3703" s="45"/>
    </row>
    <row r="3704" spans="2:4" ht="16" thickBot="1" x14ac:dyDescent="0.25">
      <c r="B3704" s="4">
        <v>3699</v>
      </c>
      <c r="C3704" s="4">
        <v>171.87757507406653</v>
      </c>
      <c r="D3704" s="45"/>
    </row>
    <row r="3705" spans="2:4" ht="16" thickBot="1" x14ac:dyDescent="0.25">
      <c r="B3705" s="5">
        <v>3700</v>
      </c>
      <c r="C3705" s="5">
        <v>97.557362622075942</v>
      </c>
      <c r="D3705" s="45"/>
    </row>
    <row r="3706" spans="2:4" ht="16" thickBot="1" x14ac:dyDescent="0.25">
      <c r="B3706" s="4">
        <v>3701</v>
      </c>
      <c r="C3706" s="4">
        <v>116.56755511106144</v>
      </c>
      <c r="D3706" s="45"/>
    </row>
    <row r="3707" spans="2:4" ht="16" thickBot="1" x14ac:dyDescent="0.25">
      <c r="B3707" s="5">
        <v>3702</v>
      </c>
      <c r="C3707" s="5">
        <v>144.30485945046371</v>
      </c>
      <c r="D3707" s="45"/>
    </row>
    <row r="3708" spans="2:4" ht="16" thickBot="1" x14ac:dyDescent="0.25">
      <c r="B3708" s="4">
        <v>3703</v>
      </c>
      <c r="C3708" s="4">
        <v>406.72015491354534</v>
      </c>
      <c r="D3708" s="45"/>
    </row>
    <row r="3709" spans="2:4" ht="16" thickBot="1" x14ac:dyDescent="0.25">
      <c r="B3709" s="5">
        <v>3704</v>
      </c>
      <c r="C3709" s="5">
        <v>144.29090614859777</v>
      </c>
      <c r="D3709" s="45"/>
    </row>
    <row r="3710" spans="2:4" ht="16" thickBot="1" x14ac:dyDescent="0.25">
      <c r="B3710" s="4">
        <v>3705</v>
      </c>
      <c r="C3710" s="4">
        <v>424.96005088074122</v>
      </c>
      <c r="D3710" s="45"/>
    </row>
    <row r="3711" spans="2:4" ht="16" thickBot="1" x14ac:dyDescent="0.25">
      <c r="B3711" s="5">
        <v>3706</v>
      </c>
      <c r="C3711" s="5">
        <v>67.927572723490599</v>
      </c>
      <c r="D3711" s="45"/>
    </row>
    <row r="3712" spans="2:4" ht="16" thickBot="1" x14ac:dyDescent="0.25">
      <c r="B3712" s="4">
        <v>3707</v>
      </c>
      <c r="C3712" s="4">
        <v>281.93704368402734</v>
      </c>
      <c r="D3712" s="45"/>
    </row>
    <row r="3713" spans="2:4" ht="16" thickBot="1" x14ac:dyDescent="0.25">
      <c r="B3713" s="5">
        <v>3708</v>
      </c>
      <c r="C3713" s="5">
        <v>155.37190500466099</v>
      </c>
      <c r="D3713" s="45"/>
    </row>
    <row r="3714" spans="2:4" ht="16" thickBot="1" x14ac:dyDescent="0.25">
      <c r="B3714" s="4">
        <v>3709</v>
      </c>
      <c r="C3714" s="4">
        <v>110.85406568443771</v>
      </c>
      <c r="D3714" s="45"/>
    </row>
    <row r="3715" spans="2:4" ht="16" thickBot="1" x14ac:dyDescent="0.25">
      <c r="B3715" s="5">
        <v>3710</v>
      </c>
      <c r="C3715" s="5">
        <v>66.591950257272615</v>
      </c>
      <c r="D3715" s="45"/>
    </row>
    <row r="3716" spans="2:4" ht="16" thickBot="1" x14ac:dyDescent="0.25">
      <c r="B3716" s="4">
        <v>3711</v>
      </c>
      <c r="C3716" s="4">
        <v>184.09788781619849</v>
      </c>
      <c r="D3716" s="45"/>
    </row>
    <row r="3717" spans="2:4" ht="16" thickBot="1" x14ac:dyDescent="0.25">
      <c r="B3717" s="5">
        <v>3712</v>
      </c>
      <c r="C3717" s="5">
        <v>101.22820499669804</v>
      </c>
      <c r="D3717" s="45"/>
    </row>
    <row r="3718" spans="2:4" ht="16" thickBot="1" x14ac:dyDescent="0.25">
      <c r="B3718" s="4">
        <v>3713</v>
      </c>
      <c r="C3718" s="4">
        <v>221.46191491765217</v>
      </c>
      <c r="D3718" s="45"/>
    </row>
    <row r="3719" spans="2:4" ht="16" thickBot="1" x14ac:dyDescent="0.25">
      <c r="B3719" s="5">
        <v>3714</v>
      </c>
      <c r="C3719" s="5">
        <v>153.67989788157809</v>
      </c>
      <c r="D3719" s="45"/>
    </row>
    <row r="3720" spans="2:4" ht="16" thickBot="1" x14ac:dyDescent="0.25">
      <c r="B3720" s="4">
        <v>3715</v>
      </c>
      <c r="C3720" s="4">
        <v>99.362774763975636</v>
      </c>
      <c r="D3720" s="45"/>
    </row>
    <row r="3721" spans="2:4" ht="16" thickBot="1" x14ac:dyDescent="0.25">
      <c r="B3721" s="5">
        <v>3716</v>
      </c>
      <c r="C3721" s="5">
        <v>176.2867605556257</v>
      </c>
      <c r="D3721" s="45"/>
    </row>
    <row r="3722" spans="2:4" ht="16" thickBot="1" x14ac:dyDescent="0.25">
      <c r="B3722" s="4">
        <v>3717</v>
      </c>
      <c r="C3722" s="4">
        <v>160.54803531693474</v>
      </c>
      <c r="D3722" s="45"/>
    </row>
    <row r="3723" spans="2:4" ht="16" thickBot="1" x14ac:dyDescent="0.25">
      <c r="B3723" s="5">
        <v>3718</v>
      </c>
      <c r="C3723" s="5">
        <v>75.340792252737515</v>
      </c>
      <c r="D3723" s="45"/>
    </row>
    <row r="3724" spans="2:4" ht="16" thickBot="1" x14ac:dyDescent="0.25">
      <c r="B3724" s="4">
        <v>3719</v>
      </c>
      <c r="C3724" s="4">
        <v>78.892948636545569</v>
      </c>
      <c r="D3724" s="45"/>
    </row>
    <row r="3725" spans="2:4" ht="16" thickBot="1" x14ac:dyDescent="0.25">
      <c r="B3725" s="5">
        <v>3720</v>
      </c>
      <c r="C3725" s="5">
        <v>172.44538253342719</v>
      </c>
      <c r="D3725" s="45"/>
    </row>
    <row r="3726" spans="2:4" ht="16" thickBot="1" x14ac:dyDescent="0.25">
      <c r="B3726" s="4">
        <v>3721</v>
      </c>
      <c r="C3726" s="4">
        <v>208.23341558002696</v>
      </c>
      <c r="D3726" s="45"/>
    </row>
    <row r="3727" spans="2:4" ht="16" thickBot="1" x14ac:dyDescent="0.25">
      <c r="B3727" s="5">
        <v>3722</v>
      </c>
      <c r="C3727" s="5">
        <v>92.208610482772656</v>
      </c>
      <c r="D3727" s="45"/>
    </row>
    <row r="3728" spans="2:4" ht="16" thickBot="1" x14ac:dyDescent="0.25">
      <c r="B3728" s="4">
        <v>3723</v>
      </c>
      <c r="C3728" s="4">
        <v>88.87593570778705</v>
      </c>
      <c r="D3728" s="45"/>
    </row>
    <row r="3729" spans="2:4" ht="16" thickBot="1" x14ac:dyDescent="0.25">
      <c r="B3729" s="5">
        <v>3724</v>
      </c>
      <c r="C3729" s="5">
        <v>239.81602121178997</v>
      </c>
      <c r="D3729" s="45"/>
    </row>
    <row r="3730" spans="2:4" ht="16" thickBot="1" x14ac:dyDescent="0.25">
      <c r="B3730" s="4">
        <v>3725</v>
      </c>
      <c r="C3730" s="4">
        <v>334.94870021186227</v>
      </c>
      <c r="D3730" s="45"/>
    </row>
    <row r="3731" spans="2:4" ht="16" thickBot="1" x14ac:dyDescent="0.25">
      <c r="B3731" s="5">
        <v>3726</v>
      </c>
      <c r="C3731" s="5">
        <v>95.484413727574534</v>
      </c>
      <c r="D3731" s="45"/>
    </row>
    <row r="3732" spans="2:4" ht="16" thickBot="1" x14ac:dyDescent="0.25">
      <c r="B3732" s="4">
        <v>3727</v>
      </c>
      <c r="C3732" s="4">
        <v>149.88159541848268</v>
      </c>
      <c r="D3732" s="45"/>
    </row>
    <row r="3733" spans="2:4" ht="16" thickBot="1" x14ac:dyDescent="0.25">
      <c r="B3733" s="5">
        <v>3728</v>
      </c>
      <c r="C3733" s="5">
        <v>107.85850685415141</v>
      </c>
      <c r="D3733" s="45"/>
    </row>
    <row r="3734" spans="2:4" ht="16" thickBot="1" x14ac:dyDescent="0.25">
      <c r="B3734" s="4">
        <v>3729</v>
      </c>
      <c r="C3734" s="4">
        <v>211.98608257758303</v>
      </c>
      <c r="D3734" s="45"/>
    </row>
    <row r="3735" spans="2:4" ht="16" thickBot="1" x14ac:dyDescent="0.25">
      <c r="B3735" s="5">
        <v>3730</v>
      </c>
      <c r="C3735" s="5">
        <v>82.444320631108752</v>
      </c>
      <c r="D3735" s="45"/>
    </row>
    <row r="3736" spans="2:4" ht="16" thickBot="1" x14ac:dyDescent="0.25">
      <c r="B3736" s="4">
        <v>3731</v>
      </c>
      <c r="C3736" s="4">
        <v>149.64340573101794</v>
      </c>
      <c r="D3736" s="45"/>
    </row>
    <row r="3737" spans="2:4" ht="16" thickBot="1" x14ac:dyDescent="0.25">
      <c r="B3737" s="5">
        <v>3732</v>
      </c>
      <c r="C3737" s="5">
        <v>62.695688909646741</v>
      </c>
      <c r="D3737" s="45"/>
    </row>
    <row r="3738" spans="2:4" ht="16" thickBot="1" x14ac:dyDescent="0.25">
      <c r="B3738" s="4">
        <v>3733</v>
      </c>
      <c r="C3738" s="4">
        <v>86.664837853059439</v>
      </c>
      <c r="D3738" s="45"/>
    </row>
    <row r="3739" spans="2:4" ht="16" thickBot="1" x14ac:dyDescent="0.25">
      <c r="B3739" s="5">
        <v>3734</v>
      </c>
      <c r="C3739" s="5">
        <v>151.09710085763666</v>
      </c>
      <c r="D3739" s="45"/>
    </row>
    <row r="3740" spans="2:4" ht="16" thickBot="1" x14ac:dyDescent="0.25">
      <c r="B3740" s="4">
        <v>3735</v>
      </c>
      <c r="C3740" s="4">
        <v>264.18922526865759</v>
      </c>
      <c r="D3740" s="45"/>
    </row>
    <row r="3741" spans="2:4" ht="16" thickBot="1" x14ac:dyDescent="0.25">
      <c r="B3741" s="5">
        <v>3736</v>
      </c>
      <c r="C3741" s="5">
        <v>139.49863008357218</v>
      </c>
      <c r="D3741" s="45"/>
    </row>
    <row r="3742" spans="2:4" ht="16" thickBot="1" x14ac:dyDescent="0.25">
      <c r="B3742" s="4">
        <v>3737</v>
      </c>
      <c r="C3742" s="4">
        <v>160.8653272065859</v>
      </c>
      <c r="D3742" s="45"/>
    </row>
    <row r="3743" spans="2:4" ht="16" thickBot="1" x14ac:dyDescent="0.25">
      <c r="B3743" s="5">
        <v>3738</v>
      </c>
      <c r="C3743" s="5">
        <v>165.18323727170181</v>
      </c>
      <c r="D3743" s="45"/>
    </row>
    <row r="3744" spans="2:4" ht="16" thickBot="1" x14ac:dyDescent="0.25">
      <c r="B3744" s="4">
        <v>3739</v>
      </c>
      <c r="C3744" s="4">
        <v>128.82830008529425</v>
      </c>
      <c r="D3744" s="45"/>
    </row>
    <row r="3745" spans="2:4" ht="16" thickBot="1" x14ac:dyDescent="0.25">
      <c r="B3745" s="5">
        <v>3740</v>
      </c>
      <c r="C3745" s="5">
        <v>266.36233832302264</v>
      </c>
      <c r="D3745" s="45"/>
    </row>
    <row r="3746" spans="2:4" ht="16" thickBot="1" x14ac:dyDescent="0.25">
      <c r="B3746" s="4">
        <v>3741</v>
      </c>
      <c r="C3746" s="4">
        <v>99.849419632279563</v>
      </c>
      <c r="D3746" s="45"/>
    </row>
    <row r="3747" spans="2:4" ht="16" thickBot="1" x14ac:dyDescent="0.25">
      <c r="B3747" s="5">
        <v>3742</v>
      </c>
      <c r="C3747" s="5">
        <v>86.28303994473228</v>
      </c>
      <c r="D3747" s="45"/>
    </row>
    <row r="3748" spans="2:4" ht="16" thickBot="1" x14ac:dyDescent="0.25">
      <c r="B3748" s="4">
        <v>3743</v>
      </c>
      <c r="C3748" s="4">
        <v>134.24292243758705</v>
      </c>
      <c r="D3748" s="45"/>
    </row>
    <row r="3749" spans="2:4" ht="16" thickBot="1" x14ac:dyDescent="0.25">
      <c r="B3749" s="5">
        <v>3744</v>
      </c>
      <c r="C3749" s="5">
        <v>309.87757386175639</v>
      </c>
      <c r="D3749" s="45"/>
    </row>
    <row r="3750" spans="2:4" ht="16" thickBot="1" x14ac:dyDescent="0.25">
      <c r="B3750" s="4">
        <v>3745</v>
      </c>
      <c r="C3750" s="4">
        <v>240.28512828776272</v>
      </c>
      <c r="D3750" s="45"/>
    </row>
    <row r="3751" spans="2:4" ht="16" thickBot="1" x14ac:dyDescent="0.25">
      <c r="B3751" s="5">
        <v>3746</v>
      </c>
      <c r="C3751" s="5">
        <v>108.50491271607849</v>
      </c>
      <c r="D3751" s="45"/>
    </row>
    <row r="3752" spans="2:4" ht="16" thickBot="1" x14ac:dyDescent="0.25">
      <c r="B3752" s="4">
        <v>3747</v>
      </c>
      <c r="C3752" s="4">
        <v>154.65621889152129</v>
      </c>
      <c r="D3752" s="45"/>
    </row>
    <row r="3753" spans="2:4" ht="16" thickBot="1" x14ac:dyDescent="0.25">
      <c r="B3753" s="5">
        <v>3748</v>
      </c>
      <c r="C3753" s="5">
        <v>155.27356328686204</v>
      </c>
      <c r="D3753" s="45"/>
    </row>
    <row r="3754" spans="2:4" ht="16" thickBot="1" x14ac:dyDescent="0.25">
      <c r="B3754" s="4">
        <v>3749</v>
      </c>
      <c r="C3754" s="4">
        <v>240.38990391868194</v>
      </c>
      <c r="D3754" s="45"/>
    </row>
    <row r="3755" spans="2:4" ht="16" thickBot="1" x14ac:dyDescent="0.25">
      <c r="B3755" s="5">
        <v>3750</v>
      </c>
      <c r="C3755" s="5">
        <v>268.1781040233775</v>
      </c>
      <c r="D3755" s="45"/>
    </row>
    <row r="3756" spans="2:4" ht="16" thickBot="1" x14ac:dyDescent="0.25">
      <c r="B3756" s="4">
        <v>3751</v>
      </c>
      <c r="C3756" s="4">
        <v>209.11326681318329</v>
      </c>
      <c r="D3756" s="45"/>
    </row>
    <row r="3757" spans="2:4" ht="16" thickBot="1" x14ac:dyDescent="0.25">
      <c r="B3757" s="5">
        <v>3752</v>
      </c>
      <c r="C3757" s="5">
        <v>167.53160901523728</v>
      </c>
      <c r="D3757" s="45"/>
    </row>
    <row r="3758" spans="2:4" ht="16" thickBot="1" x14ac:dyDescent="0.25">
      <c r="B3758" s="4">
        <v>3753</v>
      </c>
      <c r="C3758" s="4">
        <v>161.23965809693777</v>
      </c>
      <c r="D3758" s="45"/>
    </row>
    <row r="3759" spans="2:4" ht="16" thickBot="1" x14ac:dyDescent="0.25">
      <c r="B3759" s="5">
        <v>3754</v>
      </c>
      <c r="C3759" s="5">
        <v>372.44031808481469</v>
      </c>
      <c r="D3759" s="45"/>
    </row>
    <row r="3760" spans="2:4" ht="16" thickBot="1" x14ac:dyDescent="0.25">
      <c r="B3760" s="4">
        <v>3755</v>
      </c>
      <c r="C3760" s="4">
        <v>122.1337477094234</v>
      </c>
      <c r="D3760" s="45"/>
    </row>
    <row r="3761" spans="2:4" ht="16" thickBot="1" x14ac:dyDescent="0.25">
      <c r="B3761" s="5">
        <v>3756</v>
      </c>
      <c r="C3761" s="5">
        <v>272.96605690605281</v>
      </c>
      <c r="D3761" s="45"/>
    </row>
    <row r="3762" spans="2:4" ht="16" thickBot="1" x14ac:dyDescent="0.25">
      <c r="B3762" s="4">
        <v>3757</v>
      </c>
      <c r="C3762" s="4">
        <v>96.462507680632385</v>
      </c>
      <c r="D3762" s="45"/>
    </row>
    <row r="3763" spans="2:4" ht="16" thickBot="1" x14ac:dyDescent="0.25">
      <c r="B3763" s="5">
        <v>3758</v>
      </c>
      <c r="C3763" s="5">
        <v>52.440792197332428</v>
      </c>
      <c r="D3763" s="45"/>
    </row>
    <row r="3764" spans="2:4" ht="16" thickBot="1" x14ac:dyDescent="0.25">
      <c r="B3764" s="4">
        <v>3759</v>
      </c>
      <c r="C3764" s="4">
        <v>117.78395664353899</v>
      </c>
      <c r="D3764" s="45"/>
    </row>
    <row r="3765" spans="2:4" ht="16" thickBot="1" x14ac:dyDescent="0.25">
      <c r="B3765" s="5">
        <v>3760</v>
      </c>
      <c r="C3765" s="5">
        <v>269.77246164281394</v>
      </c>
      <c r="D3765" s="45"/>
    </row>
    <row r="3766" spans="2:4" ht="16" thickBot="1" x14ac:dyDescent="0.25">
      <c r="B3766" s="4">
        <v>3761</v>
      </c>
      <c r="C3766" s="4">
        <v>93.164315299378089</v>
      </c>
      <c r="D3766" s="45"/>
    </row>
    <row r="3767" spans="2:4" ht="16" thickBot="1" x14ac:dyDescent="0.25">
      <c r="B3767" s="5">
        <v>3762</v>
      </c>
      <c r="C3767" s="5">
        <v>103.85617990892088</v>
      </c>
      <c r="D3767" s="45"/>
    </row>
    <row r="3768" spans="2:4" ht="16" thickBot="1" x14ac:dyDescent="0.25">
      <c r="B3768" s="4">
        <v>3763</v>
      </c>
      <c r="C3768" s="4">
        <v>467.03024099452654</v>
      </c>
      <c r="D3768" s="45"/>
    </row>
    <row r="3769" spans="2:4" ht="16" thickBot="1" x14ac:dyDescent="0.25">
      <c r="B3769" s="5">
        <v>3764</v>
      </c>
      <c r="C3769" s="5">
        <v>147.66368191731937</v>
      </c>
      <c r="D3769" s="45"/>
    </row>
    <row r="3770" spans="2:4" ht="16" thickBot="1" x14ac:dyDescent="0.25">
      <c r="B3770" s="4">
        <v>3765</v>
      </c>
      <c r="C3770" s="4">
        <v>142.28303443658206</v>
      </c>
      <c r="D3770" s="45"/>
    </row>
    <row r="3771" spans="2:4" ht="16" thickBot="1" x14ac:dyDescent="0.25">
      <c r="B3771" s="5">
        <v>3766</v>
      </c>
      <c r="C3771" s="5">
        <v>195.27926549820646</v>
      </c>
      <c r="D3771" s="45"/>
    </row>
    <row r="3772" spans="2:4" ht="16" thickBot="1" x14ac:dyDescent="0.25">
      <c r="B3772" s="4">
        <v>3767</v>
      </c>
      <c r="C3772" s="4">
        <v>93.755771509499567</v>
      </c>
      <c r="D3772" s="45"/>
    </row>
    <row r="3773" spans="2:4" ht="16" thickBot="1" x14ac:dyDescent="0.25">
      <c r="B3773" s="5">
        <v>3768</v>
      </c>
      <c r="C3773" s="5">
        <v>74.547110474126114</v>
      </c>
      <c r="D3773" s="45"/>
    </row>
    <row r="3774" spans="2:4" ht="16" thickBot="1" x14ac:dyDescent="0.25">
      <c r="B3774" s="4">
        <v>3769</v>
      </c>
      <c r="C3774" s="4">
        <v>63.949490371281129</v>
      </c>
      <c r="D3774" s="45"/>
    </row>
    <row r="3775" spans="2:4" ht="16" thickBot="1" x14ac:dyDescent="0.25">
      <c r="B3775" s="5">
        <v>3770</v>
      </c>
      <c r="C3775" s="5">
        <v>176.71933550078049</v>
      </c>
      <c r="D3775" s="45"/>
    </row>
    <row r="3776" spans="2:4" ht="16" thickBot="1" x14ac:dyDescent="0.25">
      <c r="B3776" s="4">
        <v>3771</v>
      </c>
      <c r="C3776" s="4">
        <v>199.95074043106072</v>
      </c>
      <c r="D3776" s="45"/>
    </row>
    <row r="3777" spans="2:4" ht="16" thickBot="1" x14ac:dyDescent="0.25">
      <c r="B3777" s="5">
        <v>3772</v>
      </c>
      <c r="C3777" s="5">
        <v>125.18973679261839</v>
      </c>
      <c r="D3777" s="45"/>
    </row>
    <row r="3778" spans="2:4" ht="16" thickBot="1" x14ac:dyDescent="0.25">
      <c r="B3778" s="4">
        <v>3773</v>
      </c>
      <c r="C3778" s="4">
        <v>175.10641206067351</v>
      </c>
      <c r="D3778" s="45"/>
    </row>
    <row r="3779" spans="2:4" ht="16" thickBot="1" x14ac:dyDescent="0.25">
      <c r="B3779" s="5">
        <v>3774</v>
      </c>
      <c r="C3779" s="5">
        <v>65.609150072106985</v>
      </c>
      <c r="D3779" s="45"/>
    </row>
    <row r="3780" spans="2:4" ht="16" thickBot="1" x14ac:dyDescent="0.25">
      <c r="B3780" s="4">
        <v>3775</v>
      </c>
      <c r="C3780" s="4">
        <v>88.789066841801557</v>
      </c>
      <c r="D3780" s="45"/>
    </row>
    <row r="3781" spans="2:4" ht="16" thickBot="1" x14ac:dyDescent="0.25">
      <c r="B3781" s="5">
        <v>3776</v>
      </c>
      <c r="C3781" s="5">
        <v>156.3959946827969</v>
      </c>
      <c r="D3781" s="45"/>
    </row>
    <row r="3782" spans="2:4" ht="16" thickBot="1" x14ac:dyDescent="0.25">
      <c r="B3782" s="4">
        <v>3777</v>
      </c>
      <c r="C3782" s="4">
        <v>413.44651681841339</v>
      </c>
      <c r="D3782" s="45"/>
    </row>
    <row r="3783" spans="2:4" ht="16" thickBot="1" x14ac:dyDescent="0.25">
      <c r="B3783" s="5">
        <v>3778</v>
      </c>
      <c r="C3783" s="5">
        <v>258.5365092759024</v>
      </c>
      <c r="D3783" s="45"/>
    </row>
    <row r="3784" spans="2:4" ht="16" thickBot="1" x14ac:dyDescent="0.25">
      <c r="B3784" s="4">
        <v>3779</v>
      </c>
      <c r="C3784" s="4">
        <v>452.30451591995205</v>
      </c>
      <c r="D3784" s="45"/>
    </row>
    <row r="3785" spans="2:4" ht="16" thickBot="1" x14ac:dyDescent="0.25">
      <c r="B3785" s="5">
        <v>3780</v>
      </c>
      <c r="C3785" s="5">
        <v>75.988348537440203</v>
      </c>
      <c r="D3785" s="45"/>
    </row>
    <row r="3786" spans="2:4" ht="16" thickBot="1" x14ac:dyDescent="0.25">
      <c r="B3786" s="4">
        <v>3781</v>
      </c>
      <c r="C3786" s="4">
        <v>252.83486984913438</v>
      </c>
      <c r="D3786" s="45"/>
    </row>
    <row r="3787" spans="2:4" ht="16" thickBot="1" x14ac:dyDescent="0.25">
      <c r="B3787" s="5">
        <v>3782</v>
      </c>
      <c r="C3787" s="5">
        <v>288.84391347918472</v>
      </c>
      <c r="D3787" s="45"/>
    </row>
    <row r="3788" spans="2:4" ht="16" thickBot="1" x14ac:dyDescent="0.25">
      <c r="B3788" s="4">
        <v>3783</v>
      </c>
      <c r="C3788" s="4">
        <v>126.11839811327928</v>
      </c>
      <c r="D3788" s="45"/>
    </row>
    <row r="3789" spans="2:4" ht="16" thickBot="1" x14ac:dyDescent="0.25">
      <c r="B3789" s="5">
        <v>3784</v>
      </c>
      <c r="C3789" s="5">
        <v>343.14079280833437</v>
      </c>
      <c r="D3789" s="45"/>
    </row>
    <row r="3790" spans="2:4" ht="16" thickBot="1" x14ac:dyDescent="0.25">
      <c r="B3790" s="4">
        <v>3785</v>
      </c>
      <c r="C3790" s="4">
        <v>106.44159442116849</v>
      </c>
      <c r="D3790" s="45"/>
    </row>
    <row r="3791" spans="2:4" ht="16" thickBot="1" x14ac:dyDescent="0.25">
      <c r="B3791" s="5">
        <v>3786</v>
      </c>
      <c r="C3791" s="5">
        <v>111.78934449785407</v>
      </c>
      <c r="D3791" s="45"/>
    </row>
    <row r="3792" spans="2:4" ht="16" thickBot="1" x14ac:dyDescent="0.25">
      <c r="B3792" s="4">
        <v>3787</v>
      </c>
      <c r="C3792" s="4">
        <v>171.61685130742336</v>
      </c>
      <c r="D3792" s="45"/>
    </row>
    <row r="3793" spans="2:4" ht="16" thickBot="1" x14ac:dyDescent="0.25">
      <c r="B3793" s="5">
        <v>3788</v>
      </c>
      <c r="C3793" s="5">
        <v>208.66800507454329</v>
      </c>
      <c r="D3793" s="45"/>
    </row>
    <row r="3794" spans="2:4" ht="16" thickBot="1" x14ac:dyDescent="0.25">
      <c r="B3794" s="4">
        <v>3789</v>
      </c>
      <c r="C3794" s="4">
        <v>184.05791240744307</v>
      </c>
      <c r="D3794" s="45"/>
    </row>
    <row r="3795" spans="2:4" ht="16" thickBot="1" x14ac:dyDescent="0.25">
      <c r="B3795" s="5">
        <v>3790</v>
      </c>
      <c r="C3795" s="5">
        <v>63.713101146369233</v>
      </c>
      <c r="D3795" s="45"/>
    </row>
    <row r="3796" spans="2:4" ht="16" thickBot="1" x14ac:dyDescent="0.25">
      <c r="B3796" s="4">
        <v>3791</v>
      </c>
      <c r="C3796" s="4">
        <v>101.68164095823224</v>
      </c>
      <c r="D3796" s="45"/>
    </row>
    <row r="3797" spans="2:4" ht="16" thickBot="1" x14ac:dyDescent="0.25">
      <c r="B3797" s="5">
        <v>3792</v>
      </c>
      <c r="C3797" s="5">
        <v>61.572367767252373</v>
      </c>
      <c r="D3797" s="45"/>
    </row>
    <row r="3798" spans="2:4" ht="16" thickBot="1" x14ac:dyDescent="0.25">
      <c r="B3798" s="4">
        <v>3793</v>
      </c>
      <c r="C3798" s="4">
        <v>193.95232203856108</v>
      </c>
      <c r="D3798" s="45"/>
    </row>
    <row r="3799" spans="2:4" ht="16" thickBot="1" x14ac:dyDescent="0.25">
      <c r="B3799" s="5">
        <v>3794</v>
      </c>
      <c r="C3799" s="5">
        <v>225.8122714117354</v>
      </c>
      <c r="D3799" s="45"/>
    </row>
    <row r="3800" spans="2:4" ht="16" thickBot="1" x14ac:dyDescent="0.25">
      <c r="B3800" s="4">
        <v>3795</v>
      </c>
      <c r="C3800" s="4">
        <v>77.525782781891294</v>
      </c>
      <c r="D3800" s="45"/>
    </row>
    <row r="3801" spans="2:4" ht="16" thickBot="1" x14ac:dyDescent="0.25">
      <c r="B3801" s="5">
        <v>3796</v>
      </c>
      <c r="C3801" s="5">
        <v>171.01023181014861</v>
      </c>
      <c r="D3801" s="45"/>
    </row>
    <row r="3802" spans="2:4" ht="16" thickBot="1" x14ac:dyDescent="0.25">
      <c r="B3802" s="4">
        <v>3797</v>
      </c>
      <c r="C3802" s="4">
        <v>151.8048727510029</v>
      </c>
      <c r="D3802" s="45"/>
    </row>
    <row r="3803" spans="2:4" ht="16" thickBot="1" x14ac:dyDescent="0.25">
      <c r="B3803" s="5">
        <v>3798</v>
      </c>
      <c r="C3803" s="5">
        <v>217.28392011859202</v>
      </c>
      <c r="D3803" s="45"/>
    </row>
    <row r="3804" spans="2:4" ht="16" thickBot="1" x14ac:dyDescent="0.25">
      <c r="B3804" s="4">
        <v>3799</v>
      </c>
      <c r="C3804" s="4">
        <v>125.0943274065237</v>
      </c>
      <c r="D3804" s="45"/>
    </row>
    <row r="3805" spans="2:4" ht="16" thickBot="1" x14ac:dyDescent="0.25">
      <c r="B3805" s="5">
        <v>3800</v>
      </c>
      <c r="C3805" s="5">
        <v>220.31412588669335</v>
      </c>
      <c r="D3805" s="45"/>
    </row>
    <row r="3806" spans="2:4" ht="16" thickBot="1" x14ac:dyDescent="0.25">
      <c r="B3806" s="4">
        <v>3801</v>
      </c>
      <c r="C3806" s="4">
        <v>265.1615844638651</v>
      </c>
      <c r="D3806" s="45"/>
    </row>
    <row r="3807" spans="2:4" ht="16" thickBot="1" x14ac:dyDescent="0.25">
      <c r="B3807" s="5">
        <v>3802</v>
      </c>
      <c r="C3807" s="5">
        <v>181.50528099545582</v>
      </c>
      <c r="D3807" s="45"/>
    </row>
    <row r="3808" spans="2:4" ht="16" thickBot="1" x14ac:dyDescent="0.25">
      <c r="B3808" s="4">
        <v>3803</v>
      </c>
      <c r="C3808" s="4">
        <v>191.71943734182693</v>
      </c>
      <c r="D3808" s="45"/>
    </row>
    <row r="3809" spans="2:4" ht="16" thickBot="1" x14ac:dyDescent="0.25">
      <c r="B3809" s="5">
        <v>3804</v>
      </c>
      <c r="C3809" s="5">
        <v>171.5384501085851</v>
      </c>
      <c r="D3809" s="45"/>
    </row>
    <row r="3810" spans="2:4" ht="16" thickBot="1" x14ac:dyDescent="0.25">
      <c r="B3810" s="4">
        <v>3805</v>
      </c>
      <c r="C3810" s="4">
        <v>208.21577148999071</v>
      </c>
      <c r="D3810" s="45"/>
    </row>
    <row r="3811" spans="2:4" ht="16" thickBot="1" x14ac:dyDescent="0.25">
      <c r="B3811" s="5">
        <v>3806</v>
      </c>
      <c r="C3811" s="5">
        <v>194.43554541165318</v>
      </c>
      <c r="D3811" s="45"/>
    </row>
    <row r="3812" spans="2:4" ht="16" thickBot="1" x14ac:dyDescent="0.25">
      <c r="B3812" s="4">
        <v>3807</v>
      </c>
      <c r="C3812" s="4">
        <v>437.11515690147974</v>
      </c>
      <c r="D3812" s="45"/>
    </row>
    <row r="3813" spans="2:4" ht="16" thickBot="1" x14ac:dyDescent="0.25">
      <c r="B3813" s="5">
        <v>3808</v>
      </c>
      <c r="C3813" s="5">
        <v>63.6229907791042</v>
      </c>
      <c r="D3813" s="45"/>
    </row>
    <row r="3814" spans="2:4" ht="16" thickBot="1" x14ac:dyDescent="0.25">
      <c r="B3814" s="4">
        <v>3809</v>
      </c>
      <c r="C3814" s="4">
        <v>112.05858135612799</v>
      </c>
      <c r="D3814" s="45"/>
    </row>
    <row r="3815" spans="2:4" ht="16" thickBot="1" x14ac:dyDescent="0.25">
      <c r="B3815" s="5">
        <v>3810</v>
      </c>
      <c r="C3815" s="5">
        <v>151.71964519998619</v>
      </c>
      <c r="D3815" s="45"/>
    </row>
    <row r="3816" spans="2:4" ht="16" thickBot="1" x14ac:dyDescent="0.25">
      <c r="B3816" s="4">
        <v>3811</v>
      </c>
      <c r="C3816" s="4">
        <v>63.256830440853534</v>
      </c>
      <c r="D3816" s="45"/>
    </row>
    <row r="3817" spans="2:4" ht="16" thickBot="1" x14ac:dyDescent="0.25">
      <c r="B3817" s="5">
        <v>3812</v>
      </c>
      <c r="C3817" s="5">
        <v>169.29374616418121</v>
      </c>
      <c r="D3817" s="45"/>
    </row>
    <row r="3818" spans="2:4" ht="16" thickBot="1" x14ac:dyDescent="0.25">
      <c r="B3818" s="4">
        <v>3813</v>
      </c>
      <c r="C3818" s="4">
        <v>78.176311271306901</v>
      </c>
      <c r="D3818" s="45"/>
    </row>
    <row r="3819" spans="2:4" ht="16" thickBot="1" x14ac:dyDescent="0.25">
      <c r="B3819" s="5">
        <v>3814</v>
      </c>
      <c r="C3819" s="5">
        <v>122.69612884506519</v>
      </c>
      <c r="D3819" s="45"/>
    </row>
    <row r="3820" spans="2:4" ht="16" thickBot="1" x14ac:dyDescent="0.25">
      <c r="B3820" s="4">
        <v>3815</v>
      </c>
      <c r="C3820" s="4">
        <v>116.81210244313642</v>
      </c>
      <c r="D3820" s="45"/>
    </row>
    <row r="3821" spans="2:4" ht="16" thickBot="1" x14ac:dyDescent="0.25">
      <c r="B3821" s="5">
        <v>3816</v>
      </c>
      <c r="C3821" s="5">
        <v>258.03185904796919</v>
      </c>
      <c r="D3821" s="45"/>
    </row>
    <row r="3822" spans="2:4" ht="16" thickBot="1" x14ac:dyDescent="0.25">
      <c r="B3822" s="4">
        <v>3817</v>
      </c>
      <c r="C3822" s="4">
        <v>145.97374230164135</v>
      </c>
      <c r="D3822" s="45"/>
    </row>
    <row r="3823" spans="2:4" ht="16" thickBot="1" x14ac:dyDescent="0.25">
      <c r="B3823" s="5">
        <v>3818</v>
      </c>
      <c r="C3823" s="5">
        <v>212.78178529192454</v>
      </c>
      <c r="D3823" s="45"/>
    </row>
    <row r="3824" spans="2:4" ht="16" thickBot="1" x14ac:dyDescent="0.25">
      <c r="B3824" s="4">
        <v>3819</v>
      </c>
      <c r="C3824" s="4">
        <v>265.45849319571624</v>
      </c>
      <c r="D3824" s="45"/>
    </row>
    <row r="3825" spans="2:4" ht="16" thickBot="1" x14ac:dyDescent="0.25">
      <c r="B3825" s="5">
        <v>3820</v>
      </c>
      <c r="C3825" s="5">
        <v>182.10426787329826</v>
      </c>
      <c r="D3825" s="45"/>
    </row>
    <row r="3826" spans="2:4" ht="16" thickBot="1" x14ac:dyDescent="0.25">
      <c r="B3826" s="4">
        <v>3821</v>
      </c>
      <c r="C3826" s="4">
        <v>172.61094885553018</v>
      </c>
      <c r="D3826" s="45"/>
    </row>
    <row r="3827" spans="2:4" ht="16" thickBot="1" x14ac:dyDescent="0.25">
      <c r="B3827" s="5">
        <v>3822</v>
      </c>
      <c r="C3827" s="5">
        <v>173.48543530359746</v>
      </c>
      <c r="D3827" s="45"/>
    </row>
    <row r="3828" spans="2:4" ht="16" thickBot="1" x14ac:dyDescent="0.25">
      <c r="B3828" s="4">
        <v>3823</v>
      </c>
      <c r="C3828" s="4">
        <v>183.36903345762812</v>
      </c>
      <c r="D3828" s="45"/>
    </row>
    <row r="3829" spans="2:4" ht="16" thickBot="1" x14ac:dyDescent="0.25">
      <c r="B3829" s="5">
        <v>3824</v>
      </c>
      <c r="C3829" s="5">
        <v>299.82456517767719</v>
      </c>
      <c r="D3829" s="45"/>
    </row>
    <row r="3830" spans="2:4" ht="16" thickBot="1" x14ac:dyDescent="0.25">
      <c r="B3830" s="4">
        <v>3825</v>
      </c>
      <c r="C3830" s="4">
        <v>139.87117637203895</v>
      </c>
      <c r="D3830" s="45"/>
    </row>
    <row r="3831" spans="2:4" ht="16" thickBot="1" x14ac:dyDescent="0.25">
      <c r="B3831" s="5">
        <v>3826</v>
      </c>
      <c r="C3831" s="5">
        <v>185.93629418164431</v>
      </c>
      <c r="D3831" s="45"/>
    </row>
    <row r="3832" spans="2:4" ht="16" thickBot="1" x14ac:dyDescent="0.25">
      <c r="B3832" s="4">
        <v>3827</v>
      </c>
      <c r="C3832" s="4">
        <v>160.82890591198608</v>
      </c>
      <c r="D3832" s="45"/>
    </row>
    <row r="3833" spans="2:4" ht="16" thickBot="1" x14ac:dyDescent="0.25">
      <c r="B3833" s="5">
        <v>3828</v>
      </c>
      <c r="C3833" s="5">
        <v>131.3173463409837</v>
      </c>
      <c r="D3833" s="45"/>
    </row>
    <row r="3834" spans="2:4" ht="16" thickBot="1" x14ac:dyDescent="0.25">
      <c r="B3834" s="4">
        <v>3829</v>
      </c>
      <c r="C3834" s="4">
        <v>298.47812606879825</v>
      </c>
      <c r="D3834" s="45"/>
    </row>
    <row r="3835" spans="2:4" ht="16" thickBot="1" x14ac:dyDescent="0.25">
      <c r="B3835" s="5">
        <v>3830</v>
      </c>
      <c r="C3835" s="5">
        <v>102.34519347937933</v>
      </c>
      <c r="D3835" s="45"/>
    </row>
    <row r="3836" spans="2:4" ht="16" thickBot="1" x14ac:dyDescent="0.25">
      <c r="B3836" s="4">
        <v>3831</v>
      </c>
      <c r="C3836" s="4">
        <v>236.44449739846382</v>
      </c>
      <c r="D3836" s="45"/>
    </row>
    <row r="3837" spans="2:4" ht="16" thickBot="1" x14ac:dyDescent="0.25">
      <c r="B3837" s="5">
        <v>3832</v>
      </c>
      <c r="C3837" s="5">
        <v>91.816559203258635</v>
      </c>
      <c r="D3837" s="45"/>
    </row>
    <row r="3838" spans="2:4" ht="16" thickBot="1" x14ac:dyDescent="0.25">
      <c r="B3838" s="4">
        <v>3833</v>
      </c>
      <c r="C3838" s="4">
        <v>150.04627098126272</v>
      </c>
      <c r="D3838" s="45"/>
    </row>
    <row r="3839" spans="2:4" ht="16" thickBot="1" x14ac:dyDescent="0.25">
      <c r="B3839" s="5">
        <v>3834</v>
      </c>
      <c r="C3839" s="5">
        <v>213.38910292895133</v>
      </c>
      <c r="D3839" s="45"/>
    </row>
    <row r="3840" spans="2:4" ht="16" thickBot="1" x14ac:dyDescent="0.25">
      <c r="B3840" s="4">
        <v>3835</v>
      </c>
      <c r="C3840" s="4">
        <v>230.79525940523922</v>
      </c>
      <c r="D3840" s="45"/>
    </row>
    <row r="3841" spans="2:4" ht="16" thickBot="1" x14ac:dyDescent="0.25">
      <c r="B3841" s="5">
        <v>3836</v>
      </c>
      <c r="C3841" s="5">
        <v>178.79437754876798</v>
      </c>
      <c r="D3841" s="45"/>
    </row>
    <row r="3842" spans="2:4" ht="16" thickBot="1" x14ac:dyDescent="0.25">
      <c r="B3842" s="4">
        <v>3837</v>
      </c>
      <c r="C3842" s="4">
        <v>64.447935379928978</v>
      </c>
      <c r="D3842" s="45"/>
    </row>
    <row r="3843" spans="2:4" ht="16" thickBot="1" x14ac:dyDescent="0.25">
      <c r="B3843" s="5">
        <v>3838</v>
      </c>
      <c r="C3843" s="5">
        <v>182.4193541376776</v>
      </c>
      <c r="D3843" s="45"/>
    </row>
    <row r="3844" spans="2:4" ht="16" thickBot="1" x14ac:dyDescent="0.25">
      <c r="B3844" s="4">
        <v>3839</v>
      </c>
      <c r="C3844" s="4">
        <v>129.54252632898732</v>
      </c>
      <c r="D3844" s="45"/>
    </row>
    <row r="3845" spans="2:4" ht="16" thickBot="1" x14ac:dyDescent="0.25">
      <c r="B3845" s="5">
        <v>3840</v>
      </c>
      <c r="C3845" s="5">
        <v>236.51229445100543</v>
      </c>
      <c r="D3845" s="45"/>
    </row>
    <row r="3846" spans="2:4" ht="16" thickBot="1" x14ac:dyDescent="0.25">
      <c r="B3846" s="4">
        <v>3841</v>
      </c>
      <c r="C3846" s="4">
        <v>75.149263625834763</v>
      </c>
      <c r="D3846" s="45"/>
    </row>
    <row r="3847" spans="2:4" ht="16" thickBot="1" x14ac:dyDescent="0.25">
      <c r="B3847" s="5">
        <v>3842</v>
      </c>
      <c r="C3847" s="5">
        <v>167.86394553462668</v>
      </c>
      <c r="D3847" s="45"/>
    </row>
    <row r="3848" spans="2:4" ht="16" thickBot="1" x14ac:dyDescent="0.25">
      <c r="B3848" s="4">
        <v>3843</v>
      </c>
      <c r="C3848" s="4">
        <v>161.66694971539823</v>
      </c>
      <c r="D3848" s="45"/>
    </row>
    <row r="3849" spans="2:4" ht="16" thickBot="1" x14ac:dyDescent="0.25">
      <c r="B3849" s="5">
        <v>3844</v>
      </c>
      <c r="C3849" s="5">
        <v>221.65925497401696</v>
      </c>
      <c r="D3849" s="45"/>
    </row>
    <row r="3850" spans="2:4" ht="16" thickBot="1" x14ac:dyDescent="0.25">
      <c r="B3850" s="4">
        <v>3845</v>
      </c>
      <c r="C3850" s="4">
        <v>232.67696068716788</v>
      </c>
      <c r="D3850" s="45"/>
    </row>
    <row r="3851" spans="2:4" ht="16" thickBot="1" x14ac:dyDescent="0.25">
      <c r="B3851" s="5">
        <v>3846</v>
      </c>
      <c r="C3851" s="5">
        <v>102.26951998673812</v>
      </c>
      <c r="D3851" s="45"/>
    </row>
    <row r="3852" spans="2:4" ht="16" thickBot="1" x14ac:dyDescent="0.25">
      <c r="B3852" s="4">
        <v>3847</v>
      </c>
      <c r="C3852" s="4">
        <v>79.495072925563505</v>
      </c>
      <c r="D3852" s="45"/>
    </row>
    <row r="3853" spans="2:4" ht="16" thickBot="1" x14ac:dyDescent="0.25">
      <c r="B3853" s="5">
        <v>3848</v>
      </c>
      <c r="C3853" s="5">
        <v>60.887504590666801</v>
      </c>
      <c r="D3853" s="45"/>
    </row>
    <row r="3854" spans="2:4" ht="16" thickBot="1" x14ac:dyDescent="0.25">
      <c r="B3854" s="4">
        <v>3849</v>
      </c>
      <c r="C3854" s="4">
        <v>145.08582082968789</v>
      </c>
      <c r="D3854" s="45"/>
    </row>
    <row r="3855" spans="2:4" ht="16" thickBot="1" x14ac:dyDescent="0.25">
      <c r="B3855" s="5">
        <v>3850</v>
      </c>
      <c r="C3855" s="5">
        <v>108.95083563281143</v>
      </c>
      <c r="D3855" s="45"/>
    </row>
    <row r="3856" spans="2:4" ht="16" thickBot="1" x14ac:dyDescent="0.25">
      <c r="B3856" s="4">
        <v>3851</v>
      </c>
      <c r="C3856" s="4">
        <v>135.99375927218844</v>
      </c>
      <c r="D3856" s="45"/>
    </row>
    <row r="3857" spans="2:4" ht="16" thickBot="1" x14ac:dyDescent="0.25">
      <c r="B3857" s="5">
        <v>3852</v>
      </c>
      <c r="C3857" s="5">
        <v>176.11226415484606</v>
      </c>
      <c r="D3857" s="45"/>
    </row>
    <row r="3858" spans="2:4" ht="16" thickBot="1" x14ac:dyDescent="0.25">
      <c r="B3858" s="4">
        <v>3853</v>
      </c>
      <c r="C3858" s="4">
        <v>213.89498767787717</v>
      </c>
      <c r="D3858" s="45"/>
    </row>
    <row r="3859" spans="2:4" ht="16" thickBot="1" x14ac:dyDescent="0.25">
      <c r="B3859" s="5">
        <v>3854</v>
      </c>
      <c r="C3859" s="5">
        <v>79.914587151690242</v>
      </c>
      <c r="D3859" s="45"/>
    </row>
    <row r="3860" spans="2:4" ht="16" thickBot="1" x14ac:dyDescent="0.25">
      <c r="B3860" s="4">
        <v>3855</v>
      </c>
      <c r="C3860" s="4">
        <v>105.49555892650754</v>
      </c>
      <c r="D3860" s="45"/>
    </row>
    <row r="3861" spans="2:4" ht="16" thickBot="1" x14ac:dyDescent="0.25">
      <c r="B3861" s="5">
        <v>3856</v>
      </c>
      <c r="C3861" s="5">
        <v>85.133878207659109</v>
      </c>
      <c r="D3861" s="45"/>
    </row>
    <row r="3862" spans="2:4" ht="16" thickBot="1" x14ac:dyDescent="0.25">
      <c r="B3862" s="4">
        <v>3857</v>
      </c>
      <c r="C3862" s="4">
        <v>96.400188763870588</v>
      </c>
      <c r="D3862" s="45"/>
    </row>
    <row r="3863" spans="2:4" ht="16" thickBot="1" x14ac:dyDescent="0.25">
      <c r="B3863" s="5">
        <v>3858</v>
      </c>
      <c r="C3863" s="5">
        <v>125.3131596642981</v>
      </c>
      <c r="D3863" s="45"/>
    </row>
    <row r="3864" spans="2:4" ht="16" thickBot="1" x14ac:dyDescent="0.25">
      <c r="B3864" s="4">
        <v>3859</v>
      </c>
      <c r="C3864" s="4">
        <v>184.8593787731856</v>
      </c>
      <c r="D3864" s="45"/>
    </row>
    <row r="3865" spans="2:4" ht="16" thickBot="1" x14ac:dyDescent="0.25">
      <c r="B3865" s="5">
        <v>3860</v>
      </c>
      <c r="C3865" s="5">
        <v>64.205111044248639</v>
      </c>
      <c r="D3865" s="45"/>
    </row>
    <row r="3866" spans="2:4" ht="16" thickBot="1" x14ac:dyDescent="0.25">
      <c r="B3866" s="4">
        <v>3861</v>
      </c>
      <c r="C3866" s="4">
        <v>189.44106070988886</v>
      </c>
      <c r="D3866" s="45"/>
    </row>
    <row r="3867" spans="2:4" ht="16" thickBot="1" x14ac:dyDescent="0.25">
      <c r="B3867" s="5">
        <v>3862</v>
      </c>
      <c r="C3867" s="5">
        <v>112.87950705466571</v>
      </c>
      <c r="D3867" s="45"/>
    </row>
    <row r="3868" spans="2:4" ht="16" thickBot="1" x14ac:dyDescent="0.25">
      <c r="B3868" s="4">
        <v>3863</v>
      </c>
      <c r="C3868" s="4">
        <v>168.21763165673161</v>
      </c>
      <c r="D3868" s="45"/>
    </row>
    <row r="3869" spans="2:4" ht="16" thickBot="1" x14ac:dyDescent="0.25">
      <c r="B3869" s="5">
        <v>3864</v>
      </c>
      <c r="C3869" s="5">
        <v>58.958348498411127</v>
      </c>
      <c r="D3869" s="45"/>
    </row>
    <row r="3870" spans="2:4" ht="16" thickBot="1" x14ac:dyDescent="0.25">
      <c r="B3870" s="4">
        <v>3865</v>
      </c>
      <c r="C3870" s="4">
        <v>86.972771998883076</v>
      </c>
      <c r="D3870" s="45"/>
    </row>
    <row r="3871" spans="2:4" ht="16" thickBot="1" x14ac:dyDescent="0.25">
      <c r="B3871" s="5">
        <v>3866</v>
      </c>
      <c r="C3871" s="5">
        <v>101.64088509258393</v>
      </c>
      <c r="D3871" s="45"/>
    </row>
    <row r="3872" spans="2:4" ht="16" thickBot="1" x14ac:dyDescent="0.25">
      <c r="B3872" s="4">
        <v>3867</v>
      </c>
      <c r="C3872" s="4">
        <v>117.6539496744914</v>
      </c>
      <c r="D3872" s="45"/>
    </row>
    <row r="3873" spans="2:4" ht="16" thickBot="1" x14ac:dyDescent="0.25">
      <c r="B3873" s="5">
        <v>3868</v>
      </c>
      <c r="C3873" s="5">
        <v>153.47340675263587</v>
      </c>
      <c r="D3873" s="45"/>
    </row>
    <row r="3874" spans="2:4" ht="16" thickBot="1" x14ac:dyDescent="0.25">
      <c r="B3874" s="4">
        <v>3869</v>
      </c>
      <c r="C3874" s="4">
        <v>168.32537977566574</v>
      </c>
      <c r="D3874" s="45"/>
    </row>
    <row r="3875" spans="2:4" ht="16" thickBot="1" x14ac:dyDescent="0.25">
      <c r="B3875" s="5">
        <v>3870</v>
      </c>
      <c r="C3875" s="5">
        <v>163.30716869084443</v>
      </c>
      <c r="D3875" s="45"/>
    </row>
    <row r="3876" spans="2:4" ht="16" thickBot="1" x14ac:dyDescent="0.25">
      <c r="B3876" s="4">
        <v>3871</v>
      </c>
      <c r="C3876" s="4">
        <v>73.948544910977532</v>
      </c>
      <c r="D3876" s="45"/>
    </row>
    <row r="3877" spans="2:4" ht="16" thickBot="1" x14ac:dyDescent="0.25">
      <c r="B3877" s="5">
        <v>3872</v>
      </c>
      <c r="C3877" s="5">
        <v>112.61590935237567</v>
      </c>
      <c r="D3877" s="45"/>
    </row>
    <row r="3878" spans="2:4" ht="16" thickBot="1" x14ac:dyDescent="0.25">
      <c r="B3878" s="4">
        <v>3873</v>
      </c>
      <c r="C3878" s="4">
        <v>367.34151046610236</v>
      </c>
      <c r="D3878" s="45"/>
    </row>
    <row r="3879" spans="2:4" ht="16" thickBot="1" x14ac:dyDescent="0.25">
      <c r="B3879" s="5">
        <v>3874</v>
      </c>
      <c r="C3879" s="5">
        <v>254.54229891076338</v>
      </c>
      <c r="D3879" s="45"/>
    </row>
    <row r="3880" spans="2:4" ht="16" thickBot="1" x14ac:dyDescent="0.25">
      <c r="B3880" s="4">
        <v>3875</v>
      </c>
      <c r="C3880" s="4">
        <v>116.3814042819793</v>
      </c>
      <c r="D3880" s="45"/>
    </row>
    <row r="3881" spans="2:4" ht="16" thickBot="1" x14ac:dyDescent="0.25">
      <c r="B3881" s="5">
        <v>3876</v>
      </c>
      <c r="C3881" s="5">
        <v>187.12211761243194</v>
      </c>
      <c r="D3881" s="45"/>
    </row>
    <row r="3882" spans="2:4" ht="16" thickBot="1" x14ac:dyDescent="0.25">
      <c r="B3882" s="4">
        <v>3877</v>
      </c>
      <c r="C3882" s="4">
        <v>104.08127542352599</v>
      </c>
      <c r="D3882" s="45"/>
    </row>
    <row r="3883" spans="2:4" ht="16" thickBot="1" x14ac:dyDescent="0.25">
      <c r="B3883" s="5">
        <v>3878</v>
      </c>
      <c r="C3883" s="5">
        <v>177.6699869611262</v>
      </c>
      <c r="D3883" s="45"/>
    </row>
    <row r="3884" spans="2:4" ht="16" thickBot="1" x14ac:dyDescent="0.25">
      <c r="B3884" s="4">
        <v>3879</v>
      </c>
      <c r="C3884" s="4">
        <v>139.02237774160346</v>
      </c>
      <c r="D3884" s="45"/>
    </row>
    <row r="3885" spans="2:4" ht="16" thickBot="1" x14ac:dyDescent="0.25">
      <c r="B3885" s="5">
        <v>3880</v>
      </c>
      <c r="C3885" s="5">
        <v>73.642537943619161</v>
      </c>
      <c r="D3885" s="45"/>
    </row>
    <row r="3886" spans="2:4" ht="16" thickBot="1" x14ac:dyDescent="0.25">
      <c r="B3886" s="4">
        <v>3881</v>
      </c>
      <c r="C3886" s="4">
        <v>213.8637211730146</v>
      </c>
      <c r="D3886" s="45"/>
    </row>
    <row r="3887" spans="2:4" ht="16" thickBot="1" x14ac:dyDescent="0.25">
      <c r="B3887" s="5">
        <v>3882</v>
      </c>
      <c r="C3887" s="5">
        <v>124.99972513284058</v>
      </c>
      <c r="D3887" s="45"/>
    </row>
    <row r="3888" spans="2:4" ht="16" thickBot="1" x14ac:dyDescent="0.25">
      <c r="B3888" s="4">
        <v>3883</v>
      </c>
      <c r="C3888" s="4">
        <v>214.51765301037901</v>
      </c>
      <c r="D3888" s="45"/>
    </row>
    <row r="3889" spans="2:4" ht="16" thickBot="1" x14ac:dyDescent="0.25">
      <c r="B3889" s="5">
        <v>3884</v>
      </c>
      <c r="C3889" s="5">
        <v>157.24975758537818</v>
      </c>
      <c r="D3889" s="45"/>
    </row>
    <row r="3890" spans="2:4" ht="16" thickBot="1" x14ac:dyDescent="0.25">
      <c r="B3890" s="4">
        <v>3885</v>
      </c>
      <c r="C3890" s="4">
        <v>97.144253193771803</v>
      </c>
      <c r="D3890" s="45"/>
    </row>
    <row r="3891" spans="2:4" ht="16" thickBot="1" x14ac:dyDescent="0.25">
      <c r="B3891" s="5">
        <v>3886</v>
      </c>
      <c r="C3891" s="5">
        <v>79.520404489409572</v>
      </c>
      <c r="D3891" s="45"/>
    </row>
    <row r="3892" spans="2:4" ht="16" thickBot="1" x14ac:dyDescent="0.25">
      <c r="B3892" s="4">
        <v>3887</v>
      </c>
      <c r="C3892" s="4">
        <v>459.25067136900861</v>
      </c>
      <c r="D3892" s="45"/>
    </row>
    <row r="3893" spans="2:4" ht="16" thickBot="1" x14ac:dyDescent="0.25">
      <c r="B3893" s="5">
        <v>3888</v>
      </c>
      <c r="C3893" s="5">
        <v>221.50513609496122</v>
      </c>
      <c r="D3893" s="45"/>
    </row>
    <row r="3894" spans="2:4" ht="16" thickBot="1" x14ac:dyDescent="0.25">
      <c r="B3894" s="4">
        <v>3889</v>
      </c>
      <c r="C3894" s="4">
        <v>260.67369891818436</v>
      </c>
      <c r="D3894" s="45"/>
    </row>
    <row r="3895" spans="2:4" ht="16" thickBot="1" x14ac:dyDescent="0.25">
      <c r="B3895" s="5">
        <v>3890</v>
      </c>
      <c r="C3895" s="5">
        <v>79.346094344667932</v>
      </c>
      <c r="D3895" s="45"/>
    </row>
    <row r="3896" spans="2:4" ht="16" thickBot="1" x14ac:dyDescent="0.25">
      <c r="B3896" s="4">
        <v>3891</v>
      </c>
      <c r="C3896" s="4">
        <v>86.903404691310442</v>
      </c>
      <c r="D3896" s="45"/>
    </row>
    <row r="3897" spans="2:4" ht="16" thickBot="1" x14ac:dyDescent="0.25">
      <c r="B3897" s="5">
        <v>3892</v>
      </c>
      <c r="C3897" s="5">
        <v>157.30922022047434</v>
      </c>
      <c r="D3897" s="45"/>
    </row>
    <row r="3898" spans="2:4" ht="16" thickBot="1" x14ac:dyDescent="0.25">
      <c r="B3898" s="4">
        <v>3893</v>
      </c>
      <c r="C3898" s="4">
        <v>169.69607213741651</v>
      </c>
      <c r="D3898" s="45"/>
    </row>
    <row r="3899" spans="2:4" ht="16" thickBot="1" x14ac:dyDescent="0.25">
      <c r="B3899" s="5">
        <v>3894</v>
      </c>
      <c r="C3899" s="5">
        <v>274.27946229335885</v>
      </c>
      <c r="D3899" s="45"/>
    </row>
    <row r="3900" spans="2:4" ht="16" thickBot="1" x14ac:dyDescent="0.25">
      <c r="B3900" s="4">
        <v>3895</v>
      </c>
      <c r="C3900" s="4">
        <v>214.5646762648586</v>
      </c>
      <c r="D3900" s="45"/>
    </row>
    <row r="3901" spans="2:4" ht="16" thickBot="1" x14ac:dyDescent="0.25">
      <c r="B3901" s="5">
        <v>3896</v>
      </c>
      <c r="C3901" s="5">
        <v>66.163968410784435</v>
      </c>
      <c r="D3901" s="45"/>
    </row>
    <row r="3902" spans="2:4" ht="16" thickBot="1" x14ac:dyDescent="0.25">
      <c r="B3902" s="4">
        <v>3897</v>
      </c>
      <c r="C3902" s="4">
        <v>155.83458261347013</v>
      </c>
      <c r="D3902" s="45"/>
    </row>
    <row r="3903" spans="2:4" ht="16" thickBot="1" x14ac:dyDescent="0.25">
      <c r="B3903" s="5">
        <v>3898</v>
      </c>
      <c r="C3903" s="5">
        <v>173.99250566013302</v>
      </c>
      <c r="D3903" s="45"/>
    </row>
    <row r="3904" spans="2:4" ht="16" thickBot="1" x14ac:dyDescent="0.25">
      <c r="B3904" s="4">
        <v>3899</v>
      </c>
      <c r="C3904" s="4">
        <v>237.71825662651489</v>
      </c>
      <c r="D3904" s="45"/>
    </row>
    <row r="3905" spans="2:4" ht="16" thickBot="1" x14ac:dyDescent="0.25">
      <c r="B3905" s="5">
        <v>3900</v>
      </c>
      <c r="C3905" s="5">
        <v>191.71132988586655</v>
      </c>
      <c r="D3905" s="45"/>
    </row>
    <row r="3906" spans="2:4" ht="16" thickBot="1" x14ac:dyDescent="0.25">
      <c r="B3906" s="4">
        <v>3901</v>
      </c>
      <c r="C3906" s="4">
        <v>82.4355221601068</v>
      </c>
      <c r="D3906" s="45"/>
    </row>
    <row r="3907" spans="2:4" ht="16" thickBot="1" x14ac:dyDescent="0.25">
      <c r="B3907" s="5">
        <v>3902</v>
      </c>
      <c r="C3907" s="5">
        <v>108.73041309364287</v>
      </c>
      <c r="D3907" s="45"/>
    </row>
    <row r="3908" spans="2:4" ht="16" thickBot="1" x14ac:dyDescent="0.25">
      <c r="B3908" s="4">
        <v>3903</v>
      </c>
      <c r="C3908" s="4">
        <v>191.91595570418826</v>
      </c>
      <c r="D3908" s="45"/>
    </row>
    <row r="3909" spans="2:4" ht="16" thickBot="1" x14ac:dyDescent="0.25">
      <c r="B3909" s="5">
        <v>3904</v>
      </c>
      <c r="C3909" s="5">
        <v>36.677368469270498</v>
      </c>
      <c r="D3909" s="45"/>
    </row>
    <row r="3910" spans="2:4" ht="16" thickBot="1" x14ac:dyDescent="0.25">
      <c r="B3910" s="4">
        <v>3905</v>
      </c>
      <c r="C3910" s="4">
        <v>84.109870343319855</v>
      </c>
      <c r="D3910" s="45"/>
    </row>
    <row r="3911" spans="2:4" ht="16" thickBot="1" x14ac:dyDescent="0.25">
      <c r="B3911" s="5">
        <v>3906</v>
      </c>
      <c r="C3911" s="5">
        <v>103.11732310708213</v>
      </c>
      <c r="D3911" s="45"/>
    </row>
    <row r="3912" spans="2:4" ht="16" thickBot="1" x14ac:dyDescent="0.25">
      <c r="B3912" s="4">
        <v>3907</v>
      </c>
      <c r="C3912" s="4">
        <v>211.88586886401401</v>
      </c>
      <c r="D3912" s="45"/>
    </row>
    <row r="3913" spans="2:4" ht="16" thickBot="1" x14ac:dyDescent="0.25">
      <c r="B3913" s="5">
        <v>3908</v>
      </c>
      <c r="C3913" s="5">
        <v>120.33623431589112</v>
      </c>
      <c r="D3913" s="45"/>
    </row>
    <row r="3914" spans="2:4" ht="16" thickBot="1" x14ac:dyDescent="0.25">
      <c r="B3914" s="4">
        <v>3909</v>
      </c>
      <c r="C3914" s="4">
        <v>126.41775820570486</v>
      </c>
      <c r="D3914" s="45"/>
    </row>
    <row r="3915" spans="2:4" ht="16" thickBot="1" x14ac:dyDescent="0.25">
      <c r="B3915" s="5">
        <v>3910</v>
      </c>
      <c r="C3915" s="5">
        <v>94.917846643946703</v>
      </c>
      <c r="D3915" s="45"/>
    </row>
    <row r="3916" spans="2:4" ht="16" thickBot="1" x14ac:dyDescent="0.25">
      <c r="B3916" s="4">
        <v>3911</v>
      </c>
      <c r="C3916" s="4">
        <v>104.8989270758598</v>
      </c>
      <c r="D3916" s="45"/>
    </row>
    <row r="3917" spans="2:4" ht="16" thickBot="1" x14ac:dyDescent="0.25">
      <c r="B3917" s="5">
        <v>3912</v>
      </c>
      <c r="C3917" s="5">
        <v>256.97751985074194</v>
      </c>
      <c r="D3917" s="45"/>
    </row>
    <row r="3918" spans="2:4" ht="16" thickBot="1" x14ac:dyDescent="0.25">
      <c r="B3918" s="4">
        <v>3913</v>
      </c>
      <c r="C3918" s="4">
        <v>201.73909160858923</v>
      </c>
      <c r="D3918" s="45"/>
    </row>
    <row r="3919" spans="2:4" ht="16" thickBot="1" x14ac:dyDescent="0.25">
      <c r="B3919" s="5">
        <v>3914</v>
      </c>
      <c r="C3919" s="5">
        <v>261.66442867132298</v>
      </c>
      <c r="D3919" s="45"/>
    </row>
    <row r="3920" spans="2:4" ht="16" thickBot="1" x14ac:dyDescent="0.25">
      <c r="B3920" s="4">
        <v>3915</v>
      </c>
      <c r="C3920" s="4">
        <v>402.30960655375185</v>
      </c>
      <c r="D3920" s="45"/>
    </row>
    <row r="3921" spans="2:4" ht="16" thickBot="1" x14ac:dyDescent="0.25">
      <c r="B3921" s="5">
        <v>3916</v>
      </c>
      <c r="C3921" s="5">
        <v>154.26721210147142</v>
      </c>
      <c r="D3921" s="45"/>
    </row>
    <row r="3922" spans="2:4" ht="16" thickBot="1" x14ac:dyDescent="0.25">
      <c r="B3922" s="4">
        <v>3917</v>
      </c>
      <c r="C3922" s="4">
        <v>259.89874457351453</v>
      </c>
      <c r="D3922" s="45"/>
    </row>
    <row r="3923" spans="2:4" ht="16" thickBot="1" x14ac:dyDescent="0.25">
      <c r="B3923" s="5">
        <v>3918</v>
      </c>
      <c r="C3923" s="5">
        <v>138.87281619919523</v>
      </c>
      <c r="D3923" s="45"/>
    </row>
    <row r="3924" spans="2:4" ht="16" thickBot="1" x14ac:dyDescent="0.25">
      <c r="B3924" s="4">
        <v>3919</v>
      </c>
      <c r="C3924" s="4">
        <v>205.10356877613916</v>
      </c>
      <c r="D3924" s="45"/>
    </row>
    <row r="3925" spans="2:4" ht="16" thickBot="1" x14ac:dyDescent="0.25">
      <c r="B3925" s="5">
        <v>3920</v>
      </c>
      <c r="C3925" s="5">
        <v>391.02979923347243</v>
      </c>
      <c r="D3925" s="45"/>
    </row>
    <row r="3926" spans="2:4" ht="16" thickBot="1" x14ac:dyDescent="0.25">
      <c r="B3926" s="4">
        <v>3921</v>
      </c>
      <c r="C3926" s="4">
        <v>178.53535065662524</v>
      </c>
      <c r="D3926" s="45"/>
    </row>
    <row r="3927" spans="2:4" ht="16" thickBot="1" x14ac:dyDescent="0.25">
      <c r="B3927" s="5">
        <v>3922</v>
      </c>
      <c r="C3927" s="5">
        <v>165.07599886551833</v>
      </c>
      <c r="D3927" s="45"/>
    </row>
    <row r="3928" spans="2:4" ht="16" thickBot="1" x14ac:dyDescent="0.25">
      <c r="B3928" s="4">
        <v>3923</v>
      </c>
      <c r="C3928" s="4">
        <v>129.74592910715995</v>
      </c>
      <c r="D3928" s="45"/>
    </row>
    <row r="3929" spans="2:4" ht="16" thickBot="1" x14ac:dyDescent="0.25">
      <c r="B3929" s="5">
        <v>3924</v>
      </c>
      <c r="C3929" s="5">
        <v>70.098236315227538</v>
      </c>
      <c r="D3929" s="45"/>
    </row>
    <row r="3930" spans="2:4" ht="16" thickBot="1" x14ac:dyDescent="0.25">
      <c r="B3930" s="4">
        <v>3925</v>
      </c>
      <c r="C3930" s="4">
        <v>206.59527122643658</v>
      </c>
      <c r="D3930" s="45"/>
    </row>
    <row r="3931" spans="2:4" ht="16" thickBot="1" x14ac:dyDescent="0.25">
      <c r="B3931" s="5">
        <v>3926</v>
      </c>
      <c r="C3931" s="5">
        <v>96.364216963117286</v>
      </c>
      <c r="D3931" s="45"/>
    </row>
    <row r="3932" spans="2:4" ht="16" thickBot="1" x14ac:dyDescent="0.25">
      <c r="B3932" s="4">
        <v>3927</v>
      </c>
      <c r="C3932" s="4">
        <v>87.800662357987974</v>
      </c>
      <c r="D3932" s="45"/>
    </row>
    <row r="3933" spans="2:4" ht="16" thickBot="1" x14ac:dyDescent="0.25">
      <c r="B3933" s="5">
        <v>3928</v>
      </c>
      <c r="C3933" s="5">
        <v>107.21905567307763</v>
      </c>
      <c r="D3933" s="45"/>
    </row>
    <row r="3934" spans="2:4" ht="16" thickBot="1" x14ac:dyDescent="0.25">
      <c r="B3934" s="4">
        <v>3929</v>
      </c>
      <c r="C3934" s="4">
        <v>216.28375312933358</v>
      </c>
      <c r="D3934" s="45"/>
    </row>
    <row r="3935" spans="2:4" ht="16" thickBot="1" x14ac:dyDescent="0.25">
      <c r="B3935" s="5">
        <v>3930</v>
      </c>
      <c r="C3935" s="5">
        <v>94.340724512247263</v>
      </c>
      <c r="D3935" s="45"/>
    </row>
    <row r="3936" spans="2:4" ht="16" thickBot="1" x14ac:dyDescent="0.25">
      <c r="B3936" s="4">
        <v>3931</v>
      </c>
      <c r="C3936" s="4">
        <v>164.59171815159149</v>
      </c>
      <c r="D3936" s="45"/>
    </row>
    <row r="3937" spans="2:4" ht="16" thickBot="1" x14ac:dyDescent="0.25">
      <c r="B3937" s="5">
        <v>3932</v>
      </c>
      <c r="C3937" s="5">
        <v>140.25665495318535</v>
      </c>
      <c r="D3937" s="45"/>
    </row>
    <row r="3938" spans="2:4" ht="16" thickBot="1" x14ac:dyDescent="0.25">
      <c r="B3938" s="4">
        <v>3933</v>
      </c>
      <c r="C3938" s="4">
        <v>80.903873909285537</v>
      </c>
      <c r="D3938" s="45"/>
    </row>
    <row r="3939" spans="2:4" ht="16" thickBot="1" x14ac:dyDescent="0.25">
      <c r="B3939" s="5">
        <v>3934</v>
      </c>
      <c r="C3939" s="5">
        <v>206.95979615941926</v>
      </c>
      <c r="D3939" s="45"/>
    </row>
    <row r="3940" spans="2:4" ht="16" thickBot="1" x14ac:dyDescent="0.25">
      <c r="B3940" s="4">
        <v>3935</v>
      </c>
      <c r="C3940" s="4">
        <v>248.71886026306143</v>
      </c>
      <c r="D3940" s="45"/>
    </row>
    <row r="3941" spans="2:4" ht="16" thickBot="1" x14ac:dyDescent="0.25">
      <c r="B3941" s="5">
        <v>3936</v>
      </c>
      <c r="C3941" s="5">
        <v>375.42753459963467</v>
      </c>
      <c r="D3941" s="45"/>
    </row>
    <row r="3942" spans="2:4" ht="16" thickBot="1" x14ac:dyDescent="0.25">
      <c r="B3942" s="4">
        <v>3937</v>
      </c>
      <c r="C3942" s="4">
        <v>47.425006936308449</v>
      </c>
      <c r="D3942" s="45"/>
    </row>
    <row r="3943" spans="2:4" ht="16" thickBot="1" x14ac:dyDescent="0.25">
      <c r="B3943" s="5">
        <v>3938</v>
      </c>
      <c r="C3943" s="5">
        <v>182.74722587991189</v>
      </c>
      <c r="D3943" s="45"/>
    </row>
    <row r="3944" spans="2:4" ht="16" thickBot="1" x14ac:dyDescent="0.25">
      <c r="B3944" s="4">
        <v>3939</v>
      </c>
      <c r="C3944" s="4">
        <v>96.843188535843751</v>
      </c>
      <c r="D3944" s="45"/>
    </row>
    <row r="3945" spans="2:4" ht="16" thickBot="1" x14ac:dyDescent="0.25">
      <c r="B3945" s="5">
        <v>3940</v>
      </c>
      <c r="C3945" s="5">
        <v>184.5729729959692</v>
      </c>
      <c r="D3945" s="45"/>
    </row>
    <row r="3946" spans="2:4" ht="16" thickBot="1" x14ac:dyDescent="0.25">
      <c r="B3946" s="4">
        <v>3941</v>
      </c>
      <c r="C3946" s="4">
        <v>121.25659749473219</v>
      </c>
      <c r="D3946" s="45"/>
    </row>
    <row r="3947" spans="2:4" ht="16" thickBot="1" x14ac:dyDescent="0.25">
      <c r="B3947" s="5">
        <v>3942</v>
      </c>
      <c r="C3947" s="5">
        <v>396.72631069136577</v>
      </c>
      <c r="D3947" s="45"/>
    </row>
    <row r="3948" spans="2:4" ht="16" thickBot="1" x14ac:dyDescent="0.25">
      <c r="B3948" s="4">
        <v>3943</v>
      </c>
      <c r="C3948" s="4">
        <v>424.72334433994325</v>
      </c>
      <c r="D3948" s="45"/>
    </row>
    <row r="3949" spans="2:4" ht="16" thickBot="1" x14ac:dyDescent="0.25">
      <c r="B3949" s="5">
        <v>3944</v>
      </c>
      <c r="C3949" s="5">
        <v>322.93328605464473</v>
      </c>
      <c r="D3949" s="45"/>
    </row>
    <row r="3950" spans="2:4" ht="16" thickBot="1" x14ac:dyDescent="0.25">
      <c r="B3950" s="4">
        <v>3945</v>
      </c>
      <c r="C3950" s="4">
        <v>133.93632546403373</v>
      </c>
      <c r="D3950" s="45"/>
    </row>
    <row r="3951" spans="2:4" ht="16" thickBot="1" x14ac:dyDescent="0.25">
      <c r="B3951" s="5">
        <v>3946</v>
      </c>
      <c r="C3951" s="5">
        <v>133.21509997920501</v>
      </c>
      <c r="D3951" s="45"/>
    </row>
    <row r="3952" spans="2:4" ht="16" thickBot="1" x14ac:dyDescent="0.25">
      <c r="B3952" s="4">
        <v>3947</v>
      </c>
      <c r="C3952" s="4">
        <v>199.76809412262605</v>
      </c>
      <c r="D3952" s="45"/>
    </row>
    <row r="3953" spans="2:4" ht="16" thickBot="1" x14ac:dyDescent="0.25">
      <c r="B3953" s="5">
        <v>3948</v>
      </c>
      <c r="C3953" s="5">
        <v>189.09758044296169</v>
      </c>
      <c r="D3953" s="45"/>
    </row>
    <row r="3954" spans="2:4" ht="16" thickBot="1" x14ac:dyDescent="0.25">
      <c r="B3954" s="4">
        <v>3949</v>
      </c>
      <c r="C3954" s="4">
        <v>307.19043007515421</v>
      </c>
      <c r="D3954" s="45"/>
    </row>
    <row r="3955" spans="2:4" ht="16" thickBot="1" x14ac:dyDescent="0.25">
      <c r="B3955" s="5">
        <v>3950</v>
      </c>
      <c r="C3955" s="5">
        <v>90.359444108851278</v>
      </c>
      <c r="D3955" s="45"/>
    </row>
    <row r="3956" spans="2:4" ht="16" thickBot="1" x14ac:dyDescent="0.25">
      <c r="B3956" s="4">
        <v>3951</v>
      </c>
      <c r="C3956" s="4">
        <v>398.78028264180557</v>
      </c>
      <c r="D3956" s="45"/>
    </row>
    <row r="3957" spans="2:4" ht="16" thickBot="1" x14ac:dyDescent="0.25">
      <c r="B3957" s="5">
        <v>3952</v>
      </c>
      <c r="C3957" s="5">
        <v>451.26234339693588</v>
      </c>
      <c r="D3957" s="45"/>
    </row>
    <row r="3958" spans="2:4" ht="16" thickBot="1" x14ac:dyDescent="0.25">
      <c r="B3958" s="4">
        <v>3953</v>
      </c>
      <c r="C3958" s="4">
        <v>252.56733133535207</v>
      </c>
      <c r="D3958" s="45"/>
    </row>
    <row r="3959" spans="2:4" ht="16" thickBot="1" x14ac:dyDescent="0.25">
      <c r="B3959" s="5">
        <v>3954</v>
      </c>
      <c r="C3959" s="5">
        <v>190.36272715283474</v>
      </c>
      <c r="D3959" s="45"/>
    </row>
    <row r="3960" spans="2:4" ht="16" thickBot="1" x14ac:dyDescent="0.25">
      <c r="B3960" s="4">
        <v>3955</v>
      </c>
      <c r="C3960" s="4">
        <v>111.99737895128217</v>
      </c>
      <c r="D3960" s="45"/>
    </row>
    <row r="3961" spans="2:4" ht="16" thickBot="1" x14ac:dyDescent="0.25">
      <c r="B3961" s="5">
        <v>3956</v>
      </c>
      <c r="C3961" s="5">
        <v>102.0851632572719</v>
      </c>
      <c r="D3961" s="45"/>
    </row>
    <row r="3962" spans="2:4" ht="16" thickBot="1" x14ac:dyDescent="0.25">
      <c r="B3962" s="4">
        <v>3957</v>
      </c>
      <c r="C3962" s="4">
        <v>226.54052521968012</v>
      </c>
      <c r="D3962" s="45"/>
    </row>
    <row r="3963" spans="2:4" ht="16" thickBot="1" x14ac:dyDescent="0.25">
      <c r="B3963" s="5">
        <v>3958</v>
      </c>
      <c r="C3963" s="5">
        <v>145.44869881127454</v>
      </c>
      <c r="D3963" s="45"/>
    </row>
    <row r="3964" spans="2:4" ht="16" thickBot="1" x14ac:dyDescent="0.25">
      <c r="B3964" s="4">
        <v>3959</v>
      </c>
      <c r="C3964" s="4">
        <v>100.6850382258433</v>
      </c>
      <c r="D3964" s="45"/>
    </row>
    <row r="3965" spans="2:4" ht="16" thickBot="1" x14ac:dyDescent="0.25">
      <c r="B3965" s="5">
        <v>3960</v>
      </c>
      <c r="C3965" s="5">
        <v>75.866174825845192</v>
      </c>
      <c r="D3965" s="45"/>
    </row>
    <row r="3966" spans="2:4" ht="16" thickBot="1" x14ac:dyDescent="0.25">
      <c r="B3966" s="4">
        <v>3961</v>
      </c>
      <c r="C3966" s="4">
        <v>137.9561587493375</v>
      </c>
      <c r="D3966" s="45"/>
    </row>
    <row r="3967" spans="2:4" ht="16" thickBot="1" x14ac:dyDescent="0.25">
      <c r="B3967" s="5">
        <v>3962</v>
      </c>
      <c r="C3967" s="5">
        <v>109.93377729037748</v>
      </c>
      <c r="D3967" s="45"/>
    </row>
    <row r="3968" spans="2:4" ht="16" thickBot="1" x14ac:dyDescent="0.25">
      <c r="B3968" s="4">
        <v>3963</v>
      </c>
      <c r="C3968" s="4">
        <v>235.79172266546715</v>
      </c>
      <c r="D3968" s="45"/>
    </row>
    <row r="3969" spans="2:4" ht="16" thickBot="1" x14ac:dyDescent="0.25">
      <c r="B3969" s="5">
        <v>3964</v>
      </c>
      <c r="C3969" s="5">
        <v>173.40834487618989</v>
      </c>
      <c r="D3969" s="45"/>
    </row>
    <row r="3970" spans="2:4" ht="16" thickBot="1" x14ac:dyDescent="0.25">
      <c r="B3970" s="4">
        <v>3965</v>
      </c>
      <c r="C3970" s="4">
        <v>143.54728605767716</v>
      </c>
      <c r="D3970" s="45"/>
    </row>
    <row r="3971" spans="2:4" ht="16" thickBot="1" x14ac:dyDescent="0.25">
      <c r="B3971" s="5">
        <v>3966</v>
      </c>
      <c r="C3971" s="5">
        <v>100.13627562129146</v>
      </c>
      <c r="D3971" s="45"/>
    </row>
    <row r="3972" spans="2:4" ht="16" thickBot="1" x14ac:dyDescent="0.25">
      <c r="B3972" s="4">
        <v>3967</v>
      </c>
      <c r="C3972" s="4">
        <v>97.479512881526233</v>
      </c>
      <c r="D3972" s="45"/>
    </row>
    <row r="3973" spans="2:4" ht="16" thickBot="1" x14ac:dyDescent="0.25">
      <c r="B3973" s="5">
        <v>3968</v>
      </c>
      <c r="C3973" s="5">
        <v>187.89409926352343</v>
      </c>
      <c r="D3973" s="45"/>
    </row>
    <row r="3974" spans="2:4" ht="16" thickBot="1" x14ac:dyDescent="0.25">
      <c r="B3974" s="4">
        <v>3969</v>
      </c>
      <c r="C3974" s="4">
        <v>133.60521214266757</v>
      </c>
      <c r="D3974" s="45"/>
    </row>
    <row r="3975" spans="2:4" ht="16" thickBot="1" x14ac:dyDescent="0.25">
      <c r="B3975" s="5">
        <v>3970</v>
      </c>
      <c r="C3975" s="5">
        <v>326.80847252103513</v>
      </c>
      <c r="D3975" s="45"/>
    </row>
    <row r="3976" spans="2:4" ht="16" thickBot="1" x14ac:dyDescent="0.25">
      <c r="B3976" s="4">
        <v>3971</v>
      </c>
      <c r="C3976" s="4">
        <v>136.39036112078423</v>
      </c>
      <c r="D3976" s="45"/>
    </row>
    <row r="3977" spans="2:4" ht="16" thickBot="1" x14ac:dyDescent="0.25">
      <c r="B3977" s="5">
        <v>3972</v>
      </c>
      <c r="C3977" s="5">
        <v>227.61142075144818</v>
      </c>
      <c r="D3977" s="45"/>
    </row>
    <row r="3978" spans="2:4" ht="16" thickBot="1" x14ac:dyDescent="0.25">
      <c r="B3978" s="4">
        <v>3973</v>
      </c>
      <c r="C3978" s="4">
        <v>110.11160623365619</v>
      </c>
      <c r="D3978" s="45"/>
    </row>
    <row r="3979" spans="2:4" ht="16" thickBot="1" x14ac:dyDescent="0.25">
      <c r="B3979" s="5">
        <v>3974</v>
      </c>
      <c r="C3979" s="5">
        <v>103.15818904162781</v>
      </c>
      <c r="D3979" s="45"/>
    </row>
    <row r="3980" spans="2:4" ht="16" thickBot="1" x14ac:dyDescent="0.25">
      <c r="B3980" s="4">
        <v>3975</v>
      </c>
      <c r="C3980" s="4">
        <v>302.82807800723248</v>
      </c>
      <c r="D3980" s="45"/>
    </row>
    <row r="3981" spans="2:4" ht="16" thickBot="1" x14ac:dyDescent="0.25">
      <c r="B3981" s="5">
        <v>3976</v>
      </c>
      <c r="C3981" s="5">
        <v>146.55030138994667</v>
      </c>
      <c r="D3981" s="45"/>
    </row>
    <row r="3982" spans="2:4" ht="16" thickBot="1" x14ac:dyDescent="0.25">
      <c r="B3982" s="4">
        <v>3977</v>
      </c>
      <c r="C3982" s="4">
        <v>97.663105243252033</v>
      </c>
      <c r="D3982" s="45"/>
    </row>
    <row r="3983" spans="2:4" ht="16" thickBot="1" x14ac:dyDescent="0.25">
      <c r="B3983" s="5">
        <v>3978</v>
      </c>
      <c r="C3983" s="5">
        <v>131.67235354332254</v>
      </c>
      <c r="D3983" s="45"/>
    </row>
    <row r="3984" spans="2:4" ht="16" thickBot="1" x14ac:dyDescent="0.25">
      <c r="B3984" s="4">
        <v>3979</v>
      </c>
      <c r="C3984" s="4">
        <v>140.33843818513267</v>
      </c>
      <c r="D3984" s="45"/>
    </row>
    <row r="3985" spans="2:4" ht="16" thickBot="1" x14ac:dyDescent="0.25">
      <c r="B3985" s="5">
        <v>3980</v>
      </c>
      <c r="C3985" s="5">
        <v>218.71937906634176</v>
      </c>
      <c r="D3985" s="45"/>
    </row>
    <row r="3986" spans="2:4" ht="16" thickBot="1" x14ac:dyDescent="0.25">
      <c r="B3986" s="4">
        <v>3981</v>
      </c>
      <c r="C3986" s="4">
        <v>163.21972560400829</v>
      </c>
      <c r="D3986" s="45"/>
    </row>
    <row r="3987" spans="2:4" ht="16" thickBot="1" x14ac:dyDescent="0.25">
      <c r="B3987" s="5">
        <v>3982</v>
      </c>
      <c r="C3987" s="5">
        <v>128.83600629655351</v>
      </c>
      <c r="D3987" s="45"/>
    </row>
    <row r="3988" spans="2:4" ht="16" thickBot="1" x14ac:dyDescent="0.25">
      <c r="B3988" s="4">
        <v>3983</v>
      </c>
      <c r="C3988" s="4">
        <v>64.173065040612698</v>
      </c>
      <c r="D3988" s="45"/>
    </row>
    <row r="3989" spans="2:4" ht="16" thickBot="1" x14ac:dyDescent="0.25">
      <c r="B3989" s="5">
        <v>3984</v>
      </c>
      <c r="C3989" s="5">
        <v>204.11953024365874</v>
      </c>
      <c r="D3989" s="45"/>
    </row>
    <row r="3990" spans="2:4" ht="16" thickBot="1" x14ac:dyDescent="0.25">
      <c r="B3990" s="4">
        <v>3985</v>
      </c>
      <c r="C3990" s="4">
        <v>171.73458620058705</v>
      </c>
      <c r="D3990" s="45"/>
    </row>
    <row r="3991" spans="2:4" ht="16" thickBot="1" x14ac:dyDescent="0.25">
      <c r="B3991" s="5">
        <v>3986</v>
      </c>
      <c r="C3991" s="5">
        <v>226.25605108013175</v>
      </c>
      <c r="D3991" s="45"/>
    </row>
    <row r="3992" spans="2:4" ht="16" thickBot="1" x14ac:dyDescent="0.25">
      <c r="B3992" s="4">
        <v>3987</v>
      </c>
      <c r="C3992" s="4">
        <v>257.70003776660252</v>
      </c>
      <c r="D3992" s="45"/>
    </row>
    <row r="3993" spans="2:4" ht="16" thickBot="1" x14ac:dyDescent="0.25">
      <c r="B3993" s="5">
        <v>3988</v>
      </c>
      <c r="C3993" s="5">
        <v>93.240511154379689</v>
      </c>
      <c r="D3993" s="45"/>
    </row>
    <row r="3994" spans="2:4" ht="16" thickBot="1" x14ac:dyDescent="0.25">
      <c r="B3994" s="4">
        <v>3989</v>
      </c>
      <c r="C3994" s="4">
        <v>197.33158183048079</v>
      </c>
      <c r="D3994" s="45"/>
    </row>
    <row r="3995" spans="2:4" ht="16" thickBot="1" x14ac:dyDescent="0.25">
      <c r="B3995" s="5">
        <v>3990</v>
      </c>
      <c r="C3995" s="5">
        <v>177.94110794674316</v>
      </c>
      <c r="D3995" s="45"/>
    </row>
    <row r="3996" spans="2:4" ht="16" thickBot="1" x14ac:dyDescent="0.25">
      <c r="B3996" s="4">
        <v>3991</v>
      </c>
      <c r="C3996" s="4">
        <v>102.46559741189338</v>
      </c>
      <c r="D3996" s="45"/>
    </row>
    <row r="3997" spans="2:4" ht="16" thickBot="1" x14ac:dyDescent="0.25">
      <c r="B3997" s="5">
        <v>3992</v>
      </c>
      <c r="C3997" s="5">
        <v>217.16668817426086</v>
      </c>
      <c r="D3997" s="45"/>
    </row>
    <row r="3998" spans="2:4" ht="16" thickBot="1" x14ac:dyDescent="0.25">
      <c r="B3998" s="4">
        <v>3993</v>
      </c>
      <c r="C3998" s="4">
        <v>166.33449482921122</v>
      </c>
      <c r="D3998" s="45"/>
    </row>
    <row r="3999" spans="2:4" ht="16" thickBot="1" x14ac:dyDescent="0.25">
      <c r="B3999" s="5">
        <v>3994</v>
      </c>
      <c r="C3999" s="5">
        <v>222.82248951391873</v>
      </c>
      <c r="D3999" s="45"/>
    </row>
    <row r="4000" spans="2:4" ht="16" thickBot="1" x14ac:dyDescent="0.25">
      <c r="B4000" s="4">
        <v>3995</v>
      </c>
      <c r="C4000" s="4">
        <v>148.31129684696563</v>
      </c>
      <c r="D4000" s="45"/>
    </row>
    <row r="4001" spans="2:4" ht="16" thickBot="1" x14ac:dyDescent="0.25">
      <c r="B4001" s="5">
        <v>3996</v>
      </c>
      <c r="C4001" s="5">
        <v>141.93610903131449</v>
      </c>
      <c r="D4001" s="45"/>
    </row>
    <row r="4002" spans="2:4" ht="16" thickBot="1" x14ac:dyDescent="0.25">
      <c r="B4002" s="4">
        <v>3997</v>
      </c>
      <c r="C4002" s="4">
        <v>207.88188491177434</v>
      </c>
      <c r="D4002" s="45"/>
    </row>
    <row r="4003" spans="2:4" ht="16" thickBot="1" x14ac:dyDescent="0.25">
      <c r="B4003" s="5">
        <v>3998</v>
      </c>
      <c r="C4003" s="5">
        <v>192.15411146634224</v>
      </c>
      <c r="D4003" s="45"/>
    </row>
    <row r="4004" spans="2:4" ht="16" thickBot="1" x14ac:dyDescent="0.25">
      <c r="B4004" s="4">
        <v>3999</v>
      </c>
      <c r="C4004" s="4">
        <v>215.65834122688426</v>
      </c>
      <c r="D4004" s="45"/>
    </row>
    <row r="4005" spans="2:4" ht="16" thickBot="1" x14ac:dyDescent="0.25">
      <c r="B4005" s="5">
        <v>4000</v>
      </c>
      <c r="C4005" s="5">
        <v>126.63534682992763</v>
      </c>
      <c r="D4005" s="45"/>
    </row>
    <row r="4006" spans="2:4" ht="16" thickBot="1" x14ac:dyDescent="0.25">
      <c r="B4006" s="4">
        <v>4001</v>
      </c>
      <c r="C4006" s="4">
        <v>256.48017596652244</v>
      </c>
      <c r="D4006" s="45"/>
    </row>
    <row r="4007" spans="2:4" ht="16" thickBot="1" x14ac:dyDescent="0.25">
      <c r="B4007" s="5">
        <v>4002</v>
      </c>
      <c r="C4007" s="5">
        <v>92.168698780201936</v>
      </c>
      <c r="D4007" s="45"/>
    </row>
    <row r="4008" spans="2:4" ht="16" thickBot="1" x14ac:dyDescent="0.25">
      <c r="B4008" s="4">
        <v>4003</v>
      </c>
      <c r="C4008" s="4">
        <v>169.99440172308812</v>
      </c>
      <c r="D4008" s="45"/>
    </row>
    <row r="4009" spans="2:4" ht="16" thickBot="1" x14ac:dyDescent="0.25">
      <c r="B4009" s="5">
        <v>4004</v>
      </c>
      <c r="C4009" s="5">
        <v>99.695232690166506</v>
      </c>
      <c r="D4009" s="45"/>
    </row>
    <row r="4010" spans="2:4" ht="16" thickBot="1" x14ac:dyDescent="0.25">
      <c r="B4010" s="4">
        <v>4005</v>
      </c>
      <c r="C4010" s="4">
        <v>101.00934750038275</v>
      </c>
      <c r="D4010" s="45"/>
    </row>
    <row r="4011" spans="2:4" ht="16" thickBot="1" x14ac:dyDescent="0.25">
      <c r="B4011" s="5">
        <v>4006</v>
      </c>
      <c r="C4011" s="5">
        <v>101.66728738761753</v>
      </c>
      <c r="D4011" s="45"/>
    </row>
    <row r="4012" spans="2:4" ht="16" thickBot="1" x14ac:dyDescent="0.25">
      <c r="B4012" s="4">
        <v>4007</v>
      </c>
      <c r="C4012" s="4">
        <v>114.0305522353237</v>
      </c>
      <c r="D4012" s="45"/>
    </row>
    <row r="4013" spans="2:4" ht="16" thickBot="1" x14ac:dyDescent="0.25">
      <c r="B4013" s="5">
        <v>4008</v>
      </c>
      <c r="C4013" s="5">
        <v>113.43873876420601</v>
      </c>
      <c r="D4013" s="45"/>
    </row>
    <row r="4014" spans="2:4" ht="16" thickBot="1" x14ac:dyDescent="0.25">
      <c r="B4014" s="4">
        <v>4009</v>
      </c>
      <c r="C4014" s="4">
        <v>149.25082488108683</v>
      </c>
      <c r="D4014" s="45"/>
    </row>
    <row r="4015" spans="2:4" ht="16" thickBot="1" x14ac:dyDescent="0.25">
      <c r="B4015" s="5">
        <v>4010</v>
      </c>
      <c r="C4015" s="5">
        <v>58.778103013662275</v>
      </c>
      <c r="D4015" s="45"/>
    </row>
    <row r="4016" spans="2:4" ht="16" thickBot="1" x14ac:dyDescent="0.25">
      <c r="B4016" s="4">
        <v>4011</v>
      </c>
      <c r="C4016" s="4">
        <v>136.43112306197827</v>
      </c>
      <c r="D4016" s="45"/>
    </row>
    <row r="4017" spans="2:4" ht="16" thickBot="1" x14ac:dyDescent="0.25">
      <c r="B4017" s="5">
        <v>4012</v>
      </c>
      <c r="C4017" s="5">
        <v>123.62597087600678</v>
      </c>
      <c r="D4017" s="45"/>
    </row>
    <row r="4018" spans="2:4" ht="16" thickBot="1" x14ac:dyDescent="0.25">
      <c r="B4018" s="4">
        <v>4013</v>
      </c>
      <c r="C4018" s="4">
        <v>148.67934267665109</v>
      </c>
      <c r="D4018" s="45"/>
    </row>
    <row r="4019" spans="2:4" ht="16" thickBot="1" x14ac:dyDescent="0.25">
      <c r="B4019" s="5">
        <v>4014</v>
      </c>
      <c r="C4019" s="5">
        <v>99.402931679570074</v>
      </c>
      <c r="D4019" s="45"/>
    </row>
    <row r="4020" spans="2:4" ht="16" thickBot="1" x14ac:dyDescent="0.25">
      <c r="B4020" s="4">
        <v>4015</v>
      </c>
      <c r="C4020" s="4">
        <v>293.03646918426182</v>
      </c>
      <c r="D4020" s="45"/>
    </row>
    <row r="4021" spans="2:4" ht="16" thickBot="1" x14ac:dyDescent="0.25">
      <c r="B4021" s="5">
        <v>4016</v>
      </c>
      <c r="C4021" s="5">
        <v>69.096575273897926</v>
      </c>
      <c r="D4021" s="45"/>
    </row>
    <row r="4022" spans="2:4" ht="16" thickBot="1" x14ac:dyDescent="0.25">
      <c r="B4022" s="4">
        <v>4017</v>
      </c>
      <c r="C4022" s="4">
        <v>137.20874142880106</v>
      </c>
      <c r="D4022" s="45"/>
    </row>
    <row r="4023" spans="2:4" ht="16" thickBot="1" x14ac:dyDescent="0.25">
      <c r="B4023" s="5">
        <v>4018</v>
      </c>
      <c r="C4023" s="5">
        <v>148.18975083501937</v>
      </c>
      <c r="D4023" s="45"/>
    </row>
    <row r="4024" spans="2:4" ht="16" thickBot="1" x14ac:dyDescent="0.25">
      <c r="B4024" s="4">
        <v>4019</v>
      </c>
      <c r="C4024" s="4">
        <v>97.07133306823394</v>
      </c>
      <c r="D4024" s="45"/>
    </row>
    <row r="4025" spans="2:4" ht="16" thickBot="1" x14ac:dyDescent="0.25">
      <c r="B4025" s="5">
        <v>4020</v>
      </c>
      <c r="C4025" s="5">
        <v>81.865958461131328</v>
      </c>
      <c r="D4025" s="45"/>
    </row>
    <row r="4026" spans="2:4" ht="16" thickBot="1" x14ac:dyDescent="0.25">
      <c r="B4026" s="4">
        <v>4021</v>
      </c>
      <c r="C4026" s="4">
        <v>88.331954565778801</v>
      </c>
      <c r="D4026" s="45"/>
    </row>
    <row r="4027" spans="2:4" ht="16" thickBot="1" x14ac:dyDescent="0.25">
      <c r="B4027" s="5">
        <v>4022</v>
      </c>
      <c r="C4027" s="5">
        <v>305.18031736995505</v>
      </c>
      <c r="D4027" s="45"/>
    </row>
    <row r="4028" spans="2:4" ht="16" thickBot="1" x14ac:dyDescent="0.25">
      <c r="B4028" s="4">
        <v>4023</v>
      </c>
      <c r="C4028" s="4">
        <v>425.74570964970161</v>
      </c>
      <c r="D4028" s="45"/>
    </row>
    <row r="4029" spans="2:4" ht="16" thickBot="1" x14ac:dyDescent="0.25">
      <c r="B4029" s="5">
        <v>4024</v>
      </c>
      <c r="C4029" s="5">
        <v>138.08645279859704</v>
      </c>
      <c r="D4029" s="45"/>
    </row>
    <row r="4030" spans="2:4" ht="16" thickBot="1" x14ac:dyDescent="0.25">
      <c r="B4030" s="4">
        <v>4025</v>
      </c>
      <c r="C4030" s="4">
        <v>74.658016602384166</v>
      </c>
      <c r="D4030" s="45"/>
    </row>
    <row r="4031" spans="2:4" ht="16" thickBot="1" x14ac:dyDescent="0.25">
      <c r="B4031" s="5">
        <v>4026</v>
      </c>
      <c r="C4031" s="5">
        <v>175.17025735681884</v>
      </c>
      <c r="D4031" s="45"/>
    </row>
    <row r="4032" spans="2:4" ht="16" thickBot="1" x14ac:dyDescent="0.25">
      <c r="B4032" s="4">
        <v>4027</v>
      </c>
      <c r="C4032" s="4">
        <v>83.532999052253871</v>
      </c>
      <c r="D4032" s="45"/>
    </row>
    <row r="4033" spans="2:4" ht="16" thickBot="1" x14ac:dyDescent="0.25">
      <c r="B4033" s="5">
        <v>4028</v>
      </c>
      <c r="C4033" s="5">
        <v>170.84397364405694</v>
      </c>
      <c r="D4033" s="45"/>
    </row>
    <row r="4034" spans="2:4" ht="16" thickBot="1" x14ac:dyDescent="0.25">
      <c r="B4034" s="4">
        <v>4029</v>
      </c>
      <c r="C4034" s="4">
        <v>216.4437337662747</v>
      </c>
      <c r="D4034" s="45"/>
    </row>
    <row r="4035" spans="2:4" ht="16" thickBot="1" x14ac:dyDescent="0.25">
      <c r="B4035" s="5">
        <v>4030</v>
      </c>
      <c r="C4035" s="5">
        <v>123.65561699774535</v>
      </c>
      <c r="D4035" s="45"/>
    </row>
    <row r="4036" spans="2:4" ht="16" thickBot="1" x14ac:dyDescent="0.25">
      <c r="B4036" s="4">
        <v>4031</v>
      </c>
      <c r="C4036" s="4">
        <v>205.12175821116108</v>
      </c>
      <c r="D4036" s="45"/>
    </row>
    <row r="4037" spans="2:4" ht="16" thickBot="1" x14ac:dyDescent="0.25">
      <c r="B4037" s="5">
        <v>4032</v>
      </c>
      <c r="C4037" s="5">
        <v>97.761021969913187</v>
      </c>
      <c r="D4037" s="45"/>
    </row>
    <row r="4038" spans="2:4" ht="16" thickBot="1" x14ac:dyDescent="0.25">
      <c r="B4038" s="4">
        <v>4033</v>
      </c>
      <c r="C4038" s="4">
        <v>111.72336640548775</v>
      </c>
      <c r="D4038" s="45"/>
    </row>
    <row r="4039" spans="2:4" ht="16" thickBot="1" x14ac:dyDescent="0.25">
      <c r="B4039" s="5">
        <v>4034</v>
      </c>
      <c r="C4039" s="5">
        <v>349.49482492143295</v>
      </c>
      <c r="D4039" s="45"/>
    </row>
    <row r="4040" spans="2:4" ht="16" thickBot="1" x14ac:dyDescent="0.25">
      <c r="B4040" s="4">
        <v>4035</v>
      </c>
      <c r="C4040" s="4">
        <v>130.47620468006309</v>
      </c>
      <c r="D4040" s="45"/>
    </row>
    <row r="4041" spans="2:4" ht="16" thickBot="1" x14ac:dyDescent="0.25">
      <c r="B4041" s="5">
        <v>4036</v>
      </c>
      <c r="C4041" s="5">
        <v>210.72468901458757</v>
      </c>
      <c r="D4041" s="45"/>
    </row>
    <row r="4042" spans="2:4" ht="16" thickBot="1" x14ac:dyDescent="0.25">
      <c r="B4042" s="4">
        <v>4037</v>
      </c>
      <c r="C4042" s="4">
        <v>123.1553695595078</v>
      </c>
      <c r="D4042" s="45"/>
    </row>
    <row r="4043" spans="2:4" ht="16" thickBot="1" x14ac:dyDescent="0.25">
      <c r="B4043" s="5">
        <v>4038</v>
      </c>
      <c r="C4043" s="5">
        <v>68.798555158991235</v>
      </c>
      <c r="D4043" s="45"/>
    </row>
    <row r="4044" spans="2:4" ht="16" thickBot="1" x14ac:dyDescent="0.25">
      <c r="B4044" s="4">
        <v>4039</v>
      </c>
      <c r="C4044" s="4">
        <v>197.60970759729955</v>
      </c>
      <c r="D4044" s="45"/>
    </row>
    <row r="4045" spans="2:4" ht="16" thickBot="1" x14ac:dyDescent="0.25">
      <c r="B4045" s="5">
        <v>4040</v>
      </c>
      <c r="C4045" s="5">
        <v>56.287961322835677</v>
      </c>
      <c r="D4045" s="45"/>
    </row>
    <row r="4046" spans="2:4" ht="16" thickBot="1" x14ac:dyDescent="0.25">
      <c r="B4046" s="4">
        <v>4041</v>
      </c>
      <c r="C4046" s="4">
        <v>328.15858688646153</v>
      </c>
      <c r="D4046" s="45"/>
    </row>
    <row r="4047" spans="2:4" ht="16" thickBot="1" x14ac:dyDescent="0.25">
      <c r="B4047" s="5">
        <v>4042</v>
      </c>
      <c r="C4047" s="5">
        <v>203.15505312747197</v>
      </c>
      <c r="D4047" s="45"/>
    </row>
    <row r="4048" spans="2:4" ht="16" thickBot="1" x14ac:dyDescent="0.25">
      <c r="B4048" s="4">
        <v>4043</v>
      </c>
      <c r="C4048" s="4">
        <v>115.37348751765111</v>
      </c>
      <c r="D4048" s="45"/>
    </row>
    <row r="4049" spans="2:4" ht="16" thickBot="1" x14ac:dyDescent="0.25">
      <c r="B4049" s="5">
        <v>4044</v>
      </c>
      <c r="C4049" s="5">
        <v>174.14534282218838</v>
      </c>
      <c r="D4049" s="45"/>
    </row>
    <row r="4050" spans="2:4" ht="16" thickBot="1" x14ac:dyDescent="0.25">
      <c r="B4050" s="4">
        <v>4045</v>
      </c>
      <c r="C4050" s="4">
        <v>209.87574084875229</v>
      </c>
      <c r="D4050" s="45"/>
    </row>
    <row r="4051" spans="2:4" ht="16" thickBot="1" x14ac:dyDescent="0.25">
      <c r="B4051" s="5">
        <v>4046</v>
      </c>
      <c r="C4051" s="5">
        <v>150.93156069726274</v>
      </c>
      <c r="D4051" s="45"/>
    </row>
    <row r="4052" spans="2:4" ht="16" thickBot="1" x14ac:dyDescent="0.25">
      <c r="B4052" s="4">
        <v>4047</v>
      </c>
      <c r="C4052" s="4">
        <v>162.14176806308416</v>
      </c>
      <c r="D4052" s="45"/>
    </row>
    <row r="4053" spans="2:4" ht="16" thickBot="1" x14ac:dyDescent="0.25">
      <c r="B4053" s="5">
        <v>4048</v>
      </c>
      <c r="C4053" s="5">
        <v>236.07449866560555</v>
      </c>
      <c r="D4053" s="45"/>
    </row>
    <row r="4054" spans="2:4" ht="16" thickBot="1" x14ac:dyDescent="0.25">
      <c r="B4054" s="4">
        <v>4049</v>
      </c>
      <c r="C4054" s="4">
        <v>73.517044085666441</v>
      </c>
      <c r="D4054" s="45"/>
    </row>
    <row r="4055" spans="2:4" ht="16" thickBot="1" x14ac:dyDescent="0.25">
      <c r="B4055" s="5">
        <v>4050</v>
      </c>
      <c r="C4055" s="5">
        <v>405.62246997928696</v>
      </c>
      <c r="D4055" s="45"/>
    </row>
    <row r="4056" spans="2:4" ht="16" thickBot="1" x14ac:dyDescent="0.25">
      <c r="B4056" s="4">
        <v>4051</v>
      </c>
      <c r="C4056" s="4">
        <v>216.6761402338623</v>
      </c>
      <c r="D4056" s="45"/>
    </row>
    <row r="4057" spans="2:4" ht="16" thickBot="1" x14ac:dyDescent="0.25">
      <c r="B4057" s="5">
        <v>4052</v>
      </c>
      <c r="C4057" s="5">
        <v>243.46561188216424</v>
      </c>
      <c r="D4057" s="45"/>
    </row>
    <row r="4058" spans="2:4" ht="16" thickBot="1" x14ac:dyDescent="0.25">
      <c r="B4058" s="4">
        <v>4053</v>
      </c>
      <c r="C4058" s="4">
        <v>102.92266619675</v>
      </c>
      <c r="D4058" s="45"/>
    </row>
    <row r="4059" spans="2:4" ht="16" thickBot="1" x14ac:dyDescent="0.25">
      <c r="B4059" s="5">
        <v>4054</v>
      </c>
      <c r="C4059" s="5">
        <v>269.5274134595586</v>
      </c>
      <c r="D4059" s="45"/>
    </row>
    <row r="4060" spans="2:4" ht="16" thickBot="1" x14ac:dyDescent="0.25">
      <c r="B4060" s="4">
        <v>4055</v>
      </c>
      <c r="C4060" s="4">
        <v>240.63529796165554</v>
      </c>
      <c r="D4060" s="45"/>
    </row>
    <row r="4061" spans="2:4" ht="16" thickBot="1" x14ac:dyDescent="0.25">
      <c r="B4061" s="5">
        <v>4056</v>
      </c>
      <c r="C4061" s="5">
        <v>159.08933372817356</v>
      </c>
      <c r="D4061" s="45"/>
    </row>
    <row r="4062" spans="2:4" ht="16" thickBot="1" x14ac:dyDescent="0.25">
      <c r="B4062" s="4">
        <v>4057</v>
      </c>
      <c r="C4062" s="4">
        <v>88.467050986967052</v>
      </c>
      <c r="D4062" s="45"/>
    </row>
    <row r="4063" spans="2:4" ht="16" thickBot="1" x14ac:dyDescent="0.25">
      <c r="B4063" s="5">
        <v>4058</v>
      </c>
      <c r="C4063" s="5">
        <v>103.10491283498797</v>
      </c>
      <c r="D4063" s="45"/>
    </row>
    <row r="4064" spans="2:4" ht="16" thickBot="1" x14ac:dyDescent="0.25">
      <c r="B4064" s="4">
        <v>4059</v>
      </c>
      <c r="C4064" s="4">
        <v>161.27246517372259</v>
      </c>
      <c r="D4064" s="45"/>
    </row>
    <row r="4065" spans="2:4" ht="16" thickBot="1" x14ac:dyDescent="0.25">
      <c r="B4065" s="5">
        <v>4060</v>
      </c>
      <c r="C4065" s="5">
        <v>81.827887014383577</v>
      </c>
      <c r="D4065" s="45"/>
    </row>
    <row r="4066" spans="2:4" ht="16" thickBot="1" x14ac:dyDescent="0.25">
      <c r="B4066" s="4">
        <v>4061</v>
      </c>
      <c r="C4066" s="4">
        <v>248.01676152039448</v>
      </c>
      <c r="D4066" s="45"/>
    </row>
    <row r="4067" spans="2:4" ht="16" thickBot="1" x14ac:dyDescent="0.25">
      <c r="B4067" s="5">
        <v>4062</v>
      </c>
      <c r="C4067" s="5">
        <v>251.52437486379054</v>
      </c>
      <c r="D4067" s="45"/>
    </row>
    <row r="4068" spans="2:4" ht="16" thickBot="1" x14ac:dyDescent="0.25">
      <c r="B4068" s="4">
        <v>4063</v>
      </c>
      <c r="C4068" s="4">
        <v>127.1489260534568</v>
      </c>
      <c r="D4068" s="45"/>
    </row>
    <row r="4069" spans="2:4" ht="16" thickBot="1" x14ac:dyDescent="0.25">
      <c r="B4069" s="5">
        <v>4064</v>
      </c>
      <c r="C4069" s="5">
        <v>398.27255860285646</v>
      </c>
      <c r="D4069" s="45"/>
    </row>
    <row r="4070" spans="2:4" ht="16" thickBot="1" x14ac:dyDescent="0.25">
      <c r="B4070" s="4">
        <v>4065</v>
      </c>
      <c r="C4070" s="4">
        <v>149.19119189985628</v>
      </c>
      <c r="D4070" s="45"/>
    </row>
    <row r="4071" spans="2:4" ht="16" thickBot="1" x14ac:dyDescent="0.25">
      <c r="B4071" s="5">
        <v>4066</v>
      </c>
      <c r="C4071" s="5">
        <v>161.75343410131666</v>
      </c>
      <c r="D4071" s="45"/>
    </row>
    <row r="4072" spans="2:4" ht="16" thickBot="1" x14ac:dyDescent="0.25">
      <c r="B4072" s="4">
        <v>4067</v>
      </c>
      <c r="C4072" s="4">
        <v>220.9523075345279</v>
      </c>
      <c r="D4072" s="45"/>
    </row>
    <row r="4073" spans="2:4" ht="16" thickBot="1" x14ac:dyDescent="0.25">
      <c r="B4073" s="5">
        <v>4068</v>
      </c>
      <c r="C4073" s="5">
        <v>128.89543123818112</v>
      </c>
      <c r="D4073" s="45"/>
    </row>
    <row r="4074" spans="2:4" ht="16" thickBot="1" x14ac:dyDescent="0.25">
      <c r="B4074" s="4">
        <v>4069</v>
      </c>
      <c r="C4074" s="4">
        <v>159.69133342651625</v>
      </c>
      <c r="D4074" s="45"/>
    </row>
    <row r="4075" spans="2:4" ht="16" thickBot="1" x14ac:dyDescent="0.25">
      <c r="B4075" s="5">
        <v>4070</v>
      </c>
      <c r="C4075" s="5">
        <v>164.01379385184046</v>
      </c>
      <c r="D4075" s="45"/>
    </row>
    <row r="4076" spans="2:4" ht="16" thickBot="1" x14ac:dyDescent="0.25">
      <c r="B4076" s="4">
        <v>4071</v>
      </c>
      <c r="C4076" s="4">
        <v>78.311773269655731</v>
      </c>
      <c r="D4076" s="45"/>
    </row>
    <row r="4077" spans="2:4" ht="16" thickBot="1" x14ac:dyDescent="0.25">
      <c r="B4077" s="5">
        <v>4072</v>
      </c>
      <c r="C4077" s="5">
        <v>281.77550370092291</v>
      </c>
      <c r="D4077" s="45"/>
    </row>
    <row r="4078" spans="2:4" ht="16" thickBot="1" x14ac:dyDescent="0.25">
      <c r="B4078" s="4">
        <v>4073</v>
      </c>
      <c r="C4078" s="4">
        <v>131.40717710050598</v>
      </c>
      <c r="D4078" s="45"/>
    </row>
    <row r="4079" spans="2:4" ht="16" thickBot="1" x14ac:dyDescent="0.25">
      <c r="B4079" s="5">
        <v>4074</v>
      </c>
      <c r="C4079" s="5">
        <v>90.906107178028066</v>
      </c>
      <c r="D4079" s="45"/>
    </row>
    <row r="4080" spans="2:4" ht="16" thickBot="1" x14ac:dyDescent="0.25">
      <c r="B4080" s="4">
        <v>4075</v>
      </c>
      <c r="C4080" s="4">
        <v>205.55229135541916</v>
      </c>
      <c r="D4080" s="45"/>
    </row>
    <row r="4081" spans="2:4" ht="16" thickBot="1" x14ac:dyDescent="0.25">
      <c r="B4081" s="5">
        <v>4076</v>
      </c>
      <c r="C4081" s="5">
        <v>169.64553242184019</v>
      </c>
      <c r="D4081" s="45"/>
    </row>
    <row r="4082" spans="2:4" ht="16" thickBot="1" x14ac:dyDescent="0.25">
      <c r="B4082" s="4">
        <v>4077</v>
      </c>
      <c r="C4082" s="4">
        <v>67.006702795543418</v>
      </c>
      <c r="D4082" s="45"/>
    </row>
    <row r="4083" spans="2:4" ht="16" thickBot="1" x14ac:dyDescent="0.25">
      <c r="B4083" s="5">
        <v>4078</v>
      </c>
      <c r="C4083" s="5">
        <v>394.52146079791487</v>
      </c>
      <c r="D4083" s="45"/>
    </row>
    <row r="4084" spans="2:4" ht="16" thickBot="1" x14ac:dyDescent="0.25">
      <c r="B4084" s="4">
        <v>4079</v>
      </c>
      <c r="C4084" s="4">
        <v>211.94709382266834</v>
      </c>
      <c r="D4084" s="45"/>
    </row>
    <row r="4085" spans="2:4" ht="16" thickBot="1" x14ac:dyDescent="0.25">
      <c r="B4085" s="5">
        <v>4080</v>
      </c>
      <c r="C4085" s="5">
        <v>158.88648862109906</v>
      </c>
      <c r="D4085" s="45"/>
    </row>
    <row r="4086" spans="2:4" ht="16" thickBot="1" x14ac:dyDescent="0.25">
      <c r="B4086" s="4">
        <v>4081</v>
      </c>
      <c r="C4086" s="4">
        <v>134.88316966600138</v>
      </c>
      <c r="D4086" s="45"/>
    </row>
    <row r="4087" spans="2:4" ht="16" thickBot="1" x14ac:dyDescent="0.25">
      <c r="B4087" s="5">
        <v>4082</v>
      </c>
      <c r="C4087" s="5">
        <v>213.1450668428788</v>
      </c>
      <c r="D4087" s="45"/>
    </row>
    <row r="4088" spans="2:4" ht="16" thickBot="1" x14ac:dyDescent="0.25">
      <c r="B4088" s="4">
        <v>4083</v>
      </c>
      <c r="C4088" s="4">
        <v>588.36119340889888</v>
      </c>
      <c r="D4088" s="45"/>
    </row>
    <row r="4089" spans="2:4" ht="16" thickBot="1" x14ac:dyDescent="0.25">
      <c r="B4089" s="5">
        <v>4084</v>
      </c>
      <c r="C4089" s="5">
        <v>126.97329423602497</v>
      </c>
      <c r="D4089" s="45"/>
    </row>
    <row r="4090" spans="2:4" ht="16" thickBot="1" x14ac:dyDescent="0.25">
      <c r="B4090" s="4">
        <v>4085</v>
      </c>
      <c r="C4090" s="4">
        <v>143.30326667833137</v>
      </c>
      <c r="D4090" s="45"/>
    </row>
    <row r="4091" spans="2:4" ht="16" thickBot="1" x14ac:dyDescent="0.25">
      <c r="B4091" s="5">
        <v>4086</v>
      </c>
      <c r="C4091" s="5">
        <v>62.662790431994303</v>
      </c>
      <c r="D4091" s="45"/>
    </row>
    <row r="4092" spans="2:4" ht="16" thickBot="1" x14ac:dyDescent="0.25">
      <c r="B4092" s="4">
        <v>4087</v>
      </c>
      <c r="C4092" s="4">
        <v>541.44865780153259</v>
      </c>
      <c r="D4092" s="45"/>
    </row>
    <row r="4093" spans="2:4" ht="16" thickBot="1" x14ac:dyDescent="0.25">
      <c r="B4093" s="5">
        <v>4088</v>
      </c>
      <c r="C4093" s="5">
        <v>193.92807974004762</v>
      </c>
      <c r="D4093" s="45"/>
    </row>
    <row r="4094" spans="2:4" ht="16" thickBot="1" x14ac:dyDescent="0.25">
      <c r="B4094" s="4">
        <v>4089</v>
      </c>
      <c r="C4094" s="4">
        <v>168.61136717733947</v>
      </c>
      <c r="D4094" s="45"/>
    </row>
    <row r="4095" spans="2:4" ht="16" thickBot="1" x14ac:dyDescent="0.25">
      <c r="B4095" s="5">
        <v>4090</v>
      </c>
      <c r="C4095" s="5">
        <v>187.9882324631069</v>
      </c>
      <c r="D4095" s="45"/>
    </row>
    <row r="4096" spans="2:4" ht="16" thickBot="1" x14ac:dyDescent="0.25">
      <c r="B4096" s="4">
        <v>4091</v>
      </c>
      <c r="C4096" s="4">
        <v>187.41689406008621</v>
      </c>
      <c r="D4096" s="45"/>
    </row>
    <row r="4097" spans="2:4" ht="16" thickBot="1" x14ac:dyDescent="0.25">
      <c r="B4097" s="5">
        <v>4092</v>
      </c>
      <c r="C4097" s="5">
        <v>167.74213979559659</v>
      </c>
      <c r="D4097" s="45"/>
    </row>
    <row r="4098" spans="2:4" ht="16" thickBot="1" x14ac:dyDescent="0.25">
      <c r="B4098" s="4">
        <v>4093</v>
      </c>
      <c r="C4098" s="4">
        <v>260.54231768220421</v>
      </c>
      <c r="D4098" s="45"/>
    </row>
    <row r="4099" spans="2:4" ht="16" thickBot="1" x14ac:dyDescent="0.25">
      <c r="B4099" s="5">
        <v>4094</v>
      </c>
      <c r="C4099" s="5">
        <v>93.809100740835774</v>
      </c>
      <c r="D4099" s="45"/>
    </row>
    <row r="4100" spans="2:4" ht="16" thickBot="1" x14ac:dyDescent="0.25">
      <c r="B4100" s="4">
        <v>4095</v>
      </c>
      <c r="C4100" s="4">
        <v>227.81039575605803</v>
      </c>
      <c r="D4100" s="45"/>
    </row>
    <row r="4101" spans="2:4" ht="16" thickBot="1" x14ac:dyDescent="0.25">
      <c r="B4101" s="5">
        <v>4096</v>
      </c>
      <c r="C4101" s="5">
        <v>184.39524577469339</v>
      </c>
      <c r="D4101" s="45"/>
    </row>
    <row r="4102" spans="2:4" ht="16" thickBot="1" x14ac:dyDescent="0.25">
      <c r="B4102" s="4">
        <v>4097</v>
      </c>
      <c r="C4102" s="4">
        <v>234.68585405487482</v>
      </c>
      <c r="D4102" s="45"/>
    </row>
    <row r="4103" spans="2:4" ht="16" thickBot="1" x14ac:dyDescent="0.25">
      <c r="B4103" s="5">
        <v>4098</v>
      </c>
      <c r="C4103" s="5">
        <v>221.29675007627083</v>
      </c>
      <c r="D4103" s="45"/>
    </row>
    <row r="4104" spans="2:4" ht="16" thickBot="1" x14ac:dyDescent="0.25">
      <c r="B4104" s="4">
        <v>4099</v>
      </c>
      <c r="C4104" s="4">
        <v>124.5539757710246</v>
      </c>
      <c r="D4104" s="45"/>
    </row>
    <row r="4105" spans="2:4" ht="16" thickBot="1" x14ac:dyDescent="0.25">
      <c r="B4105" s="5">
        <v>4100</v>
      </c>
      <c r="C4105" s="5">
        <v>203.80085425791856</v>
      </c>
      <c r="D4105" s="45"/>
    </row>
    <row r="4106" spans="2:4" ht="16" thickBot="1" x14ac:dyDescent="0.25">
      <c r="B4106" s="4">
        <v>4101</v>
      </c>
      <c r="C4106" s="4">
        <v>145.7909812988334</v>
      </c>
      <c r="D4106" s="45"/>
    </row>
    <row r="4107" spans="2:4" ht="16" thickBot="1" x14ac:dyDescent="0.25">
      <c r="B4107" s="5">
        <v>4102</v>
      </c>
      <c r="C4107" s="5">
        <v>118.24663019188296</v>
      </c>
      <c r="D4107" s="45"/>
    </row>
    <row r="4108" spans="2:4" ht="16" thickBot="1" x14ac:dyDescent="0.25">
      <c r="B4108" s="4">
        <v>4103</v>
      </c>
      <c r="C4108" s="4">
        <v>229.74249592921302</v>
      </c>
      <c r="D4108" s="45"/>
    </row>
    <row r="4109" spans="2:4" ht="16" thickBot="1" x14ac:dyDescent="0.25">
      <c r="B4109" s="5">
        <v>4104</v>
      </c>
      <c r="C4109" s="5">
        <v>192.12341250899442</v>
      </c>
      <c r="D4109" s="45"/>
    </row>
    <row r="4110" spans="2:4" ht="16" thickBot="1" x14ac:dyDescent="0.25">
      <c r="B4110" s="4">
        <v>4105</v>
      </c>
      <c r="C4110" s="4">
        <v>116.52972935171385</v>
      </c>
      <c r="D4110" s="45"/>
    </row>
    <row r="4111" spans="2:4" ht="16" thickBot="1" x14ac:dyDescent="0.25">
      <c r="B4111" s="5">
        <v>4106</v>
      </c>
      <c r="C4111" s="5">
        <v>130.85178151194935</v>
      </c>
      <c r="D4111" s="45"/>
    </row>
    <row r="4112" spans="2:4" ht="16" thickBot="1" x14ac:dyDescent="0.25">
      <c r="B4112" s="4">
        <v>4107</v>
      </c>
      <c r="C4112" s="4">
        <v>196.68597345704265</v>
      </c>
      <c r="D4112" s="45"/>
    </row>
    <row r="4113" spans="2:4" ht="16" thickBot="1" x14ac:dyDescent="0.25">
      <c r="B4113" s="5">
        <v>4108</v>
      </c>
      <c r="C4113" s="5">
        <v>110.61073716679904</v>
      </c>
      <c r="D4113" s="45"/>
    </row>
    <row r="4114" spans="2:4" ht="16" thickBot="1" x14ac:dyDescent="0.25">
      <c r="B4114" s="4">
        <v>4109</v>
      </c>
      <c r="C4114" s="4">
        <v>215.84392790612924</v>
      </c>
      <c r="D4114" s="45"/>
    </row>
    <row r="4115" spans="2:4" ht="16" thickBot="1" x14ac:dyDescent="0.25">
      <c r="B4115" s="5">
        <v>4110</v>
      </c>
      <c r="C4115" s="5">
        <v>75.336813155146743</v>
      </c>
      <c r="D4115" s="45"/>
    </row>
    <row r="4116" spans="2:4" ht="16" thickBot="1" x14ac:dyDescent="0.25">
      <c r="B4116" s="4">
        <v>4111</v>
      </c>
      <c r="C4116" s="4">
        <v>102.02202726787083</v>
      </c>
      <c r="D4116" s="45"/>
    </row>
    <row r="4117" spans="2:4" ht="16" thickBot="1" x14ac:dyDescent="0.25">
      <c r="B4117" s="5">
        <v>4112</v>
      </c>
      <c r="C4117" s="5">
        <v>222.89941109741196</v>
      </c>
      <c r="D4117" s="45"/>
    </row>
    <row r="4118" spans="2:4" ht="16" thickBot="1" x14ac:dyDescent="0.25">
      <c r="B4118" s="4">
        <v>4113</v>
      </c>
      <c r="C4118" s="4">
        <v>139.00211328449004</v>
      </c>
      <c r="D4118" s="45"/>
    </row>
    <row r="4119" spans="2:4" ht="16" thickBot="1" x14ac:dyDescent="0.25">
      <c r="B4119" s="5">
        <v>4114</v>
      </c>
      <c r="C4119" s="5">
        <v>117.21962124822045</v>
      </c>
      <c r="D4119" s="45"/>
    </row>
    <row r="4120" spans="2:4" ht="16" thickBot="1" x14ac:dyDescent="0.25">
      <c r="B4120" s="4">
        <v>4115</v>
      </c>
      <c r="C4120" s="4">
        <v>82.527645136925955</v>
      </c>
      <c r="D4120" s="45"/>
    </row>
    <row r="4121" spans="2:4" ht="16" thickBot="1" x14ac:dyDescent="0.25">
      <c r="B4121" s="5">
        <v>4116</v>
      </c>
      <c r="C4121" s="5">
        <v>88.412917477776929</v>
      </c>
      <c r="D4121" s="45"/>
    </row>
    <row r="4122" spans="2:4" ht="16" thickBot="1" x14ac:dyDescent="0.25">
      <c r="B4122" s="4">
        <v>4117</v>
      </c>
      <c r="C4122" s="4">
        <v>97.980743745465844</v>
      </c>
      <c r="D4122" s="45"/>
    </row>
    <row r="4123" spans="2:4" ht="16" thickBot="1" x14ac:dyDescent="0.25">
      <c r="B4123" s="5">
        <v>4118</v>
      </c>
      <c r="C4123" s="5">
        <v>53.428374859912822</v>
      </c>
      <c r="D4123" s="45"/>
    </row>
    <row r="4124" spans="2:4" ht="16" thickBot="1" x14ac:dyDescent="0.25">
      <c r="B4124" s="4">
        <v>4119</v>
      </c>
      <c r="C4124" s="4">
        <v>136.36137984801348</v>
      </c>
      <c r="D4124" s="45"/>
    </row>
    <row r="4125" spans="2:4" ht="16" thickBot="1" x14ac:dyDescent="0.25">
      <c r="B4125" s="5">
        <v>4120</v>
      </c>
      <c r="C4125" s="5">
        <v>122.71092778252222</v>
      </c>
      <c r="D4125" s="45"/>
    </row>
    <row r="4126" spans="2:4" ht="16" thickBot="1" x14ac:dyDescent="0.25">
      <c r="B4126" s="4">
        <v>4121</v>
      </c>
      <c r="C4126" s="4">
        <v>384.77089386566428</v>
      </c>
      <c r="D4126" s="45"/>
    </row>
    <row r="4127" spans="2:4" ht="16" thickBot="1" x14ac:dyDescent="0.25">
      <c r="B4127" s="5">
        <v>4122</v>
      </c>
      <c r="C4127" s="5">
        <v>207.94389637702233</v>
      </c>
      <c r="D4127" s="45"/>
    </row>
    <row r="4128" spans="2:4" ht="16" thickBot="1" x14ac:dyDescent="0.25">
      <c r="B4128" s="4">
        <v>4123</v>
      </c>
      <c r="C4128" s="4">
        <v>95.960050472219862</v>
      </c>
      <c r="D4128" s="45"/>
    </row>
    <row r="4129" spans="2:4" ht="16" thickBot="1" x14ac:dyDescent="0.25">
      <c r="B4129" s="5">
        <v>4124</v>
      </c>
      <c r="C4129" s="5">
        <v>48.585792944300714</v>
      </c>
      <c r="D4129" s="45"/>
    </row>
    <row r="4130" spans="2:4" ht="16" thickBot="1" x14ac:dyDescent="0.25">
      <c r="B4130" s="4">
        <v>4125</v>
      </c>
      <c r="C4130" s="4">
        <v>201.18499124834068</v>
      </c>
      <c r="D4130" s="45"/>
    </row>
    <row r="4131" spans="2:4" ht="16" thickBot="1" x14ac:dyDescent="0.25">
      <c r="B4131" s="5">
        <v>4126</v>
      </c>
      <c r="C4131" s="5">
        <v>44.601317122243785</v>
      </c>
      <c r="D4131" s="45"/>
    </row>
    <row r="4132" spans="2:4" ht="16" thickBot="1" x14ac:dyDescent="0.25">
      <c r="B4132" s="4">
        <v>4127</v>
      </c>
      <c r="C4132" s="4">
        <v>73.67013471948772</v>
      </c>
      <c r="D4132" s="45"/>
    </row>
    <row r="4133" spans="2:4" ht="16" thickBot="1" x14ac:dyDescent="0.25">
      <c r="B4133" s="5">
        <v>4128</v>
      </c>
      <c r="C4133" s="5">
        <v>231.85308310614224</v>
      </c>
      <c r="D4133" s="45"/>
    </row>
    <row r="4134" spans="2:4" ht="16" thickBot="1" x14ac:dyDescent="0.25">
      <c r="B4134" s="4">
        <v>4129</v>
      </c>
      <c r="C4134" s="4">
        <v>118.01515983720958</v>
      </c>
      <c r="D4134" s="45"/>
    </row>
    <row r="4135" spans="2:4" ht="16" thickBot="1" x14ac:dyDescent="0.25">
      <c r="B4135" s="5">
        <v>4130</v>
      </c>
      <c r="C4135" s="5">
        <v>147.10992885912927</v>
      </c>
      <c r="D4135" s="45"/>
    </row>
    <row r="4136" spans="2:4" ht="16" thickBot="1" x14ac:dyDescent="0.25">
      <c r="B4136" s="4">
        <v>4131</v>
      </c>
      <c r="C4136" s="4">
        <v>287.37442390357023</v>
      </c>
      <c r="D4136" s="45"/>
    </row>
    <row r="4137" spans="2:4" ht="16" thickBot="1" x14ac:dyDescent="0.25">
      <c r="B4137" s="5">
        <v>4132</v>
      </c>
      <c r="C4137" s="5">
        <v>265.5463901327002</v>
      </c>
      <c r="D4137" s="45"/>
    </row>
    <row r="4138" spans="2:4" ht="16" thickBot="1" x14ac:dyDescent="0.25">
      <c r="B4138" s="4">
        <v>4133</v>
      </c>
      <c r="C4138" s="4">
        <v>206.34333849714625</v>
      </c>
      <c r="D4138" s="45"/>
    </row>
    <row r="4139" spans="2:4" ht="16" thickBot="1" x14ac:dyDescent="0.25">
      <c r="B4139" s="5">
        <v>4134</v>
      </c>
      <c r="C4139" s="5">
        <v>233.50979184304185</v>
      </c>
      <c r="D4139" s="45"/>
    </row>
    <row r="4140" spans="2:4" ht="16" thickBot="1" x14ac:dyDescent="0.25">
      <c r="B4140" s="4">
        <v>4135</v>
      </c>
      <c r="C4140" s="4">
        <v>122.78768434063053</v>
      </c>
      <c r="D4140" s="45"/>
    </row>
    <row r="4141" spans="2:4" ht="16" thickBot="1" x14ac:dyDescent="0.25">
      <c r="B4141" s="5">
        <v>4136</v>
      </c>
      <c r="C4141" s="5">
        <v>235.60186079786766</v>
      </c>
      <c r="D4141" s="45"/>
    </row>
    <row r="4142" spans="2:4" ht="16" thickBot="1" x14ac:dyDescent="0.25">
      <c r="B4142" s="4">
        <v>4137</v>
      </c>
      <c r="C4142" s="4">
        <v>145.00092743626951</v>
      </c>
      <c r="D4142" s="45"/>
    </row>
    <row r="4143" spans="2:4" ht="16" thickBot="1" x14ac:dyDescent="0.25">
      <c r="B4143" s="5">
        <v>4138</v>
      </c>
      <c r="C4143" s="5">
        <v>195.16795271269638</v>
      </c>
      <c r="D4143" s="45"/>
    </row>
    <row r="4144" spans="2:4" ht="16" thickBot="1" x14ac:dyDescent="0.25">
      <c r="B4144" s="4">
        <v>4139</v>
      </c>
      <c r="C4144" s="4">
        <v>140.43714773465811</v>
      </c>
      <c r="D4144" s="45"/>
    </row>
    <row r="4145" spans="2:4" ht="16" thickBot="1" x14ac:dyDescent="0.25">
      <c r="B4145" s="5">
        <v>4140</v>
      </c>
      <c r="C4145" s="5">
        <v>236.17737643680567</v>
      </c>
      <c r="D4145" s="45"/>
    </row>
    <row r="4146" spans="2:4" ht="16" thickBot="1" x14ac:dyDescent="0.25">
      <c r="B4146" s="4">
        <v>4141</v>
      </c>
      <c r="C4146" s="4">
        <v>138.15662556350873</v>
      </c>
      <c r="D4146" s="45"/>
    </row>
    <row r="4147" spans="2:4" ht="16" thickBot="1" x14ac:dyDescent="0.25">
      <c r="B4147" s="5">
        <v>4142</v>
      </c>
      <c r="C4147" s="5">
        <v>75.123269908074462</v>
      </c>
      <c r="D4147" s="45"/>
    </row>
    <row r="4148" spans="2:4" ht="16" thickBot="1" x14ac:dyDescent="0.25">
      <c r="B4148" s="4">
        <v>4143</v>
      </c>
      <c r="C4148" s="4">
        <v>224.68159359833902</v>
      </c>
      <c r="D4148" s="45"/>
    </row>
    <row r="4149" spans="2:4" ht="16" thickBot="1" x14ac:dyDescent="0.25">
      <c r="B4149" s="5">
        <v>4144</v>
      </c>
      <c r="C4149" s="5">
        <v>139.45945125751325</v>
      </c>
      <c r="D4149" s="45"/>
    </row>
    <row r="4150" spans="2:4" ht="16" thickBot="1" x14ac:dyDescent="0.25">
      <c r="B4150" s="4">
        <v>4145</v>
      </c>
      <c r="C4150" s="4">
        <v>82.38968097206228</v>
      </c>
      <c r="D4150" s="45"/>
    </row>
    <row r="4151" spans="2:4" ht="16" thickBot="1" x14ac:dyDescent="0.25">
      <c r="B4151" s="5">
        <v>4146</v>
      </c>
      <c r="C4151" s="5">
        <v>142.81508670448667</v>
      </c>
      <c r="D4151" s="45"/>
    </row>
    <row r="4152" spans="2:4" ht="16" thickBot="1" x14ac:dyDescent="0.25">
      <c r="B4152" s="4">
        <v>4147</v>
      </c>
      <c r="C4152" s="4">
        <v>217.20248201686712</v>
      </c>
      <c r="D4152" s="45"/>
    </row>
    <row r="4153" spans="2:4" ht="16" thickBot="1" x14ac:dyDescent="0.25">
      <c r="B4153" s="5">
        <v>4148</v>
      </c>
      <c r="C4153" s="5">
        <v>80.139396414586813</v>
      </c>
      <c r="D4153" s="45"/>
    </row>
    <row r="4154" spans="2:4" ht="16" thickBot="1" x14ac:dyDescent="0.25">
      <c r="B4154" s="4">
        <v>4149</v>
      </c>
      <c r="C4154" s="4">
        <v>96.231709647469387</v>
      </c>
      <c r="D4154" s="45"/>
    </row>
    <row r="4155" spans="2:4" ht="16" thickBot="1" x14ac:dyDescent="0.25">
      <c r="B4155" s="5">
        <v>4150</v>
      </c>
      <c r="C4155" s="5">
        <v>116.36654866418412</v>
      </c>
      <c r="D4155" s="45"/>
    </row>
    <row r="4156" spans="2:4" ht="16" thickBot="1" x14ac:dyDescent="0.25">
      <c r="B4156" s="4">
        <v>4151</v>
      </c>
      <c r="C4156" s="4">
        <v>161.25497316476785</v>
      </c>
      <c r="D4156" s="45"/>
    </row>
    <row r="4157" spans="2:4" ht="16" thickBot="1" x14ac:dyDescent="0.25">
      <c r="B4157" s="5">
        <v>4152</v>
      </c>
      <c r="C4157" s="5">
        <v>144.01137162280344</v>
      </c>
      <c r="D4157" s="45"/>
    </row>
    <row r="4158" spans="2:4" ht="16" thickBot="1" x14ac:dyDescent="0.25">
      <c r="B4158" s="4">
        <v>4153</v>
      </c>
      <c r="C4158" s="4">
        <v>99.380126753782264</v>
      </c>
      <c r="D4158" s="45"/>
    </row>
    <row r="4159" spans="2:4" ht="16" thickBot="1" x14ac:dyDescent="0.25">
      <c r="B4159" s="5">
        <v>4154</v>
      </c>
      <c r="C4159" s="5">
        <v>92.231349079891643</v>
      </c>
      <c r="D4159" s="45"/>
    </row>
    <row r="4160" spans="2:4" ht="16" thickBot="1" x14ac:dyDescent="0.25">
      <c r="B4160" s="4">
        <v>4155</v>
      </c>
      <c r="C4160" s="4">
        <v>61.807462422164065</v>
      </c>
      <c r="D4160" s="45"/>
    </row>
    <row r="4161" spans="2:4" ht="16" thickBot="1" x14ac:dyDescent="0.25">
      <c r="B4161" s="5">
        <v>4156</v>
      </c>
      <c r="C4161" s="5">
        <v>293.90704616196888</v>
      </c>
      <c r="D4161" s="45"/>
    </row>
    <row r="4162" spans="2:4" ht="16" thickBot="1" x14ac:dyDescent="0.25">
      <c r="B4162" s="4">
        <v>4157</v>
      </c>
      <c r="C4162" s="4">
        <v>150.11282671853357</v>
      </c>
      <c r="D4162" s="45"/>
    </row>
    <row r="4163" spans="2:4" ht="16" thickBot="1" x14ac:dyDescent="0.25">
      <c r="B4163" s="5">
        <v>4158</v>
      </c>
      <c r="C4163" s="5">
        <v>85.135576299667363</v>
      </c>
      <c r="D4163" s="45"/>
    </row>
    <row r="4164" spans="2:4" ht="16" thickBot="1" x14ac:dyDescent="0.25">
      <c r="B4164" s="4">
        <v>4159</v>
      </c>
      <c r="C4164" s="4">
        <v>269.81834505378919</v>
      </c>
      <c r="D4164" s="45"/>
    </row>
    <row r="4165" spans="2:4" ht="16" thickBot="1" x14ac:dyDescent="0.25">
      <c r="B4165" s="5">
        <v>4160</v>
      </c>
      <c r="C4165" s="5">
        <v>334.93949486801534</v>
      </c>
      <c r="D4165" s="45"/>
    </row>
    <row r="4166" spans="2:4" ht="16" thickBot="1" x14ac:dyDescent="0.25">
      <c r="B4166" s="4">
        <v>4161</v>
      </c>
      <c r="C4166" s="4">
        <v>159.07776764045917</v>
      </c>
      <c r="D4166" s="45"/>
    </row>
    <row r="4167" spans="2:4" ht="16" thickBot="1" x14ac:dyDescent="0.25">
      <c r="B4167" s="5">
        <v>4162</v>
      </c>
      <c r="C4167" s="5">
        <v>134.58400922534366</v>
      </c>
      <c r="D4167" s="45"/>
    </row>
    <row r="4168" spans="2:4" ht="16" thickBot="1" x14ac:dyDescent="0.25">
      <c r="B4168" s="4">
        <v>4163</v>
      </c>
      <c r="C4168" s="4">
        <v>104.65309205947678</v>
      </c>
      <c r="D4168" s="45"/>
    </row>
    <row r="4169" spans="2:4" ht="16" thickBot="1" x14ac:dyDescent="0.25">
      <c r="B4169" s="5">
        <v>4164</v>
      </c>
      <c r="C4169" s="5">
        <v>98.939835933852649</v>
      </c>
      <c r="D4169" s="45"/>
    </row>
    <row r="4170" spans="2:4" ht="16" thickBot="1" x14ac:dyDescent="0.25">
      <c r="B4170" s="4">
        <v>4165</v>
      </c>
      <c r="C4170" s="4">
        <v>352.5851493846593</v>
      </c>
      <c r="D4170" s="45"/>
    </row>
    <row r="4171" spans="2:4" ht="16" thickBot="1" x14ac:dyDescent="0.25">
      <c r="B4171" s="5">
        <v>4166</v>
      </c>
      <c r="C4171" s="5">
        <v>191.45192408608935</v>
      </c>
      <c r="D4171" s="45"/>
    </row>
    <row r="4172" spans="2:4" ht="16" thickBot="1" x14ac:dyDescent="0.25">
      <c r="B4172" s="4">
        <v>4167</v>
      </c>
      <c r="C4172" s="4">
        <v>338.59311523581965</v>
      </c>
      <c r="D4172" s="45"/>
    </row>
    <row r="4173" spans="2:4" ht="16" thickBot="1" x14ac:dyDescent="0.25">
      <c r="B4173" s="5">
        <v>4168</v>
      </c>
      <c r="C4173" s="5">
        <v>181.81594295725347</v>
      </c>
      <c r="D4173" s="45"/>
    </row>
    <row r="4174" spans="2:4" ht="16" thickBot="1" x14ac:dyDescent="0.25">
      <c r="B4174" s="4">
        <v>4169</v>
      </c>
      <c r="C4174" s="4">
        <v>227.71118154385402</v>
      </c>
      <c r="D4174" s="45"/>
    </row>
    <row r="4175" spans="2:4" ht="16" thickBot="1" x14ac:dyDescent="0.25">
      <c r="B4175" s="5">
        <v>4170</v>
      </c>
      <c r="C4175" s="5">
        <v>83.101884597930706</v>
      </c>
      <c r="D4175" s="45"/>
    </row>
    <row r="4176" spans="2:4" ht="16" thickBot="1" x14ac:dyDescent="0.25">
      <c r="B4176" s="4">
        <v>4171</v>
      </c>
      <c r="C4176" s="4">
        <v>65.536536029560452</v>
      </c>
      <c r="D4176" s="45"/>
    </row>
    <row r="4177" spans="2:4" ht="16" thickBot="1" x14ac:dyDescent="0.25">
      <c r="B4177" s="5">
        <v>4172</v>
      </c>
      <c r="C4177" s="5">
        <v>120.26303402412559</v>
      </c>
      <c r="D4177" s="45"/>
    </row>
    <row r="4178" spans="2:4" ht="16" thickBot="1" x14ac:dyDescent="0.25">
      <c r="B4178" s="4">
        <v>4173</v>
      </c>
      <c r="C4178" s="4">
        <v>332.93902753879428</v>
      </c>
      <c r="D4178" s="45"/>
    </row>
    <row r="4179" spans="2:4" ht="16" thickBot="1" x14ac:dyDescent="0.25">
      <c r="B4179" s="5">
        <v>4174</v>
      </c>
      <c r="C4179" s="5">
        <v>77.048605558688948</v>
      </c>
      <c r="D4179" s="45"/>
    </row>
    <row r="4180" spans="2:4" ht="16" thickBot="1" x14ac:dyDescent="0.25">
      <c r="B4180" s="4">
        <v>4175</v>
      </c>
      <c r="C4180" s="4">
        <v>135.33328058602342</v>
      </c>
      <c r="D4180" s="45"/>
    </row>
    <row r="4181" spans="2:4" ht="16" thickBot="1" x14ac:dyDescent="0.25">
      <c r="B4181" s="5">
        <v>4176</v>
      </c>
      <c r="C4181" s="5">
        <v>151.78962375593738</v>
      </c>
      <c r="D4181" s="45"/>
    </row>
    <row r="4182" spans="2:4" ht="16" thickBot="1" x14ac:dyDescent="0.25">
      <c r="B4182" s="4">
        <v>4177</v>
      </c>
      <c r="C4182" s="4">
        <v>119.2330020387579</v>
      </c>
      <c r="D4182" s="45"/>
    </row>
    <row r="4183" spans="2:4" ht="16" thickBot="1" x14ac:dyDescent="0.25">
      <c r="B4183" s="5">
        <v>4178</v>
      </c>
      <c r="C4183" s="5">
        <v>121.72575071104671</v>
      </c>
      <c r="D4183" s="45"/>
    </row>
    <row r="4184" spans="2:4" ht="16" thickBot="1" x14ac:dyDescent="0.25">
      <c r="B4184" s="4">
        <v>4179</v>
      </c>
      <c r="C4184" s="4">
        <v>101.09117089627257</v>
      </c>
      <c r="D4184" s="45"/>
    </row>
    <row r="4185" spans="2:4" ht="16" thickBot="1" x14ac:dyDescent="0.25">
      <c r="B4185" s="5">
        <v>4180</v>
      </c>
      <c r="C4185" s="5">
        <v>96.093895098847184</v>
      </c>
      <c r="D4185" s="45"/>
    </row>
    <row r="4186" spans="2:4" ht="16" thickBot="1" x14ac:dyDescent="0.25">
      <c r="B4186" s="4">
        <v>4181</v>
      </c>
      <c r="C4186" s="4">
        <v>468.11348963609788</v>
      </c>
      <c r="D4186" s="45"/>
    </row>
    <row r="4187" spans="2:4" ht="16" thickBot="1" x14ac:dyDescent="0.25">
      <c r="B4187" s="5">
        <v>4182</v>
      </c>
      <c r="C4187" s="5">
        <v>142.90191444493806</v>
      </c>
      <c r="D4187" s="45"/>
    </row>
    <row r="4188" spans="2:4" ht="16" thickBot="1" x14ac:dyDescent="0.25">
      <c r="B4188" s="4">
        <v>4183</v>
      </c>
      <c r="C4188" s="4">
        <v>142.2807118707756</v>
      </c>
      <c r="D4188" s="45"/>
    </row>
    <row r="4189" spans="2:4" ht="16" thickBot="1" x14ac:dyDescent="0.25">
      <c r="B4189" s="5">
        <v>4184</v>
      </c>
      <c r="C4189" s="5">
        <v>81.369640004258557</v>
      </c>
      <c r="D4189" s="45"/>
    </row>
    <row r="4190" spans="2:4" ht="16" thickBot="1" x14ac:dyDescent="0.25">
      <c r="B4190" s="4">
        <v>4185</v>
      </c>
      <c r="C4190" s="4">
        <v>291.63874946679306</v>
      </c>
      <c r="D4190" s="45"/>
    </row>
    <row r="4191" spans="2:4" ht="16" thickBot="1" x14ac:dyDescent="0.25">
      <c r="B4191" s="5">
        <v>4186</v>
      </c>
      <c r="C4191" s="5">
        <v>168.80130061525335</v>
      </c>
      <c r="D4191" s="45"/>
    </row>
    <row r="4192" spans="2:4" ht="16" thickBot="1" x14ac:dyDescent="0.25">
      <c r="B4192" s="4">
        <v>4187</v>
      </c>
      <c r="C4192" s="4">
        <v>157.44446661884515</v>
      </c>
      <c r="D4192" s="45"/>
    </row>
    <row r="4193" spans="2:4" ht="16" thickBot="1" x14ac:dyDescent="0.25">
      <c r="B4193" s="5">
        <v>4188</v>
      </c>
      <c r="C4193" s="5">
        <v>145.15616660618826</v>
      </c>
      <c r="D4193" s="45"/>
    </row>
    <row r="4194" spans="2:4" ht="16" thickBot="1" x14ac:dyDescent="0.25">
      <c r="B4194" s="4">
        <v>4189</v>
      </c>
      <c r="C4194" s="4">
        <v>49.096279789172911</v>
      </c>
      <c r="D4194" s="45"/>
    </row>
    <row r="4195" spans="2:4" ht="16" thickBot="1" x14ac:dyDescent="0.25">
      <c r="B4195" s="5">
        <v>4190</v>
      </c>
      <c r="C4195" s="5">
        <v>162.50027379497266</v>
      </c>
      <c r="D4195" s="45"/>
    </row>
    <row r="4196" spans="2:4" ht="16" thickBot="1" x14ac:dyDescent="0.25">
      <c r="B4196" s="4">
        <v>4191</v>
      </c>
      <c r="C4196" s="4">
        <v>89.435757281397912</v>
      </c>
      <c r="D4196" s="45"/>
    </row>
    <row r="4197" spans="2:4" ht="16" thickBot="1" x14ac:dyDescent="0.25">
      <c r="B4197" s="5">
        <v>4192</v>
      </c>
      <c r="C4197" s="5">
        <v>137.07907984924836</v>
      </c>
      <c r="D4197" s="45"/>
    </row>
    <row r="4198" spans="2:4" ht="16" thickBot="1" x14ac:dyDescent="0.25">
      <c r="B4198" s="4">
        <v>4193</v>
      </c>
      <c r="C4198" s="4">
        <v>128.92746294452309</v>
      </c>
      <c r="D4198" s="45"/>
    </row>
    <row r="4199" spans="2:4" ht="16" thickBot="1" x14ac:dyDescent="0.25">
      <c r="B4199" s="5">
        <v>4194</v>
      </c>
      <c r="C4199" s="5">
        <v>423.60743533543967</v>
      </c>
      <c r="D4199" s="45"/>
    </row>
    <row r="4200" spans="2:4" ht="16" thickBot="1" x14ac:dyDescent="0.25">
      <c r="B4200" s="4">
        <v>4195</v>
      </c>
      <c r="C4200" s="4">
        <v>123.4500807106978</v>
      </c>
      <c r="D4200" s="45"/>
    </row>
    <row r="4201" spans="2:4" ht="16" thickBot="1" x14ac:dyDescent="0.25">
      <c r="B4201" s="5">
        <v>4196</v>
      </c>
      <c r="C4201" s="5">
        <v>286.15235850499982</v>
      </c>
      <c r="D4201" s="45"/>
    </row>
    <row r="4202" spans="2:4" ht="16" thickBot="1" x14ac:dyDescent="0.25">
      <c r="B4202" s="4">
        <v>4197</v>
      </c>
      <c r="C4202" s="4">
        <v>233.23248820892832</v>
      </c>
      <c r="D4202" s="45"/>
    </row>
    <row r="4203" spans="2:4" ht="16" thickBot="1" x14ac:dyDescent="0.25">
      <c r="B4203" s="5">
        <v>4198</v>
      </c>
      <c r="C4203" s="5">
        <v>84.386030858405306</v>
      </c>
      <c r="D4203" s="45"/>
    </row>
    <row r="4204" spans="2:4" ht="16" thickBot="1" x14ac:dyDescent="0.25">
      <c r="B4204" s="4">
        <v>4199</v>
      </c>
      <c r="C4204" s="4">
        <v>196.95476023302788</v>
      </c>
      <c r="D4204" s="45"/>
    </row>
    <row r="4205" spans="2:4" ht="16" thickBot="1" x14ac:dyDescent="0.25">
      <c r="B4205" s="5">
        <v>4200</v>
      </c>
      <c r="C4205" s="5">
        <v>137.60956498931537</v>
      </c>
      <c r="D4205" s="45"/>
    </row>
    <row r="4206" spans="2:4" ht="16" thickBot="1" x14ac:dyDescent="0.25">
      <c r="B4206" s="4">
        <v>4201</v>
      </c>
      <c r="C4206" s="4">
        <v>91.176273026867989</v>
      </c>
      <c r="D4206" s="45"/>
    </row>
    <row r="4207" spans="2:4" ht="16" thickBot="1" x14ac:dyDescent="0.25">
      <c r="B4207" s="5">
        <v>4202</v>
      </c>
      <c r="C4207" s="5">
        <v>62.247101982088012</v>
      </c>
      <c r="D4207" s="45"/>
    </row>
    <row r="4208" spans="2:4" ht="16" thickBot="1" x14ac:dyDescent="0.25">
      <c r="B4208" s="4">
        <v>4203</v>
      </c>
      <c r="C4208" s="4">
        <v>175.78567293516849</v>
      </c>
      <c r="D4208" s="45"/>
    </row>
    <row r="4209" spans="2:4" ht="16" thickBot="1" x14ac:dyDescent="0.25">
      <c r="B4209" s="5">
        <v>4204</v>
      </c>
      <c r="C4209" s="5">
        <v>148.59193581171937</v>
      </c>
      <c r="D4209" s="45"/>
    </row>
    <row r="4210" spans="2:4" ht="16" thickBot="1" x14ac:dyDescent="0.25">
      <c r="B4210" s="4">
        <v>4205</v>
      </c>
      <c r="C4210" s="4">
        <v>113.53412692910041</v>
      </c>
      <c r="D4210" s="45"/>
    </row>
    <row r="4211" spans="2:4" ht="16" thickBot="1" x14ac:dyDescent="0.25">
      <c r="B4211" s="5">
        <v>4206</v>
      </c>
      <c r="C4211" s="5">
        <v>119.21883515990763</v>
      </c>
      <c r="D4211" s="45"/>
    </row>
    <row r="4212" spans="2:4" ht="16" thickBot="1" x14ac:dyDescent="0.25">
      <c r="B4212" s="4">
        <v>4207</v>
      </c>
      <c r="C4212" s="4">
        <v>227.84576802439838</v>
      </c>
      <c r="D4212" s="45"/>
    </row>
    <row r="4213" spans="2:4" ht="16" thickBot="1" x14ac:dyDescent="0.25">
      <c r="B4213" s="5">
        <v>4208</v>
      </c>
      <c r="C4213" s="5">
        <v>149.01932773187988</v>
      </c>
      <c r="D4213" s="45"/>
    </row>
    <row r="4214" spans="2:4" ht="16" thickBot="1" x14ac:dyDescent="0.25">
      <c r="B4214" s="4">
        <v>4209</v>
      </c>
      <c r="C4214" s="4">
        <v>161.38724630083257</v>
      </c>
      <c r="D4214" s="45"/>
    </row>
    <row r="4215" spans="2:4" ht="16" thickBot="1" x14ac:dyDescent="0.25">
      <c r="B4215" s="5">
        <v>4210</v>
      </c>
      <c r="C4215" s="5">
        <v>379.81345469801295</v>
      </c>
      <c r="D4215" s="45"/>
    </row>
    <row r="4216" spans="2:4" ht="16" thickBot="1" x14ac:dyDescent="0.25">
      <c r="B4216" s="4">
        <v>4211</v>
      </c>
      <c r="C4216" s="4">
        <v>71.751942313174908</v>
      </c>
      <c r="D4216" s="45"/>
    </row>
    <row r="4217" spans="2:4" ht="16" thickBot="1" x14ac:dyDescent="0.25">
      <c r="B4217" s="5">
        <v>4212</v>
      </c>
      <c r="C4217" s="5">
        <v>79.123934228675409</v>
      </c>
      <c r="D4217" s="45"/>
    </row>
    <row r="4218" spans="2:4" ht="16" thickBot="1" x14ac:dyDescent="0.25">
      <c r="B4218" s="4">
        <v>4213</v>
      </c>
      <c r="C4218" s="4">
        <v>238.71468681806167</v>
      </c>
      <c r="D4218" s="45"/>
    </row>
    <row r="4219" spans="2:4" ht="16" thickBot="1" x14ac:dyDescent="0.25">
      <c r="B4219" s="5">
        <v>4214</v>
      </c>
      <c r="C4219" s="5">
        <v>195.55562071345096</v>
      </c>
      <c r="D4219" s="45"/>
    </row>
    <row r="4220" spans="2:4" ht="16" thickBot="1" x14ac:dyDescent="0.25">
      <c r="B4220" s="4">
        <v>4215</v>
      </c>
      <c r="C4220" s="4">
        <v>47.055660064985631</v>
      </c>
      <c r="D4220" s="45"/>
    </row>
    <row r="4221" spans="2:4" ht="16" thickBot="1" x14ac:dyDescent="0.25">
      <c r="B4221" s="5">
        <v>4216</v>
      </c>
      <c r="C4221" s="5">
        <v>153.35469445353615</v>
      </c>
      <c r="D4221" s="45"/>
    </row>
    <row r="4222" spans="2:4" ht="16" thickBot="1" x14ac:dyDescent="0.25">
      <c r="B4222" s="4">
        <v>4217</v>
      </c>
      <c r="C4222" s="4">
        <v>108.36066125451931</v>
      </c>
      <c r="D4222" s="45"/>
    </row>
    <row r="4223" spans="2:4" ht="16" thickBot="1" x14ac:dyDescent="0.25">
      <c r="B4223" s="5">
        <v>4218</v>
      </c>
      <c r="C4223" s="5">
        <v>86.273787963035645</v>
      </c>
      <c r="D4223" s="45"/>
    </row>
    <row r="4224" spans="2:4" ht="16" thickBot="1" x14ac:dyDescent="0.25">
      <c r="B4224" s="4">
        <v>4219</v>
      </c>
      <c r="C4224" s="4">
        <v>142.69063914882037</v>
      </c>
      <c r="D4224" s="45"/>
    </row>
    <row r="4225" spans="2:4" ht="16" thickBot="1" x14ac:dyDescent="0.25">
      <c r="B4225" s="5">
        <v>4220</v>
      </c>
      <c r="C4225" s="5">
        <v>286.84541431856252</v>
      </c>
      <c r="D4225" s="45"/>
    </row>
    <row r="4226" spans="2:4" ht="16" thickBot="1" x14ac:dyDescent="0.25">
      <c r="B4226" s="4">
        <v>4221</v>
      </c>
      <c r="C4226" s="4">
        <v>126.61829109375799</v>
      </c>
      <c r="D4226" s="45"/>
    </row>
    <row r="4227" spans="2:4" ht="16" thickBot="1" x14ac:dyDescent="0.25">
      <c r="B4227" s="5">
        <v>4222</v>
      </c>
      <c r="C4227" s="5">
        <v>54.701320826519826</v>
      </c>
      <c r="D4227" s="45"/>
    </row>
    <row r="4228" spans="2:4" ht="16" thickBot="1" x14ac:dyDescent="0.25">
      <c r="B4228" s="4">
        <v>4223</v>
      </c>
      <c r="C4228" s="4">
        <v>102.44299670888367</v>
      </c>
      <c r="D4228" s="45"/>
    </row>
    <row r="4229" spans="2:4" ht="16" thickBot="1" x14ac:dyDescent="0.25">
      <c r="B4229" s="5">
        <v>4224</v>
      </c>
      <c r="C4229" s="5">
        <v>215.53297364844468</v>
      </c>
      <c r="D4229" s="45"/>
    </row>
    <row r="4230" spans="2:4" ht="16" thickBot="1" x14ac:dyDescent="0.25">
      <c r="B4230" s="4">
        <v>4225</v>
      </c>
      <c r="C4230" s="4">
        <v>306.22491997084768</v>
      </c>
      <c r="D4230" s="45"/>
    </row>
    <row r="4231" spans="2:4" ht="16" thickBot="1" x14ac:dyDescent="0.25">
      <c r="B4231" s="5">
        <v>4226</v>
      </c>
      <c r="C4231" s="5">
        <v>111.95296624121755</v>
      </c>
      <c r="D4231" s="45"/>
    </row>
    <row r="4232" spans="2:4" ht="16" thickBot="1" x14ac:dyDescent="0.25">
      <c r="B4232" s="4">
        <v>4227</v>
      </c>
      <c r="C4232" s="4">
        <v>168.87813917285771</v>
      </c>
      <c r="D4232" s="45"/>
    </row>
    <row r="4233" spans="2:4" ht="16" thickBot="1" x14ac:dyDescent="0.25">
      <c r="B4233" s="5">
        <v>4228</v>
      </c>
      <c r="C4233" s="5">
        <v>153.41343949832662</v>
      </c>
      <c r="D4233" s="45"/>
    </row>
    <row r="4234" spans="2:4" ht="16" thickBot="1" x14ac:dyDescent="0.25">
      <c r="B4234" s="4">
        <v>4229</v>
      </c>
      <c r="C4234" s="4">
        <v>143.25411127406878</v>
      </c>
      <c r="D4234" s="45"/>
    </row>
    <row r="4235" spans="2:4" ht="16" thickBot="1" x14ac:dyDescent="0.25">
      <c r="B4235" s="5">
        <v>4230</v>
      </c>
      <c r="C4235" s="5">
        <v>40.917811236802905</v>
      </c>
      <c r="D4235" s="45"/>
    </row>
    <row r="4236" spans="2:4" ht="16" thickBot="1" x14ac:dyDescent="0.25">
      <c r="B4236" s="4">
        <v>4231</v>
      </c>
      <c r="C4236" s="4">
        <v>108.93927166338847</v>
      </c>
      <c r="D4236" s="45"/>
    </row>
    <row r="4237" spans="2:4" ht="16" thickBot="1" x14ac:dyDescent="0.25">
      <c r="B4237" s="5">
        <v>4232</v>
      </c>
      <c r="C4237" s="5">
        <v>101.82172745057554</v>
      </c>
      <c r="D4237" s="45"/>
    </row>
    <row r="4238" spans="2:4" ht="16" thickBot="1" x14ac:dyDescent="0.25">
      <c r="B4238" s="4">
        <v>4233</v>
      </c>
      <c r="C4238" s="4">
        <v>186.50480350603499</v>
      </c>
      <c r="D4238" s="45"/>
    </row>
    <row r="4239" spans="2:4" ht="16" thickBot="1" x14ac:dyDescent="0.25">
      <c r="B4239" s="5">
        <v>4234</v>
      </c>
      <c r="C4239" s="5">
        <v>93.849836398627005</v>
      </c>
      <c r="D4239" s="45"/>
    </row>
    <row r="4240" spans="2:4" ht="16" thickBot="1" x14ac:dyDescent="0.25">
      <c r="B4240" s="4">
        <v>4235</v>
      </c>
      <c r="C4240" s="4">
        <v>168.29862317320033</v>
      </c>
      <c r="D4240" s="45"/>
    </row>
    <row r="4241" spans="2:4" ht="16" thickBot="1" x14ac:dyDescent="0.25">
      <c r="B4241" s="5">
        <v>4236</v>
      </c>
      <c r="C4241" s="5">
        <v>255.56460143106216</v>
      </c>
      <c r="D4241" s="45"/>
    </row>
    <row r="4242" spans="2:4" ht="16" thickBot="1" x14ac:dyDescent="0.25">
      <c r="B4242" s="4">
        <v>4237</v>
      </c>
      <c r="C4242" s="4">
        <v>175.06699301736816</v>
      </c>
      <c r="D4242" s="45"/>
    </row>
    <row r="4243" spans="2:4" ht="16" thickBot="1" x14ac:dyDescent="0.25">
      <c r="B4243" s="5">
        <v>4238</v>
      </c>
      <c r="C4243" s="5">
        <v>125.49817866987313</v>
      </c>
      <c r="D4243" s="45"/>
    </row>
    <row r="4244" spans="2:4" ht="16" thickBot="1" x14ac:dyDescent="0.25">
      <c r="B4244" s="4">
        <v>4239</v>
      </c>
      <c r="C4244" s="4">
        <v>130.67671639386424</v>
      </c>
      <c r="D4244" s="45"/>
    </row>
    <row r="4245" spans="2:4" ht="16" thickBot="1" x14ac:dyDescent="0.25">
      <c r="B4245" s="5">
        <v>4240</v>
      </c>
      <c r="C4245" s="5">
        <v>90.212797503616557</v>
      </c>
      <c r="D4245" s="45"/>
    </row>
    <row r="4246" spans="2:4" ht="16" thickBot="1" x14ac:dyDescent="0.25">
      <c r="B4246" s="4">
        <v>4241</v>
      </c>
      <c r="C4246" s="4">
        <v>112.49106801351085</v>
      </c>
      <c r="D4246" s="45"/>
    </row>
    <row r="4247" spans="2:4" ht="16" thickBot="1" x14ac:dyDescent="0.25">
      <c r="B4247" s="5">
        <v>4242</v>
      </c>
      <c r="C4247" s="5">
        <v>195.15325565990071</v>
      </c>
      <c r="D4247" s="45"/>
    </row>
    <row r="4248" spans="2:4" ht="16" thickBot="1" x14ac:dyDescent="0.25">
      <c r="B4248" s="4">
        <v>4243</v>
      </c>
      <c r="C4248" s="4">
        <v>99.879993668724381</v>
      </c>
      <c r="D4248" s="45"/>
    </row>
    <row r="4249" spans="2:4" ht="16" thickBot="1" x14ac:dyDescent="0.25">
      <c r="B4249" s="5">
        <v>4244</v>
      </c>
      <c r="C4249" s="5">
        <v>161.30623802760235</v>
      </c>
      <c r="D4249" s="45"/>
    </row>
    <row r="4250" spans="2:4" ht="16" thickBot="1" x14ac:dyDescent="0.25">
      <c r="B4250" s="4">
        <v>4245</v>
      </c>
      <c r="C4250" s="4">
        <v>49.604584563038948</v>
      </c>
      <c r="D4250" s="45"/>
    </row>
    <row r="4251" spans="2:4" ht="16" thickBot="1" x14ac:dyDescent="0.25">
      <c r="B4251" s="5">
        <v>4246</v>
      </c>
      <c r="C4251" s="5">
        <v>161.52407120128967</v>
      </c>
      <c r="D4251" s="45"/>
    </row>
    <row r="4252" spans="2:4" ht="16" thickBot="1" x14ac:dyDescent="0.25">
      <c r="B4252" s="4">
        <v>4247</v>
      </c>
      <c r="C4252" s="4">
        <v>215.56018345991018</v>
      </c>
      <c r="D4252" s="45"/>
    </row>
    <row r="4253" spans="2:4" ht="16" thickBot="1" x14ac:dyDescent="0.25">
      <c r="B4253" s="5">
        <v>4248</v>
      </c>
      <c r="C4253" s="5">
        <v>116.46845785271353</v>
      </c>
      <c r="D4253" s="45"/>
    </row>
    <row r="4254" spans="2:4" ht="16" thickBot="1" x14ac:dyDescent="0.25">
      <c r="B4254" s="4">
        <v>4249</v>
      </c>
      <c r="C4254" s="4">
        <v>84.699214492581945</v>
      </c>
      <c r="D4254" s="45"/>
    </row>
    <row r="4255" spans="2:4" ht="16" thickBot="1" x14ac:dyDescent="0.25">
      <c r="B4255" s="5">
        <v>4250</v>
      </c>
      <c r="C4255" s="5">
        <v>110.3632949881933</v>
      </c>
      <c r="D4255" s="45"/>
    </row>
    <row r="4256" spans="2:4" ht="16" thickBot="1" x14ac:dyDescent="0.25">
      <c r="B4256" s="4">
        <v>4251</v>
      </c>
      <c r="C4256" s="4">
        <v>286.64797335913465</v>
      </c>
      <c r="D4256" s="45"/>
    </row>
    <row r="4257" spans="2:4" ht="16" thickBot="1" x14ac:dyDescent="0.25">
      <c r="B4257" s="5">
        <v>4252</v>
      </c>
      <c r="C4257" s="5">
        <v>65.394292045484846</v>
      </c>
      <c r="D4257" s="45"/>
    </row>
    <row r="4258" spans="2:4" ht="16" thickBot="1" x14ac:dyDescent="0.25">
      <c r="B4258" s="4">
        <v>4253</v>
      </c>
      <c r="C4258" s="4">
        <v>239.2549188522496</v>
      </c>
      <c r="D4258" s="45"/>
    </row>
    <row r="4259" spans="2:4" ht="16" thickBot="1" x14ac:dyDescent="0.25">
      <c r="B4259" s="5">
        <v>4254</v>
      </c>
      <c r="C4259" s="5">
        <v>78.459305070962671</v>
      </c>
      <c r="D4259" s="45"/>
    </row>
    <row r="4260" spans="2:4" ht="16" thickBot="1" x14ac:dyDescent="0.25">
      <c r="B4260" s="4">
        <v>4255</v>
      </c>
      <c r="C4260" s="4">
        <v>129.68979873058373</v>
      </c>
      <c r="D4260" s="45"/>
    </row>
    <row r="4261" spans="2:4" ht="16" thickBot="1" x14ac:dyDescent="0.25">
      <c r="B4261" s="5">
        <v>4256</v>
      </c>
      <c r="C4261" s="5">
        <v>289.27226038242412</v>
      </c>
      <c r="D4261" s="45"/>
    </row>
    <row r="4262" spans="2:4" ht="16" thickBot="1" x14ac:dyDescent="0.25">
      <c r="B4262" s="4">
        <v>4257</v>
      </c>
      <c r="C4262" s="4">
        <v>117.92597473774801</v>
      </c>
      <c r="D4262" s="45"/>
    </row>
    <row r="4263" spans="2:4" ht="16" thickBot="1" x14ac:dyDescent="0.25">
      <c r="B4263" s="5">
        <v>4258</v>
      </c>
      <c r="C4263" s="5">
        <v>120.66337769811851</v>
      </c>
      <c r="D4263" s="45"/>
    </row>
    <row r="4264" spans="2:4" ht="16" thickBot="1" x14ac:dyDescent="0.25">
      <c r="B4264" s="4">
        <v>4259</v>
      </c>
      <c r="C4264" s="4">
        <v>114.05487495984163</v>
      </c>
      <c r="D4264" s="45"/>
    </row>
    <row r="4265" spans="2:4" ht="16" thickBot="1" x14ac:dyDescent="0.25">
      <c r="B4265" s="5">
        <v>4260</v>
      </c>
      <c r="C4265" s="5">
        <v>154.16157906573773</v>
      </c>
      <c r="D4265" s="45"/>
    </row>
    <row r="4266" spans="2:4" ht="16" thickBot="1" x14ac:dyDescent="0.25">
      <c r="B4266" s="4">
        <v>4261</v>
      </c>
      <c r="C4266" s="4">
        <v>140.87105716982234</v>
      </c>
      <c r="D4266" s="45"/>
    </row>
    <row r="4267" spans="2:4" ht="16" thickBot="1" x14ac:dyDescent="0.25">
      <c r="B4267" s="5">
        <v>4262</v>
      </c>
      <c r="C4267" s="5">
        <v>162.2546811269481</v>
      </c>
      <c r="D4267" s="45"/>
    </row>
    <row r="4268" spans="2:4" ht="16" thickBot="1" x14ac:dyDescent="0.25">
      <c r="B4268" s="4">
        <v>4263</v>
      </c>
      <c r="C4268" s="4">
        <v>155.40886237064862</v>
      </c>
      <c r="D4268" s="45"/>
    </row>
    <row r="4269" spans="2:4" ht="16" thickBot="1" x14ac:dyDescent="0.25">
      <c r="B4269" s="5">
        <v>4264</v>
      </c>
      <c r="C4269" s="5">
        <v>161.13777043810052</v>
      </c>
      <c r="D4269" s="45"/>
    </row>
    <row r="4270" spans="2:4" ht="16" thickBot="1" x14ac:dyDescent="0.25">
      <c r="B4270" s="4">
        <v>4265</v>
      </c>
      <c r="C4270" s="4">
        <v>208.84827057544354</v>
      </c>
      <c r="D4270" s="45"/>
    </row>
    <row r="4271" spans="2:4" ht="16" thickBot="1" x14ac:dyDescent="0.25">
      <c r="B4271" s="5">
        <v>4266</v>
      </c>
      <c r="C4271" s="5">
        <v>128.28855771392918</v>
      </c>
      <c r="D4271" s="45"/>
    </row>
    <row r="4272" spans="2:4" ht="16" thickBot="1" x14ac:dyDescent="0.25">
      <c r="B4272" s="4">
        <v>4267</v>
      </c>
      <c r="C4272" s="4">
        <v>372.34543521151903</v>
      </c>
      <c r="D4272" s="45"/>
    </row>
    <row r="4273" spans="2:4" ht="16" thickBot="1" x14ac:dyDescent="0.25">
      <c r="B4273" s="5">
        <v>4268</v>
      </c>
      <c r="C4273" s="5">
        <v>250.70000301299174</v>
      </c>
      <c r="D4273" s="45"/>
    </row>
    <row r="4274" spans="2:4" ht="16" thickBot="1" x14ac:dyDescent="0.25">
      <c r="B4274" s="4">
        <v>4269</v>
      </c>
      <c r="C4274" s="4">
        <v>86.905940550005596</v>
      </c>
      <c r="D4274" s="45"/>
    </row>
    <row r="4275" spans="2:4" ht="16" thickBot="1" x14ac:dyDescent="0.25">
      <c r="B4275" s="5">
        <v>4270</v>
      </c>
      <c r="C4275" s="5">
        <v>129.44337120804229</v>
      </c>
      <c r="D4275" s="45"/>
    </row>
    <row r="4276" spans="2:4" ht="16" thickBot="1" x14ac:dyDescent="0.25">
      <c r="B4276" s="4">
        <v>4271</v>
      </c>
      <c r="C4276" s="4">
        <v>240.67910883700151</v>
      </c>
      <c r="D4276" s="45"/>
    </row>
    <row r="4277" spans="2:4" ht="16" thickBot="1" x14ac:dyDescent="0.25">
      <c r="B4277" s="5">
        <v>4272</v>
      </c>
      <c r="C4277" s="5">
        <v>272.60399727537572</v>
      </c>
      <c r="D4277" s="45"/>
    </row>
    <row r="4278" spans="2:4" ht="16" thickBot="1" x14ac:dyDescent="0.25">
      <c r="B4278" s="4">
        <v>4273</v>
      </c>
      <c r="C4278" s="4">
        <v>65.852826052190281</v>
      </c>
      <c r="D4278" s="45"/>
    </row>
    <row r="4279" spans="2:4" ht="16" thickBot="1" x14ac:dyDescent="0.25">
      <c r="B4279" s="5">
        <v>4274</v>
      </c>
      <c r="C4279" s="5">
        <v>48.84337543612201</v>
      </c>
      <c r="D4279" s="45"/>
    </row>
    <row r="4280" spans="2:4" ht="16" thickBot="1" x14ac:dyDescent="0.25">
      <c r="B4280" s="4">
        <v>4275</v>
      </c>
      <c r="C4280" s="4">
        <v>177.36384053823119</v>
      </c>
      <c r="D4280" s="45"/>
    </row>
    <row r="4281" spans="2:4" ht="16" thickBot="1" x14ac:dyDescent="0.25">
      <c r="B4281" s="5">
        <v>4276</v>
      </c>
      <c r="C4281" s="5">
        <v>330.8491813047396</v>
      </c>
      <c r="D4281" s="45"/>
    </row>
    <row r="4282" spans="2:4" ht="16" thickBot="1" x14ac:dyDescent="0.25">
      <c r="B4282" s="4">
        <v>4277</v>
      </c>
      <c r="C4282" s="4">
        <v>119.0071508065797</v>
      </c>
      <c r="D4282" s="45"/>
    </row>
    <row r="4283" spans="2:4" ht="16" thickBot="1" x14ac:dyDescent="0.25">
      <c r="B4283" s="5">
        <v>4278</v>
      </c>
      <c r="C4283" s="5">
        <v>79.261748272684898</v>
      </c>
      <c r="D4283" s="45"/>
    </row>
    <row r="4284" spans="2:4" ht="16" thickBot="1" x14ac:dyDescent="0.25">
      <c r="B4284" s="4">
        <v>4279</v>
      </c>
      <c r="C4284" s="4">
        <v>325.87454834688049</v>
      </c>
      <c r="D4284" s="45"/>
    </row>
    <row r="4285" spans="2:4" ht="16" thickBot="1" x14ac:dyDescent="0.25">
      <c r="B4285" s="5">
        <v>4280</v>
      </c>
      <c r="C4285" s="5">
        <v>101.70355998757262</v>
      </c>
      <c r="D4285" s="45"/>
    </row>
    <row r="4286" spans="2:4" ht="16" thickBot="1" x14ac:dyDescent="0.25">
      <c r="B4286" s="4">
        <v>4281</v>
      </c>
      <c r="C4286" s="4">
        <v>48.565309708913645</v>
      </c>
      <c r="D4286" s="45"/>
    </row>
    <row r="4287" spans="2:4" ht="16" thickBot="1" x14ac:dyDescent="0.25">
      <c r="B4287" s="5">
        <v>4282</v>
      </c>
      <c r="C4287" s="5">
        <v>107.72581810716642</v>
      </c>
      <c r="D4287" s="45"/>
    </row>
    <row r="4288" spans="2:4" ht="16" thickBot="1" x14ac:dyDescent="0.25">
      <c r="B4288" s="4">
        <v>4283</v>
      </c>
      <c r="C4288" s="4">
        <v>353.76944099373287</v>
      </c>
      <c r="D4288" s="45"/>
    </row>
    <row r="4289" spans="2:4" ht="16" thickBot="1" x14ac:dyDescent="0.25">
      <c r="B4289" s="5">
        <v>4284</v>
      </c>
      <c r="C4289" s="5">
        <v>148.07954478075146</v>
      </c>
      <c r="D4289" s="45"/>
    </row>
    <row r="4290" spans="2:4" ht="16" thickBot="1" x14ac:dyDescent="0.25">
      <c r="B4290" s="4">
        <v>4285</v>
      </c>
      <c r="C4290" s="4">
        <v>60.406014568485475</v>
      </c>
      <c r="D4290" s="45"/>
    </row>
    <row r="4291" spans="2:4" ht="16" thickBot="1" x14ac:dyDescent="0.25">
      <c r="B4291" s="5">
        <v>4286</v>
      </c>
      <c r="C4291" s="5">
        <v>161.18428365715457</v>
      </c>
      <c r="D4291" s="45"/>
    </row>
    <row r="4292" spans="2:4" ht="16" thickBot="1" x14ac:dyDescent="0.25">
      <c r="B4292" s="4">
        <v>4287</v>
      </c>
      <c r="C4292" s="4">
        <v>93.574612030330314</v>
      </c>
      <c r="D4292" s="45"/>
    </row>
    <row r="4293" spans="2:4" ht="16" thickBot="1" x14ac:dyDescent="0.25">
      <c r="B4293" s="5">
        <v>4288</v>
      </c>
      <c r="C4293" s="5">
        <v>251.46851696226065</v>
      </c>
      <c r="D4293" s="45"/>
    </row>
    <row r="4294" spans="2:4" ht="16" thickBot="1" x14ac:dyDescent="0.25">
      <c r="B4294" s="4">
        <v>4289</v>
      </c>
      <c r="C4294" s="4">
        <v>350.58214335100575</v>
      </c>
      <c r="D4294" s="45"/>
    </row>
    <row r="4295" spans="2:4" ht="16" thickBot="1" x14ac:dyDescent="0.25">
      <c r="B4295" s="5">
        <v>4290</v>
      </c>
      <c r="C4295" s="5">
        <v>94.86727843121075</v>
      </c>
      <c r="D4295" s="45"/>
    </row>
    <row r="4296" spans="2:4" ht="16" thickBot="1" x14ac:dyDescent="0.25">
      <c r="B4296" s="4">
        <v>4291</v>
      </c>
      <c r="C4296" s="4">
        <v>378.91961242766132</v>
      </c>
      <c r="D4296" s="45"/>
    </row>
    <row r="4297" spans="2:4" ht="16" thickBot="1" x14ac:dyDescent="0.25">
      <c r="B4297" s="5">
        <v>4292</v>
      </c>
      <c r="C4297" s="5">
        <v>79.77169045763614</v>
      </c>
      <c r="D4297" s="45"/>
    </row>
    <row r="4298" spans="2:4" ht="16" thickBot="1" x14ac:dyDescent="0.25">
      <c r="B4298" s="4">
        <v>4293</v>
      </c>
      <c r="C4298" s="4">
        <v>214.24903391055989</v>
      </c>
      <c r="D4298" s="45"/>
    </row>
    <row r="4299" spans="2:4" ht="16" thickBot="1" x14ac:dyDescent="0.25">
      <c r="B4299" s="5">
        <v>4294</v>
      </c>
      <c r="C4299" s="5">
        <v>168.55253828055038</v>
      </c>
      <c r="D4299" s="45"/>
    </row>
    <row r="4300" spans="2:4" ht="16" thickBot="1" x14ac:dyDescent="0.25">
      <c r="B4300" s="4">
        <v>4295</v>
      </c>
      <c r="C4300" s="4">
        <v>125.45610552993284</v>
      </c>
      <c r="D4300" s="45"/>
    </row>
    <row r="4301" spans="2:4" ht="16" thickBot="1" x14ac:dyDescent="0.25">
      <c r="B4301" s="5">
        <v>4296</v>
      </c>
      <c r="C4301" s="5">
        <v>110.04704203706993</v>
      </c>
      <c r="D4301" s="45"/>
    </row>
    <row r="4302" spans="2:4" ht="16" thickBot="1" x14ac:dyDescent="0.25">
      <c r="B4302" s="4">
        <v>4297</v>
      </c>
      <c r="C4302" s="4">
        <v>184.92191559656391</v>
      </c>
      <c r="D4302" s="45"/>
    </row>
    <row r="4303" spans="2:4" ht="16" thickBot="1" x14ac:dyDescent="0.25">
      <c r="B4303" s="5">
        <v>4298</v>
      </c>
      <c r="C4303" s="5">
        <v>265.47097409231765</v>
      </c>
      <c r="D4303" s="45"/>
    </row>
    <row r="4304" spans="2:4" ht="16" thickBot="1" x14ac:dyDescent="0.25">
      <c r="B4304" s="4">
        <v>4299</v>
      </c>
      <c r="C4304" s="4">
        <v>118.30795904979114</v>
      </c>
      <c r="D4304" s="45"/>
    </row>
    <row r="4305" spans="2:4" ht="16" thickBot="1" x14ac:dyDescent="0.25">
      <c r="B4305" s="5">
        <v>4300</v>
      </c>
      <c r="C4305" s="5">
        <v>176.0726492742568</v>
      </c>
      <c r="D4305" s="45"/>
    </row>
    <row r="4306" spans="2:4" ht="16" thickBot="1" x14ac:dyDescent="0.25">
      <c r="B4306" s="4">
        <v>4301</v>
      </c>
      <c r="C4306" s="4">
        <v>179.7446119418764</v>
      </c>
      <c r="D4306" s="45"/>
    </row>
    <row r="4307" spans="2:4" ht="16" thickBot="1" x14ac:dyDescent="0.25">
      <c r="B4307" s="5">
        <v>4302</v>
      </c>
      <c r="C4307" s="5">
        <v>56.006291410530039</v>
      </c>
      <c r="D4307" s="45"/>
    </row>
    <row r="4308" spans="2:4" ht="16" thickBot="1" x14ac:dyDescent="0.25">
      <c r="B4308" s="4">
        <v>4303</v>
      </c>
      <c r="C4308" s="4">
        <v>83.441984731074086</v>
      </c>
      <c r="D4308" s="45"/>
    </row>
    <row r="4309" spans="2:4" ht="16" thickBot="1" x14ac:dyDescent="0.25">
      <c r="B4309" s="5">
        <v>4304</v>
      </c>
      <c r="C4309" s="5">
        <v>78.458844333807022</v>
      </c>
      <c r="D4309" s="45"/>
    </row>
    <row r="4310" spans="2:4" ht="16" thickBot="1" x14ac:dyDescent="0.25">
      <c r="B4310" s="4">
        <v>4305</v>
      </c>
      <c r="C4310" s="4">
        <v>202.03889372922231</v>
      </c>
      <c r="D4310" s="45"/>
    </row>
    <row r="4311" spans="2:4" ht="16" thickBot="1" x14ac:dyDescent="0.25">
      <c r="B4311" s="5">
        <v>4306</v>
      </c>
      <c r="C4311" s="5">
        <v>484.94737924625372</v>
      </c>
      <c r="D4311" s="45"/>
    </row>
    <row r="4312" spans="2:4" ht="16" thickBot="1" x14ac:dyDescent="0.25">
      <c r="B4312" s="4">
        <v>4307</v>
      </c>
      <c r="C4312" s="4">
        <v>656.16010305136479</v>
      </c>
      <c r="D4312" s="45"/>
    </row>
    <row r="4313" spans="2:4" ht="16" thickBot="1" x14ac:dyDescent="0.25">
      <c r="B4313" s="5">
        <v>4308</v>
      </c>
      <c r="C4313" s="5">
        <v>264.97607982068109</v>
      </c>
      <c r="D4313" s="45"/>
    </row>
    <row r="4314" spans="2:4" ht="16" thickBot="1" x14ac:dyDescent="0.25">
      <c r="B4314" s="4">
        <v>4309</v>
      </c>
      <c r="C4314" s="4">
        <v>139.37009767835403</v>
      </c>
      <c r="D4314" s="45"/>
    </row>
    <row r="4315" spans="2:4" ht="16" thickBot="1" x14ac:dyDescent="0.25">
      <c r="B4315" s="5">
        <v>4310</v>
      </c>
      <c r="C4315" s="5">
        <v>341.49882870434533</v>
      </c>
      <c r="D4315" s="45"/>
    </row>
    <row r="4316" spans="2:4" ht="16" thickBot="1" x14ac:dyDescent="0.25">
      <c r="B4316" s="4">
        <v>4311</v>
      </c>
      <c r="C4316" s="4">
        <v>109.37858391685873</v>
      </c>
      <c r="D4316" s="45"/>
    </row>
    <row r="4317" spans="2:4" ht="16" thickBot="1" x14ac:dyDescent="0.25">
      <c r="B4317" s="5">
        <v>4312</v>
      </c>
      <c r="C4317" s="5">
        <v>60.689084000178553</v>
      </c>
      <c r="D4317" s="45"/>
    </row>
    <row r="4318" spans="2:4" ht="16" thickBot="1" x14ac:dyDescent="0.25">
      <c r="B4318" s="4">
        <v>4313</v>
      </c>
      <c r="C4318" s="4">
        <v>92.319745987482932</v>
      </c>
      <c r="D4318" s="45"/>
    </row>
    <row r="4319" spans="2:4" ht="16" thickBot="1" x14ac:dyDescent="0.25">
      <c r="B4319" s="5">
        <v>4314</v>
      </c>
      <c r="C4319" s="5">
        <v>125.18830612263469</v>
      </c>
      <c r="D4319" s="45"/>
    </row>
    <row r="4320" spans="2:4" ht="16" thickBot="1" x14ac:dyDescent="0.25">
      <c r="B4320" s="4">
        <v>4315</v>
      </c>
      <c r="C4320" s="4">
        <v>130.17905738691158</v>
      </c>
      <c r="D4320" s="45"/>
    </row>
    <row r="4321" spans="2:4" ht="16" thickBot="1" x14ac:dyDescent="0.25">
      <c r="B4321" s="5">
        <v>4316</v>
      </c>
      <c r="C4321" s="5">
        <v>80.832704989328249</v>
      </c>
      <c r="D4321" s="45"/>
    </row>
    <row r="4322" spans="2:4" ht="16" thickBot="1" x14ac:dyDescent="0.25">
      <c r="B4322" s="4">
        <v>4317</v>
      </c>
      <c r="C4322" s="4">
        <v>132.1855597034133</v>
      </c>
      <c r="D4322" s="45"/>
    </row>
    <row r="4323" spans="2:4" ht="16" thickBot="1" x14ac:dyDescent="0.25">
      <c r="B4323" s="5">
        <v>4318</v>
      </c>
      <c r="C4323" s="5">
        <v>93.609332132256355</v>
      </c>
      <c r="D4323" s="45"/>
    </row>
    <row r="4324" spans="2:4" ht="16" thickBot="1" x14ac:dyDescent="0.25">
      <c r="B4324" s="4">
        <v>4319</v>
      </c>
      <c r="C4324" s="4">
        <v>113.54813853652631</v>
      </c>
      <c r="D4324" s="45"/>
    </row>
    <row r="4325" spans="2:4" ht="16" thickBot="1" x14ac:dyDescent="0.25">
      <c r="B4325" s="5">
        <v>4320</v>
      </c>
      <c r="C4325" s="5">
        <v>182.98362902827199</v>
      </c>
      <c r="D4325" s="45"/>
    </row>
    <row r="4326" spans="2:4" ht="16" thickBot="1" x14ac:dyDescent="0.25">
      <c r="B4326" s="4">
        <v>4321</v>
      </c>
      <c r="C4326" s="4">
        <v>92.769082548641904</v>
      </c>
      <c r="D4326" s="45"/>
    </row>
    <row r="4327" spans="2:4" ht="16" thickBot="1" x14ac:dyDescent="0.25">
      <c r="B4327" s="5">
        <v>4322</v>
      </c>
      <c r="C4327" s="5">
        <v>91.55630881544144</v>
      </c>
      <c r="D4327" s="45"/>
    </row>
    <row r="4328" spans="2:4" ht="16" thickBot="1" x14ac:dyDescent="0.25">
      <c r="B4328" s="4">
        <v>4323</v>
      </c>
      <c r="C4328" s="4">
        <v>83.19552292427187</v>
      </c>
      <c r="D4328" s="45"/>
    </row>
    <row r="4329" spans="2:4" ht="16" thickBot="1" x14ac:dyDescent="0.25">
      <c r="B4329" s="5">
        <v>4324</v>
      </c>
      <c r="C4329" s="5">
        <v>97.298988810434253</v>
      </c>
      <c r="D4329" s="45"/>
    </row>
    <row r="4330" spans="2:4" ht="16" thickBot="1" x14ac:dyDescent="0.25">
      <c r="B4330" s="4">
        <v>4325</v>
      </c>
      <c r="C4330" s="4">
        <v>311.46638060916109</v>
      </c>
      <c r="D4330" s="45"/>
    </row>
    <row r="4331" spans="2:4" ht="16" thickBot="1" x14ac:dyDescent="0.25">
      <c r="B4331" s="5">
        <v>4326</v>
      </c>
      <c r="C4331" s="5">
        <v>298.77050496195233</v>
      </c>
      <c r="D4331" s="45"/>
    </row>
    <row r="4332" spans="2:4" ht="16" thickBot="1" x14ac:dyDescent="0.25">
      <c r="B4332" s="4">
        <v>4327</v>
      </c>
      <c r="C4332" s="4">
        <v>136.46322891635509</v>
      </c>
      <c r="D4332" s="45"/>
    </row>
    <row r="4333" spans="2:4" ht="16" thickBot="1" x14ac:dyDescent="0.25">
      <c r="B4333" s="5">
        <v>4328</v>
      </c>
      <c r="C4333" s="5">
        <v>198.25936958935054</v>
      </c>
      <c r="D4333" s="45"/>
    </row>
    <row r="4334" spans="2:4" ht="16" thickBot="1" x14ac:dyDescent="0.25">
      <c r="B4334" s="4">
        <v>4329</v>
      </c>
      <c r="C4334" s="4">
        <v>213.28584780067757</v>
      </c>
      <c r="D4334" s="45"/>
    </row>
    <row r="4335" spans="2:4" ht="16" thickBot="1" x14ac:dyDescent="0.25">
      <c r="B4335" s="5">
        <v>4330</v>
      </c>
      <c r="C4335" s="5">
        <v>205.77297947818218</v>
      </c>
      <c r="D4335" s="45"/>
    </row>
    <row r="4336" spans="2:4" ht="16" thickBot="1" x14ac:dyDescent="0.25">
      <c r="B4336" s="4">
        <v>4331</v>
      </c>
      <c r="C4336" s="4">
        <v>154.25258975497459</v>
      </c>
      <c r="D4336" s="45"/>
    </row>
    <row r="4337" spans="2:4" ht="16" thickBot="1" x14ac:dyDescent="0.25">
      <c r="B4337" s="5">
        <v>4332</v>
      </c>
      <c r="C4337" s="5">
        <v>124.26473173392496</v>
      </c>
      <c r="D4337" s="45"/>
    </row>
    <row r="4338" spans="2:4" ht="16" thickBot="1" x14ac:dyDescent="0.25">
      <c r="B4338" s="4">
        <v>4333</v>
      </c>
      <c r="C4338" s="4">
        <v>114.24794038511838</v>
      </c>
      <c r="D4338" s="45"/>
    </row>
    <row r="4339" spans="2:4" ht="16" thickBot="1" x14ac:dyDescent="0.25">
      <c r="B4339" s="5">
        <v>4334</v>
      </c>
      <c r="C4339" s="5">
        <v>285.92578368205903</v>
      </c>
      <c r="D4339" s="45"/>
    </row>
    <row r="4340" spans="2:4" ht="16" thickBot="1" x14ac:dyDescent="0.25">
      <c r="B4340" s="4">
        <v>4335</v>
      </c>
      <c r="C4340" s="4">
        <v>110.89138953612159</v>
      </c>
      <c r="D4340" s="45"/>
    </row>
    <row r="4341" spans="2:4" ht="16" thickBot="1" x14ac:dyDescent="0.25">
      <c r="B4341" s="5">
        <v>4336</v>
      </c>
      <c r="C4341" s="5">
        <v>194.8625494266376</v>
      </c>
      <c r="D4341" s="45"/>
    </row>
    <row r="4342" spans="2:4" ht="16" thickBot="1" x14ac:dyDescent="0.25">
      <c r="B4342" s="4">
        <v>4337</v>
      </c>
      <c r="C4342" s="4">
        <v>149.31512013838383</v>
      </c>
      <c r="D4342" s="45"/>
    </row>
    <row r="4343" spans="2:4" ht="16" thickBot="1" x14ac:dyDescent="0.25">
      <c r="B4343" s="5">
        <v>4338</v>
      </c>
      <c r="C4343" s="5">
        <v>246.86898397983924</v>
      </c>
      <c r="D4343" s="45"/>
    </row>
    <row r="4344" spans="2:4" ht="16" thickBot="1" x14ac:dyDescent="0.25">
      <c r="B4344" s="4">
        <v>4339</v>
      </c>
      <c r="C4344" s="4">
        <v>210.72663484695246</v>
      </c>
      <c r="D4344" s="45"/>
    </row>
    <row r="4345" spans="2:4" ht="16" thickBot="1" x14ac:dyDescent="0.25">
      <c r="B4345" s="5">
        <v>4340</v>
      </c>
      <c r="C4345" s="5">
        <v>198.77365891941926</v>
      </c>
      <c r="D4345" s="45"/>
    </row>
    <row r="4346" spans="2:4" ht="16" thickBot="1" x14ac:dyDescent="0.25">
      <c r="B4346" s="4">
        <v>4341</v>
      </c>
      <c r="C4346" s="4">
        <v>139.04957647703884</v>
      </c>
      <c r="D4346" s="45"/>
    </row>
    <row r="4347" spans="2:4" ht="16" thickBot="1" x14ac:dyDescent="0.25">
      <c r="B4347" s="5">
        <v>4342</v>
      </c>
      <c r="C4347" s="5">
        <v>179.42412298046497</v>
      </c>
      <c r="D4347" s="45"/>
    </row>
    <row r="4348" spans="2:4" ht="16" thickBot="1" x14ac:dyDescent="0.25">
      <c r="B4348" s="4">
        <v>4343</v>
      </c>
      <c r="C4348" s="4">
        <v>86.970268071448288</v>
      </c>
      <c r="D4348" s="45"/>
    </row>
    <row r="4349" spans="2:4" ht="16" thickBot="1" x14ac:dyDescent="0.25">
      <c r="B4349" s="5">
        <v>4344</v>
      </c>
      <c r="C4349" s="5">
        <v>98.458621914766695</v>
      </c>
      <c r="D4349" s="45"/>
    </row>
    <row r="4350" spans="2:4" ht="16" thickBot="1" x14ac:dyDescent="0.25">
      <c r="B4350" s="4">
        <v>4345</v>
      </c>
      <c r="C4350" s="4">
        <v>280.0451512303224</v>
      </c>
      <c r="D4350" s="45"/>
    </row>
    <row r="4351" spans="2:4" ht="16" thickBot="1" x14ac:dyDescent="0.25">
      <c r="B4351" s="5">
        <v>4346</v>
      </c>
      <c r="C4351" s="5">
        <v>66.810041410862922</v>
      </c>
      <c r="D4351" s="45"/>
    </row>
    <row r="4352" spans="2:4" ht="16" thickBot="1" x14ac:dyDescent="0.25">
      <c r="B4352" s="4">
        <v>4347</v>
      </c>
      <c r="C4352" s="4">
        <v>241.04097600851816</v>
      </c>
      <c r="D4352" s="45"/>
    </row>
    <row r="4353" spans="2:4" ht="16" thickBot="1" x14ac:dyDescent="0.25">
      <c r="B4353" s="5">
        <v>4348</v>
      </c>
      <c r="C4353" s="5">
        <v>186.35294600918829</v>
      </c>
      <c r="D4353" s="45"/>
    </row>
    <row r="4354" spans="2:4" ht="16" thickBot="1" x14ac:dyDescent="0.25">
      <c r="B4354" s="4">
        <v>4349</v>
      </c>
      <c r="C4354" s="4">
        <v>119.49235056833948</v>
      </c>
      <c r="D4354" s="45"/>
    </row>
    <row r="4355" spans="2:4" ht="16" thickBot="1" x14ac:dyDescent="0.25">
      <c r="B4355" s="5">
        <v>4350</v>
      </c>
      <c r="C4355" s="5">
        <v>88.542157700861935</v>
      </c>
      <c r="D4355" s="45"/>
    </row>
    <row r="4356" spans="2:4" ht="16" thickBot="1" x14ac:dyDescent="0.25">
      <c r="B4356" s="4">
        <v>4351</v>
      </c>
      <c r="C4356" s="4">
        <v>320.40749664508837</v>
      </c>
      <c r="D4356" s="45"/>
    </row>
    <row r="4357" spans="2:4" ht="16" thickBot="1" x14ac:dyDescent="0.25">
      <c r="B4357" s="5">
        <v>4352</v>
      </c>
      <c r="C4357" s="5">
        <v>251.80205542524808</v>
      </c>
      <c r="D4357" s="45"/>
    </row>
    <row r="4358" spans="2:4" ht="16" thickBot="1" x14ac:dyDescent="0.25">
      <c r="B4358" s="4">
        <v>4353</v>
      </c>
      <c r="C4358" s="4">
        <v>150.93587565060463</v>
      </c>
      <c r="D4358" s="45"/>
    </row>
    <row r="4359" spans="2:4" ht="16" thickBot="1" x14ac:dyDescent="0.25">
      <c r="B4359" s="5">
        <v>4354</v>
      </c>
      <c r="C4359" s="5">
        <v>109.10519489610186</v>
      </c>
      <c r="D4359" s="45"/>
    </row>
    <row r="4360" spans="2:4" ht="16" thickBot="1" x14ac:dyDescent="0.25">
      <c r="B4360" s="4">
        <v>4355</v>
      </c>
      <c r="C4360" s="4">
        <v>51.723398086492715</v>
      </c>
      <c r="D4360" s="45"/>
    </row>
    <row r="4361" spans="2:4" ht="16" thickBot="1" x14ac:dyDescent="0.25">
      <c r="B4361" s="5">
        <v>4356</v>
      </c>
      <c r="C4361" s="5">
        <v>165.90337597277355</v>
      </c>
      <c r="D4361" s="45"/>
    </row>
    <row r="4362" spans="2:4" ht="16" thickBot="1" x14ac:dyDescent="0.25">
      <c r="B4362" s="4">
        <v>4357</v>
      </c>
      <c r="C4362" s="4">
        <v>247.94311671251293</v>
      </c>
      <c r="D4362" s="45"/>
    </row>
    <row r="4363" spans="2:4" ht="16" thickBot="1" x14ac:dyDescent="0.25">
      <c r="B4363" s="5">
        <v>4358</v>
      </c>
      <c r="C4363" s="5">
        <v>134.11838642326552</v>
      </c>
      <c r="D4363" s="45"/>
    </row>
    <row r="4364" spans="2:4" ht="16" thickBot="1" x14ac:dyDescent="0.25">
      <c r="B4364" s="4">
        <v>4359</v>
      </c>
      <c r="C4364" s="4">
        <v>130.17857070375987</v>
      </c>
      <c r="D4364" s="45"/>
    </row>
    <row r="4365" spans="2:4" ht="16" thickBot="1" x14ac:dyDescent="0.25">
      <c r="B4365" s="5">
        <v>4360</v>
      </c>
      <c r="C4365" s="5">
        <v>357.39630156742714</v>
      </c>
      <c r="D4365" s="45"/>
    </row>
    <row r="4366" spans="2:4" ht="16" thickBot="1" x14ac:dyDescent="0.25">
      <c r="B4366" s="4">
        <v>4361</v>
      </c>
      <c r="C4366" s="4">
        <v>170.16272392045167</v>
      </c>
      <c r="D4366" s="45"/>
    </row>
    <row r="4367" spans="2:4" ht="16" thickBot="1" x14ac:dyDescent="0.25">
      <c r="B4367" s="5">
        <v>4362</v>
      </c>
      <c r="C4367" s="5">
        <v>127.75493429833512</v>
      </c>
      <c r="D4367" s="45"/>
    </row>
    <row r="4368" spans="2:4" ht="16" thickBot="1" x14ac:dyDescent="0.25">
      <c r="B4368" s="4">
        <v>4363</v>
      </c>
      <c r="C4368" s="4">
        <v>182.60937619358609</v>
      </c>
      <c r="D4368" s="45"/>
    </row>
    <row r="4369" spans="2:4" ht="16" thickBot="1" x14ac:dyDescent="0.25">
      <c r="B4369" s="5">
        <v>4364</v>
      </c>
      <c r="C4369" s="5">
        <v>138.49319786890359</v>
      </c>
      <c r="D4369" s="45"/>
    </row>
    <row r="4370" spans="2:4" ht="16" thickBot="1" x14ac:dyDescent="0.25">
      <c r="B4370" s="4">
        <v>4365</v>
      </c>
      <c r="C4370" s="4">
        <v>90.144380329462663</v>
      </c>
      <c r="D4370" s="45"/>
    </row>
    <row r="4371" spans="2:4" ht="16" thickBot="1" x14ac:dyDescent="0.25">
      <c r="B4371" s="5">
        <v>4366</v>
      </c>
      <c r="C4371" s="5">
        <v>121.27838042267811</v>
      </c>
      <c r="D4371" s="45"/>
    </row>
    <row r="4372" spans="2:4" ht="16" thickBot="1" x14ac:dyDescent="0.25">
      <c r="B4372" s="4">
        <v>4367</v>
      </c>
      <c r="C4372" s="4">
        <v>150.08197213304976</v>
      </c>
      <c r="D4372" s="45"/>
    </row>
    <row r="4373" spans="2:4" ht="16" thickBot="1" x14ac:dyDescent="0.25">
      <c r="B4373" s="5">
        <v>4368</v>
      </c>
      <c r="C4373" s="5">
        <v>99.487234409106051</v>
      </c>
      <c r="D4373" s="45"/>
    </row>
    <row r="4374" spans="2:4" ht="16" thickBot="1" x14ac:dyDescent="0.25">
      <c r="B4374" s="4">
        <v>4369</v>
      </c>
      <c r="C4374" s="4">
        <v>122.5878586008003</v>
      </c>
      <c r="D4374" s="45"/>
    </row>
    <row r="4375" spans="2:4" ht="16" thickBot="1" x14ac:dyDescent="0.25">
      <c r="B4375" s="5">
        <v>4370</v>
      </c>
      <c r="C4375" s="5">
        <v>212.88313323892672</v>
      </c>
      <c r="D4375" s="45"/>
    </row>
    <row r="4376" spans="2:4" ht="16" thickBot="1" x14ac:dyDescent="0.25">
      <c r="B4376" s="4">
        <v>4371</v>
      </c>
      <c r="C4376" s="4">
        <v>379.47666104988298</v>
      </c>
      <c r="D4376" s="45"/>
    </row>
    <row r="4377" spans="2:4" ht="16" thickBot="1" x14ac:dyDescent="0.25">
      <c r="B4377" s="5">
        <v>4372</v>
      </c>
      <c r="C4377" s="5">
        <v>81.202446985973722</v>
      </c>
      <c r="D4377" s="45"/>
    </row>
    <row r="4378" spans="2:4" ht="16" thickBot="1" x14ac:dyDescent="0.25">
      <c r="B4378" s="4">
        <v>4373</v>
      </c>
      <c r="C4378" s="4">
        <v>126.91728545353297</v>
      </c>
      <c r="D4378" s="45"/>
    </row>
    <row r="4379" spans="2:4" ht="16" thickBot="1" x14ac:dyDescent="0.25">
      <c r="B4379" s="5">
        <v>4374</v>
      </c>
      <c r="C4379" s="5">
        <v>101.63949229938301</v>
      </c>
      <c r="D4379" s="45"/>
    </row>
    <row r="4380" spans="2:4" ht="16" thickBot="1" x14ac:dyDescent="0.25">
      <c r="B4380" s="4">
        <v>4375</v>
      </c>
      <c r="C4380" s="4">
        <v>71.849297625922148</v>
      </c>
      <c r="D4380" s="45"/>
    </row>
    <row r="4381" spans="2:4" ht="16" thickBot="1" x14ac:dyDescent="0.25">
      <c r="B4381" s="5">
        <v>4376</v>
      </c>
      <c r="C4381" s="5">
        <v>113.73152403010612</v>
      </c>
      <c r="D4381" s="45"/>
    </row>
    <row r="4382" spans="2:4" ht="16" thickBot="1" x14ac:dyDescent="0.25">
      <c r="B4382" s="4">
        <v>4377</v>
      </c>
      <c r="C4382" s="4">
        <v>116.66787489107854</v>
      </c>
      <c r="D4382" s="45"/>
    </row>
    <row r="4383" spans="2:4" ht="16" thickBot="1" x14ac:dyDescent="0.25">
      <c r="B4383" s="5">
        <v>4378</v>
      </c>
      <c r="C4383" s="5">
        <v>376.70867817938284</v>
      </c>
      <c r="D4383" s="45"/>
    </row>
    <row r="4384" spans="2:4" ht="16" thickBot="1" x14ac:dyDescent="0.25">
      <c r="B4384" s="4">
        <v>4379</v>
      </c>
      <c r="C4384" s="4">
        <v>298.61153684576374</v>
      </c>
      <c r="D4384" s="45"/>
    </row>
    <row r="4385" spans="2:4" ht="16" thickBot="1" x14ac:dyDescent="0.25">
      <c r="B4385" s="5">
        <v>4380</v>
      </c>
      <c r="C4385" s="5">
        <v>199.43606885934187</v>
      </c>
      <c r="D4385" s="45"/>
    </row>
    <row r="4386" spans="2:4" ht="16" thickBot="1" x14ac:dyDescent="0.25">
      <c r="B4386" s="4">
        <v>4381</v>
      </c>
      <c r="C4386" s="4">
        <v>236.75353917101262</v>
      </c>
      <c r="D4386" s="45"/>
    </row>
    <row r="4387" spans="2:4" ht="16" thickBot="1" x14ac:dyDescent="0.25">
      <c r="B4387" s="5">
        <v>4382</v>
      </c>
      <c r="C4387" s="5">
        <v>101.05500275658882</v>
      </c>
      <c r="D4387" s="45"/>
    </row>
    <row r="4388" spans="2:4" ht="16" thickBot="1" x14ac:dyDescent="0.25">
      <c r="B4388" s="4">
        <v>4383</v>
      </c>
      <c r="C4388" s="4">
        <v>105.57894351235373</v>
      </c>
      <c r="D4388" s="45"/>
    </row>
    <row r="4389" spans="2:4" ht="16" thickBot="1" x14ac:dyDescent="0.25">
      <c r="B4389" s="5">
        <v>4384</v>
      </c>
      <c r="C4389" s="5">
        <v>128.41362649865113</v>
      </c>
      <c r="D4389" s="45"/>
    </row>
    <row r="4390" spans="2:4" ht="16" thickBot="1" x14ac:dyDescent="0.25">
      <c r="B4390" s="4">
        <v>4385</v>
      </c>
      <c r="C4390" s="4">
        <v>251.0723555470887</v>
      </c>
      <c r="D4390" s="45"/>
    </row>
    <row r="4391" spans="2:4" ht="16" thickBot="1" x14ac:dyDescent="0.25">
      <c r="B4391" s="5">
        <v>4386</v>
      </c>
      <c r="C4391" s="5">
        <v>57.818179823241202</v>
      </c>
      <c r="D4391" s="45"/>
    </row>
    <row r="4392" spans="2:4" ht="16" thickBot="1" x14ac:dyDescent="0.25">
      <c r="B4392" s="4">
        <v>4387</v>
      </c>
      <c r="C4392" s="4">
        <v>98.781482944655011</v>
      </c>
      <c r="D4392" s="45"/>
    </row>
    <row r="4393" spans="2:4" ht="16" thickBot="1" x14ac:dyDescent="0.25">
      <c r="B4393" s="5">
        <v>4388</v>
      </c>
      <c r="C4393" s="5">
        <v>308.8630327218753</v>
      </c>
      <c r="D4393" s="45"/>
    </row>
    <row r="4394" spans="2:4" ht="16" thickBot="1" x14ac:dyDescent="0.25">
      <c r="B4394" s="4">
        <v>4389</v>
      </c>
      <c r="C4394" s="4">
        <v>225.25120389222823</v>
      </c>
      <c r="D4394" s="45"/>
    </row>
    <row r="4395" spans="2:4" ht="16" thickBot="1" x14ac:dyDescent="0.25">
      <c r="B4395" s="5">
        <v>4390</v>
      </c>
      <c r="C4395" s="5">
        <v>75.870478625638626</v>
      </c>
      <c r="D4395" s="45"/>
    </row>
    <row r="4396" spans="2:4" ht="16" thickBot="1" x14ac:dyDescent="0.25">
      <c r="B4396" s="4">
        <v>4391</v>
      </c>
      <c r="C4396" s="4">
        <v>130.87922979212243</v>
      </c>
      <c r="D4396" s="45"/>
    </row>
    <row r="4397" spans="2:4" ht="16" thickBot="1" x14ac:dyDescent="0.25">
      <c r="B4397" s="5">
        <v>4392</v>
      </c>
      <c r="C4397" s="5">
        <v>202.31583536641813</v>
      </c>
      <c r="D4397" s="45"/>
    </row>
    <row r="4398" spans="2:4" ht="16" thickBot="1" x14ac:dyDescent="0.25">
      <c r="B4398" s="4">
        <v>4393</v>
      </c>
      <c r="C4398" s="4">
        <v>190.68997235148447</v>
      </c>
      <c r="D4398" s="45"/>
    </row>
    <row r="4399" spans="2:4" ht="16" thickBot="1" x14ac:dyDescent="0.25">
      <c r="B4399" s="5">
        <v>4394</v>
      </c>
      <c r="C4399" s="5">
        <v>116.44000323340238</v>
      </c>
      <c r="D4399" s="45"/>
    </row>
    <row r="4400" spans="2:4" ht="16" thickBot="1" x14ac:dyDescent="0.25">
      <c r="B4400" s="4">
        <v>4395</v>
      </c>
      <c r="C4400" s="4">
        <v>283.55811472680034</v>
      </c>
      <c r="D4400" s="45"/>
    </row>
    <row r="4401" spans="2:4" ht="16" thickBot="1" x14ac:dyDescent="0.25">
      <c r="B4401" s="5">
        <v>4396</v>
      </c>
      <c r="C4401" s="5">
        <v>156.15434272311251</v>
      </c>
      <c r="D4401" s="45"/>
    </row>
    <row r="4402" spans="2:4" ht="16" thickBot="1" x14ac:dyDescent="0.25">
      <c r="B4402" s="4">
        <v>4397</v>
      </c>
      <c r="C4402" s="4">
        <v>170.05605593620177</v>
      </c>
      <c r="D4402" s="45"/>
    </row>
    <row r="4403" spans="2:4" ht="16" thickBot="1" x14ac:dyDescent="0.25">
      <c r="B4403" s="5">
        <v>4398</v>
      </c>
      <c r="C4403" s="5">
        <v>265.77082074431524</v>
      </c>
      <c r="D4403" s="45"/>
    </row>
    <row r="4404" spans="2:4" ht="16" thickBot="1" x14ac:dyDescent="0.25">
      <c r="B4404" s="4">
        <v>4399</v>
      </c>
      <c r="C4404" s="4">
        <v>185.17675213547906</v>
      </c>
      <c r="D4404" s="45"/>
    </row>
    <row r="4405" spans="2:4" ht="16" thickBot="1" x14ac:dyDescent="0.25">
      <c r="B4405" s="5">
        <v>4400</v>
      </c>
      <c r="C4405" s="5">
        <v>137.68858668993957</v>
      </c>
      <c r="D4405" s="45"/>
    </row>
    <row r="4406" spans="2:4" ht="16" thickBot="1" x14ac:dyDescent="0.25">
      <c r="B4406" s="4">
        <v>4401</v>
      </c>
      <c r="C4406" s="4">
        <v>123.16509098099893</v>
      </c>
      <c r="D4406" s="45"/>
    </row>
    <row r="4407" spans="2:4" ht="16" thickBot="1" x14ac:dyDescent="0.25">
      <c r="B4407" s="5">
        <v>4402</v>
      </c>
      <c r="C4407" s="5">
        <v>235.26054713178829</v>
      </c>
      <c r="D4407" s="45"/>
    </row>
    <row r="4408" spans="2:4" ht="16" thickBot="1" x14ac:dyDescent="0.25">
      <c r="B4408" s="4">
        <v>4403</v>
      </c>
      <c r="C4408" s="4">
        <v>146.52799983959318</v>
      </c>
      <c r="D4408" s="45"/>
    </row>
    <row r="4409" spans="2:4" ht="16" thickBot="1" x14ac:dyDescent="0.25">
      <c r="B4409" s="5">
        <v>4404</v>
      </c>
      <c r="C4409" s="5">
        <v>619.38532684042377</v>
      </c>
      <c r="D4409" s="45"/>
    </row>
    <row r="4410" spans="2:4" ht="16" thickBot="1" x14ac:dyDescent="0.25">
      <c r="B4410" s="4">
        <v>4405</v>
      </c>
      <c r="C4410" s="4">
        <v>150.94788102496602</v>
      </c>
      <c r="D4410" s="45"/>
    </row>
    <row r="4411" spans="2:4" ht="16" thickBot="1" x14ac:dyDescent="0.25">
      <c r="B4411" s="5">
        <v>4406</v>
      </c>
      <c r="C4411" s="5">
        <v>173.35399808700021</v>
      </c>
      <c r="D4411" s="45"/>
    </row>
    <row r="4412" spans="2:4" ht="16" thickBot="1" x14ac:dyDescent="0.25">
      <c r="B4412" s="4">
        <v>4407</v>
      </c>
      <c r="C4412" s="4">
        <v>250.99749023033593</v>
      </c>
      <c r="D4412" s="45"/>
    </row>
    <row r="4413" spans="2:4" ht="16" thickBot="1" x14ac:dyDescent="0.25">
      <c r="B4413" s="5">
        <v>4408</v>
      </c>
      <c r="C4413" s="5">
        <v>340.40898859554869</v>
      </c>
      <c r="D4413" s="45"/>
    </row>
    <row r="4414" spans="2:4" ht="16" thickBot="1" x14ac:dyDescent="0.25">
      <c r="B4414" s="4">
        <v>4409</v>
      </c>
      <c r="C4414" s="4">
        <v>120.0342163635521</v>
      </c>
      <c r="D4414" s="45"/>
    </row>
    <row r="4415" spans="2:4" ht="16" thickBot="1" x14ac:dyDescent="0.25">
      <c r="B4415" s="5">
        <v>4410</v>
      </c>
      <c r="C4415" s="5">
        <v>274.8108530277608</v>
      </c>
      <c r="D4415" s="45"/>
    </row>
    <row r="4416" spans="2:4" ht="16" thickBot="1" x14ac:dyDescent="0.25">
      <c r="B4416" s="4">
        <v>4411</v>
      </c>
      <c r="C4416" s="4">
        <v>141.12442207881639</v>
      </c>
      <c r="D4416" s="45"/>
    </row>
    <row r="4417" spans="2:4" ht="16" thickBot="1" x14ac:dyDescent="0.25">
      <c r="B4417" s="5">
        <v>4412</v>
      </c>
      <c r="C4417" s="5">
        <v>401.91268620892413</v>
      </c>
      <c r="D4417" s="45"/>
    </row>
    <row r="4418" spans="2:4" ht="16" thickBot="1" x14ac:dyDescent="0.25">
      <c r="B4418" s="4">
        <v>4413</v>
      </c>
      <c r="C4418" s="4">
        <v>131.53532364731291</v>
      </c>
      <c r="D4418" s="45"/>
    </row>
    <row r="4419" spans="2:4" ht="16" thickBot="1" x14ac:dyDescent="0.25">
      <c r="B4419" s="5">
        <v>4414</v>
      </c>
      <c r="C4419" s="5">
        <v>83.643079854002849</v>
      </c>
      <c r="D4419" s="45"/>
    </row>
    <row r="4420" spans="2:4" ht="16" thickBot="1" x14ac:dyDescent="0.25">
      <c r="B4420" s="4">
        <v>4415</v>
      </c>
      <c r="C4420" s="4">
        <v>414.18368150717242</v>
      </c>
      <c r="D4420" s="45"/>
    </row>
    <row r="4421" spans="2:4" ht="16" thickBot="1" x14ac:dyDescent="0.25">
      <c r="B4421" s="5">
        <v>4416</v>
      </c>
      <c r="C4421" s="5">
        <v>204.93066131732013</v>
      </c>
      <c r="D4421" s="45"/>
    </row>
    <row r="4422" spans="2:4" ht="16" thickBot="1" x14ac:dyDescent="0.25">
      <c r="B4422" s="4">
        <v>4417</v>
      </c>
      <c r="C4422" s="4">
        <v>185.53381046605233</v>
      </c>
      <c r="D4422" s="45"/>
    </row>
    <row r="4423" spans="2:4" ht="16" thickBot="1" x14ac:dyDescent="0.25">
      <c r="B4423" s="5">
        <v>4418</v>
      </c>
      <c r="C4423" s="5">
        <v>159.06785019849178</v>
      </c>
      <c r="D4423" s="45"/>
    </row>
    <row r="4424" spans="2:4" ht="16" thickBot="1" x14ac:dyDescent="0.25">
      <c r="B4424" s="4">
        <v>4419</v>
      </c>
      <c r="C4424" s="4">
        <v>148.86026339803843</v>
      </c>
      <c r="D4424" s="45"/>
    </row>
    <row r="4425" spans="2:4" ht="16" thickBot="1" x14ac:dyDescent="0.25">
      <c r="B4425" s="5">
        <v>4420</v>
      </c>
      <c r="C4425" s="5">
        <v>109.09061782637562</v>
      </c>
      <c r="D4425" s="45"/>
    </row>
    <row r="4426" spans="2:4" ht="16" thickBot="1" x14ac:dyDescent="0.25">
      <c r="B4426" s="4">
        <v>4421</v>
      </c>
      <c r="C4426" s="4">
        <v>147.45511548475309</v>
      </c>
      <c r="D4426" s="45"/>
    </row>
    <row r="4427" spans="2:4" ht="16" thickBot="1" x14ac:dyDescent="0.25">
      <c r="B4427" s="5">
        <v>4422</v>
      </c>
      <c r="C4427" s="5">
        <v>136.28311458986491</v>
      </c>
      <c r="D4427" s="45"/>
    </row>
    <row r="4428" spans="2:4" ht="16" thickBot="1" x14ac:dyDescent="0.25">
      <c r="B4428" s="4">
        <v>4423</v>
      </c>
      <c r="C4428" s="4">
        <v>239.17108912545353</v>
      </c>
      <c r="D4428" s="45"/>
    </row>
    <row r="4429" spans="2:4" ht="16" thickBot="1" x14ac:dyDescent="0.25">
      <c r="B4429" s="5">
        <v>4424</v>
      </c>
      <c r="C4429" s="5">
        <v>148.19025910328816</v>
      </c>
      <c r="D4429" s="45"/>
    </row>
    <row r="4430" spans="2:4" ht="16" thickBot="1" x14ac:dyDescent="0.25">
      <c r="B4430" s="4">
        <v>4425</v>
      </c>
      <c r="C4430" s="4">
        <v>190.26068286988465</v>
      </c>
      <c r="D4430" s="45"/>
    </row>
    <row r="4431" spans="2:4" ht="16" thickBot="1" x14ac:dyDescent="0.25">
      <c r="B4431" s="5">
        <v>4426</v>
      </c>
      <c r="C4431" s="5">
        <v>149.99514487353997</v>
      </c>
      <c r="D4431" s="45"/>
    </row>
    <row r="4432" spans="2:4" ht="16" thickBot="1" x14ac:dyDescent="0.25">
      <c r="B4432" s="4">
        <v>4427</v>
      </c>
      <c r="C4432" s="4">
        <v>268.23901601740084</v>
      </c>
      <c r="D4432" s="45"/>
    </row>
    <row r="4433" spans="2:4" ht="16" thickBot="1" x14ac:dyDescent="0.25">
      <c r="B4433" s="5">
        <v>4428</v>
      </c>
      <c r="C4433" s="5">
        <v>84.660592259129217</v>
      </c>
      <c r="D4433" s="45"/>
    </row>
    <row r="4434" spans="2:4" ht="16" thickBot="1" x14ac:dyDescent="0.25">
      <c r="B4434" s="4">
        <v>4429</v>
      </c>
      <c r="C4434" s="4">
        <v>119.8058071634175</v>
      </c>
      <c r="D4434" s="45"/>
    </row>
    <row r="4435" spans="2:4" ht="16" thickBot="1" x14ac:dyDescent="0.25">
      <c r="B4435" s="5">
        <v>4430</v>
      </c>
      <c r="C4435" s="5">
        <v>146.68507400466066</v>
      </c>
      <c r="D4435" s="45"/>
    </row>
    <row r="4436" spans="2:4" ht="16" thickBot="1" x14ac:dyDescent="0.25">
      <c r="B4436" s="4">
        <v>4431</v>
      </c>
      <c r="C4436" s="4">
        <v>251.10773668477981</v>
      </c>
      <c r="D4436" s="45"/>
    </row>
    <row r="4437" spans="2:4" ht="16" thickBot="1" x14ac:dyDescent="0.25">
      <c r="B4437" s="5">
        <v>4432</v>
      </c>
      <c r="C4437" s="5">
        <v>128.93638276102322</v>
      </c>
      <c r="D4437" s="45"/>
    </row>
    <row r="4438" spans="2:4" ht="16" thickBot="1" x14ac:dyDescent="0.25">
      <c r="B4438" s="4">
        <v>4433</v>
      </c>
      <c r="C4438" s="4">
        <v>81.775079142640138</v>
      </c>
      <c r="D4438" s="45"/>
    </row>
    <row r="4439" spans="2:4" ht="16" thickBot="1" x14ac:dyDescent="0.25">
      <c r="B4439" s="5">
        <v>4434</v>
      </c>
      <c r="C4439" s="5">
        <v>291.59550416923156</v>
      </c>
      <c r="D4439" s="45"/>
    </row>
    <row r="4440" spans="2:4" ht="16" thickBot="1" x14ac:dyDescent="0.25">
      <c r="B4440" s="4">
        <v>4435</v>
      </c>
      <c r="C4440" s="4">
        <v>87.737700942929806</v>
      </c>
      <c r="D4440" s="45"/>
    </row>
    <row r="4441" spans="2:4" ht="16" thickBot="1" x14ac:dyDescent="0.25">
      <c r="B4441" s="5">
        <v>4436</v>
      </c>
      <c r="C4441" s="5">
        <v>113.52421789081708</v>
      </c>
      <c r="D4441" s="45"/>
    </row>
    <row r="4442" spans="2:4" ht="16" thickBot="1" x14ac:dyDescent="0.25">
      <c r="B4442" s="4">
        <v>4437</v>
      </c>
      <c r="C4442" s="4">
        <v>56.57833372291406</v>
      </c>
      <c r="D4442" s="45"/>
    </row>
    <row r="4443" spans="2:4" ht="16" thickBot="1" x14ac:dyDescent="0.25">
      <c r="B4443" s="5">
        <v>4438</v>
      </c>
      <c r="C4443" s="5">
        <v>225.83852641959302</v>
      </c>
      <c r="D4443" s="45"/>
    </row>
    <row r="4444" spans="2:4" ht="16" thickBot="1" x14ac:dyDescent="0.25">
      <c r="B4444" s="4">
        <v>4439</v>
      </c>
      <c r="C4444" s="4">
        <v>346.32435452781391</v>
      </c>
      <c r="D4444" s="45"/>
    </row>
    <row r="4445" spans="2:4" ht="16" thickBot="1" x14ac:dyDescent="0.25">
      <c r="B4445" s="5">
        <v>4440</v>
      </c>
      <c r="C4445" s="5">
        <v>132.92005207780508</v>
      </c>
      <c r="D4445" s="45"/>
    </row>
    <row r="4446" spans="2:4" ht="16" thickBot="1" x14ac:dyDescent="0.25">
      <c r="B4446" s="4">
        <v>4441</v>
      </c>
      <c r="C4446" s="4">
        <v>181.45999892356372</v>
      </c>
      <c r="D4446" s="45"/>
    </row>
    <row r="4447" spans="2:4" ht="16" thickBot="1" x14ac:dyDescent="0.25">
      <c r="B4447" s="5">
        <v>4442</v>
      </c>
      <c r="C4447" s="5">
        <v>78.882037164360611</v>
      </c>
      <c r="D4447" s="45"/>
    </row>
    <row r="4448" spans="2:4" ht="16" thickBot="1" x14ac:dyDescent="0.25">
      <c r="B4448" s="4">
        <v>4443</v>
      </c>
      <c r="C4448" s="4">
        <v>264.41416312079065</v>
      </c>
      <c r="D4448" s="45"/>
    </row>
    <row r="4449" spans="2:4" ht="16" thickBot="1" x14ac:dyDescent="0.25">
      <c r="B4449" s="5">
        <v>4444</v>
      </c>
      <c r="C4449" s="5">
        <v>79.877840100663022</v>
      </c>
      <c r="D4449" s="45"/>
    </row>
    <row r="4450" spans="2:4" ht="16" thickBot="1" x14ac:dyDescent="0.25">
      <c r="B4450" s="4">
        <v>4445</v>
      </c>
      <c r="C4450" s="4">
        <v>182.7565369481926</v>
      </c>
      <c r="D4450" s="45"/>
    </row>
    <row r="4451" spans="2:4" ht="16" thickBot="1" x14ac:dyDescent="0.25">
      <c r="B4451" s="5">
        <v>4446</v>
      </c>
      <c r="C4451" s="5">
        <v>45.275019581475114</v>
      </c>
      <c r="D4451" s="45"/>
    </row>
    <row r="4452" spans="2:4" ht="16" thickBot="1" x14ac:dyDescent="0.25">
      <c r="B4452" s="4">
        <v>4447</v>
      </c>
      <c r="C4452" s="4">
        <v>81.083695512222207</v>
      </c>
      <c r="D4452" s="45"/>
    </row>
    <row r="4453" spans="2:4" ht="16" thickBot="1" x14ac:dyDescent="0.25">
      <c r="B4453" s="5">
        <v>4448</v>
      </c>
      <c r="C4453" s="5">
        <v>208.49163412378726</v>
      </c>
      <c r="D4453" s="45"/>
    </row>
    <row r="4454" spans="2:4" ht="16" thickBot="1" x14ac:dyDescent="0.25">
      <c r="B4454" s="4">
        <v>4449</v>
      </c>
      <c r="C4454" s="4">
        <v>272.04850444666454</v>
      </c>
      <c r="D4454" s="45"/>
    </row>
    <row r="4455" spans="2:4" ht="16" thickBot="1" x14ac:dyDescent="0.25">
      <c r="B4455" s="5">
        <v>4450</v>
      </c>
      <c r="C4455" s="5">
        <v>130.24128392870523</v>
      </c>
      <c r="D4455" s="45"/>
    </row>
    <row r="4456" spans="2:4" ht="16" thickBot="1" x14ac:dyDescent="0.25">
      <c r="B4456" s="4">
        <v>4451</v>
      </c>
      <c r="C4456" s="4">
        <v>167.23766498826083</v>
      </c>
      <c r="D4456" s="45"/>
    </row>
    <row r="4457" spans="2:4" ht="16" thickBot="1" x14ac:dyDescent="0.25">
      <c r="B4457" s="5">
        <v>4452</v>
      </c>
      <c r="C4457" s="5">
        <v>206.54709423456896</v>
      </c>
      <c r="D4457" s="45"/>
    </row>
    <row r="4458" spans="2:4" ht="16" thickBot="1" x14ac:dyDescent="0.25">
      <c r="B4458" s="4">
        <v>4453</v>
      </c>
      <c r="C4458" s="4">
        <v>233.47083284633786</v>
      </c>
      <c r="D4458" s="45"/>
    </row>
    <row r="4459" spans="2:4" ht="16" thickBot="1" x14ac:dyDescent="0.25">
      <c r="B4459" s="5">
        <v>4454</v>
      </c>
      <c r="C4459" s="5">
        <v>287.46285633224136</v>
      </c>
      <c r="D4459" s="45"/>
    </row>
    <row r="4460" spans="2:4" ht="16" thickBot="1" x14ac:dyDescent="0.25">
      <c r="B4460" s="4">
        <v>4455</v>
      </c>
      <c r="C4460" s="4">
        <v>103.72729133257833</v>
      </c>
      <c r="D4460" s="45"/>
    </row>
    <row r="4461" spans="2:4" ht="16" thickBot="1" x14ac:dyDescent="0.25">
      <c r="B4461" s="5">
        <v>4456</v>
      </c>
      <c r="C4461" s="5">
        <v>207.55607807678982</v>
      </c>
      <c r="D4461" s="45"/>
    </row>
    <row r="4462" spans="2:4" ht="16" thickBot="1" x14ac:dyDescent="0.25">
      <c r="B4462" s="4">
        <v>4457</v>
      </c>
      <c r="C4462" s="4">
        <v>190.64996350009392</v>
      </c>
      <c r="D4462" s="45"/>
    </row>
    <row r="4463" spans="2:4" ht="16" thickBot="1" x14ac:dyDescent="0.25">
      <c r="B4463" s="5">
        <v>4458</v>
      </c>
      <c r="C4463" s="5">
        <v>137.74366787260024</v>
      </c>
      <c r="D4463" s="45"/>
    </row>
    <row r="4464" spans="2:4" ht="16" thickBot="1" x14ac:dyDescent="0.25">
      <c r="B4464" s="4">
        <v>4459</v>
      </c>
      <c r="C4464" s="4">
        <v>149.60878611682651</v>
      </c>
      <c r="D4464" s="45"/>
    </row>
    <row r="4465" spans="2:4" ht="16" thickBot="1" x14ac:dyDescent="0.25">
      <c r="B4465" s="5">
        <v>4460</v>
      </c>
      <c r="C4465" s="5">
        <v>272.68063588778364</v>
      </c>
      <c r="D4465" s="45"/>
    </row>
    <row r="4466" spans="2:4" ht="16" thickBot="1" x14ac:dyDescent="0.25">
      <c r="B4466" s="4">
        <v>4461</v>
      </c>
      <c r="C4466" s="4">
        <v>137.43422778840829</v>
      </c>
      <c r="D4466" s="45"/>
    </row>
    <row r="4467" spans="2:4" ht="16" thickBot="1" x14ac:dyDescent="0.25">
      <c r="B4467" s="5">
        <v>4462</v>
      </c>
      <c r="C4467" s="5">
        <v>214.99257464587998</v>
      </c>
      <c r="D4467" s="45"/>
    </row>
    <row r="4468" spans="2:4" ht="16" thickBot="1" x14ac:dyDescent="0.25">
      <c r="B4468" s="4">
        <v>4463</v>
      </c>
      <c r="C4468" s="4">
        <v>74.102110041310596</v>
      </c>
      <c r="D4468" s="45"/>
    </row>
    <row r="4469" spans="2:4" ht="16" thickBot="1" x14ac:dyDescent="0.25">
      <c r="B4469" s="5">
        <v>4464</v>
      </c>
      <c r="C4469" s="5">
        <v>122.11026027830025</v>
      </c>
      <c r="D4469" s="45"/>
    </row>
    <row r="4470" spans="2:4" ht="16" thickBot="1" x14ac:dyDescent="0.25">
      <c r="B4470" s="4">
        <v>4465</v>
      </c>
      <c r="C4470" s="4">
        <v>251.35310404307728</v>
      </c>
      <c r="D4470" s="45"/>
    </row>
    <row r="4471" spans="2:4" ht="16" thickBot="1" x14ac:dyDescent="0.25">
      <c r="B4471" s="5">
        <v>4466</v>
      </c>
      <c r="C4471" s="5">
        <v>97.535679473971214</v>
      </c>
      <c r="D4471" s="45"/>
    </row>
    <row r="4472" spans="2:4" ht="16" thickBot="1" x14ac:dyDescent="0.25">
      <c r="B4472" s="4">
        <v>4467</v>
      </c>
      <c r="C4472" s="4">
        <v>63.133252725879139</v>
      </c>
      <c r="D4472" s="45"/>
    </row>
    <row r="4473" spans="2:4" ht="16" thickBot="1" x14ac:dyDescent="0.25">
      <c r="B4473" s="5">
        <v>4468</v>
      </c>
      <c r="C4473" s="5">
        <v>275.83714607486996</v>
      </c>
      <c r="D4473" s="45"/>
    </row>
    <row r="4474" spans="2:4" ht="16" thickBot="1" x14ac:dyDescent="0.25">
      <c r="B4474" s="4">
        <v>4469</v>
      </c>
      <c r="C4474" s="4">
        <v>236.58504732505341</v>
      </c>
      <c r="D4474" s="45"/>
    </row>
    <row r="4475" spans="2:4" ht="16" thickBot="1" x14ac:dyDescent="0.25">
      <c r="B4475" s="5">
        <v>4470</v>
      </c>
      <c r="C4475" s="5">
        <v>215.46783916134132</v>
      </c>
      <c r="D4475" s="45"/>
    </row>
    <row r="4476" spans="2:4" ht="16" thickBot="1" x14ac:dyDescent="0.25">
      <c r="B4476" s="4">
        <v>4471</v>
      </c>
      <c r="C4476" s="4">
        <v>127.91770932294064</v>
      </c>
      <c r="D4476" s="45"/>
    </row>
    <row r="4477" spans="2:4" ht="16" thickBot="1" x14ac:dyDescent="0.25">
      <c r="B4477" s="5">
        <v>4472</v>
      </c>
      <c r="C4477" s="5">
        <v>32.796463951530122</v>
      </c>
      <c r="D4477" s="45"/>
    </row>
    <row r="4478" spans="2:4" ht="16" thickBot="1" x14ac:dyDescent="0.25">
      <c r="B4478" s="4">
        <v>4473</v>
      </c>
      <c r="C4478" s="4">
        <v>116.7396068636053</v>
      </c>
      <c r="D4478" s="45"/>
    </row>
    <row r="4479" spans="2:4" ht="16" thickBot="1" x14ac:dyDescent="0.25">
      <c r="B4479" s="5">
        <v>4474</v>
      </c>
      <c r="C4479" s="5">
        <v>100.07080656819896</v>
      </c>
      <c r="D4479" s="45"/>
    </row>
    <row r="4480" spans="2:4" ht="16" thickBot="1" x14ac:dyDescent="0.25">
      <c r="B4480" s="4">
        <v>4475</v>
      </c>
      <c r="C4480" s="4">
        <v>205.21553319556864</v>
      </c>
      <c r="D4480" s="45"/>
    </row>
    <row r="4481" spans="2:4" ht="16" thickBot="1" x14ac:dyDescent="0.25">
      <c r="B4481" s="5">
        <v>4476</v>
      </c>
      <c r="C4481" s="5">
        <v>177.62182530859127</v>
      </c>
      <c r="D4481" s="45"/>
    </row>
    <row r="4482" spans="2:4" ht="16" thickBot="1" x14ac:dyDescent="0.25">
      <c r="B4482" s="4">
        <v>4477</v>
      </c>
      <c r="C4482" s="4">
        <v>156.88722671784359</v>
      </c>
      <c r="D4482" s="45"/>
    </row>
    <row r="4483" spans="2:4" ht="16" thickBot="1" x14ac:dyDescent="0.25">
      <c r="B4483" s="5">
        <v>4478</v>
      </c>
      <c r="C4483" s="5">
        <v>44.632082042958665</v>
      </c>
      <c r="D4483" s="45"/>
    </row>
    <row r="4484" spans="2:4" ht="16" thickBot="1" x14ac:dyDescent="0.25">
      <c r="B4484" s="4">
        <v>4479</v>
      </c>
      <c r="C4484" s="4">
        <v>255.88789212744922</v>
      </c>
      <c r="D4484" s="45"/>
    </row>
    <row r="4485" spans="2:4" ht="16" thickBot="1" x14ac:dyDescent="0.25">
      <c r="B4485" s="5">
        <v>4480</v>
      </c>
      <c r="C4485" s="5">
        <v>371.73217637214412</v>
      </c>
      <c r="D4485" s="45"/>
    </row>
    <row r="4486" spans="2:4" ht="16" thickBot="1" x14ac:dyDescent="0.25">
      <c r="B4486" s="4">
        <v>4481</v>
      </c>
      <c r="C4486" s="4">
        <v>91.610132869814564</v>
      </c>
      <c r="D4486" s="45"/>
    </row>
    <row r="4487" spans="2:4" ht="16" thickBot="1" x14ac:dyDescent="0.25">
      <c r="B4487" s="5">
        <v>4482</v>
      </c>
      <c r="C4487" s="5">
        <v>156.81513489238787</v>
      </c>
      <c r="D4487" s="45"/>
    </row>
    <row r="4488" spans="2:4" ht="16" thickBot="1" x14ac:dyDescent="0.25">
      <c r="B4488" s="4">
        <v>4483</v>
      </c>
      <c r="C4488" s="4">
        <v>120.43984430458927</v>
      </c>
      <c r="D4488" s="45"/>
    </row>
    <row r="4489" spans="2:4" ht="16" thickBot="1" x14ac:dyDescent="0.25">
      <c r="B4489" s="5">
        <v>4484</v>
      </c>
      <c r="C4489" s="5">
        <v>70.68214877329433</v>
      </c>
      <c r="D4489" s="45"/>
    </row>
    <row r="4490" spans="2:4" ht="16" thickBot="1" x14ac:dyDescent="0.25">
      <c r="B4490" s="4">
        <v>4485</v>
      </c>
      <c r="C4490" s="4">
        <v>72.327292517659828</v>
      </c>
      <c r="D4490" s="45"/>
    </row>
    <row r="4491" spans="2:4" ht="16" thickBot="1" x14ac:dyDescent="0.25">
      <c r="B4491" s="5">
        <v>4486</v>
      </c>
      <c r="C4491" s="5">
        <v>230.48885978988787</v>
      </c>
      <c r="D4491" s="45"/>
    </row>
    <row r="4492" spans="2:4" ht="16" thickBot="1" x14ac:dyDescent="0.25">
      <c r="B4492" s="4">
        <v>4487</v>
      </c>
      <c r="C4492" s="4">
        <v>92.750581320737439</v>
      </c>
      <c r="D4492" s="45"/>
    </row>
    <row r="4493" spans="2:4" ht="16" thickBot="1" x14ac:dyDescent="0.25">
      <c r="B4493" s="5">
        <v>4488</v>
      </c>
      <c r="C4493" s="5">
        <v>378.81903106029313</v>
      </c>
      <c r="D4493" s="45"/>
    </row>
    <row r="4494" spans="2:4" ht="16" thickBot="1" x14ac:dyDescent="0.25">
      <c r="B4494" s="4">
        <v>4489</v>
      </c>
      <c r="C4494" s="4">
        <v>340.42351124179226</v>
      </c>
      <c r="D4494" s="45"/>
    </row>
    <row r="4495" spans="2:4" ht="16" thickBot="1" x14ac:dyDescent="0.25">
      <c r="B4495" s="5">
        <v>4490</v>
      </c>
      <c r="C4495" s="5">
        <v>83.317318574289928</v>
      </c>
      <c r="D4495" s="45"/>
    </row>
    <row r="4496" spans="2:4" ht="16" thickBot="1" x14ac:dyDescent="0.25">
      <c r="B4496" s="4">
        <v>4491</v>
      </c>
      <c r="C4496" s="4">
        <v>218.99152913515866</v>
      </c>
      <c r="D4496" s="45"/>
    </row>
    <row r="4497" spans="2:4" ht="16" thickBot="1" x14ac:dyDescent="0.25">
      <c r="B4497" s="5">
        <v>4492</v>
      </c>
      <c r="C4497" s="5">
        <v>209.72342122261475</v>
      </c>
      <c r="D4497" s="45"/>
    </row>
    <row r="4498" spans="2:4" ht="16" thickBot="1" x14ac:dyDescent="0.25">
      <c r="B4498" s="4">
        <v>4493</v>
      </c>
      <c r="C4498" s="4">
        <v>164.95387019187802</v>
      </c>
      <c r="D4498" s="45"/>
    </row>
    <row r="4499" spans="2:4" ht="16" thickBot="1" x14ac:dyDescent="0.25">
      <c r="B4499" s="5">
        <v>4494</v>
      </c>
      <c r="C4499" s="5">
        <v>439.78353548172817</v>
      </c>
      <c r="D4499" s="45"/>
    </row>
    <row r="4500" spans="2:4" ht="16" thickBot="1" x14ac:dyDescent="0.25">
      <c r="B4500" s="4">
        <v>4495</v>
      </c>
      <c r="C4500" s="4">
        <v>59.46162021756615</v>
      </c>
      <c r="D4500" s="45"/>
    </row>
    <row r="4501" spans="2:4" ht="16" thickBot="1" x14ac:dyDescent="0.25">
      <c r="B4501" s="5">
        <v>4496</v>
      </c>
      <c r="C4501" s="5">
        <v>176.9336245368028</v>
      </c>
      <c r="D4501" s="45"/>
    </row>
    <row r="4502" spans="2:4" ht="16" thickBot="1" x14ac:dyDescent="0.25">
      <c r="B4502" s="4">
        <v>4497</v>
      </c>
      <c r="C4502" s="4">
        <v>41.844366909289178</v>
      </c>
      <c r="D4502" s="45"/>
    </row>
    <row r="4503" spans="2:4" ht="16" thickBot="1" x14ac:dyDescent="0.25">
      <c r="B4503" s="5">
        <v>4498</v>
      </c>
      <c r="C4503" s="5">
        <v>241.26055668395057</v>
      </c>
      <c r="D4503" s="45"/>
    </row>
    <row r="4504" spans="2:4" ht="16" thickBot="1" x14ac:dyDescent="0.25">
      <c r="B4504" s="4">
        <v>4499</v>
      </c>
      <c r="C4504" s="4">
        <v>163.24765484483353</v>
      </c>
      <c r="D4504" s="45"/>
    </row>
    <row r="4505" spans="2:4" ht="16" thickBot="1" x14ac:dyDescent="0.25">
      <c r="B4505" s="5">
        <v>4500</v>
      </c>
      <c r="C4505" s="5">
        <v>83.957828810029113</v>
      </c>
      <c r="D4505" s="45"/>
    </row>
    <row r="4506" spans="2:4" ht="16" thickBot="1" x14ac:dyDescent="0.25">
      <c r="B4506" s="4">
        <v>4501</v>
      </c>
      <c r="C4506" s="4">
        <v>71.590456083270297</v>
      </c>
      <c r="D4506" s="45"/>
    </row>
    <row r="4507" spans="2:4" ht="16" thickBot="1" x14ac:dyDescent="0.25">
      <c r="B4507" s="5">
        <v>4502</v>
      </c>
      <c r="C4507" s="5">
        <v>268.97390339043636</v>
      </c>
      <c r="D4507" s="45"/>
    </row>
    <row r="4508" spans="2:4" ht="16" thickBot="1" x14ac:dyDescent="0.25">
      <c r="B4508" s="4">
        <v>4503</v>
      </c>
      <c r="C4508" s="4">
        <v>77.778162101163375</v>
      </c>
      <c r="D4508" s="45"/>
    </row>
    <row r="4509" spans="2:4" ht="16" thickBot="1" x14ac:dyDescent="0.25">
      <c r="B4509" s="5">
        <v>4504</v>
      </c>
      <c r="C4509" s="5">
        <v>117.67033365997037</v>
      </c>
      <c r="D4509" s="45"/>
    </row>
    <row r="4510" spans="2:4" ht="16" thickBot="1" x14ac:dyDescent="0.25">
      <c r="B4510" s="4">
        <v>4505</v>
      </c>
      <c r="C4510" s="4">
        <v>61.144941515828265</v>
      </c>
      <c r="D4510" s="45"/>
    </row>
    <row r="4511" spans="2:4" ht="16" thickBot="1" x14ac:dyDescent="0.25">
      <c r="B4511" s="5">
        <v>4506</v>
      </c>
      <c r="C4511" s="5">
        <v>154.36065429556194</v>
      </c>
      <c r="D4511" s="45"/>
    </row>
    <row r="4512" spans="2:4" ht="16" thickBot="1" x14ac:dyDescent="0.25">
      <c r="B4512" s="4">
        <v>4507</v>
      </c>
      <c r="C4512" s="4">
        <v>163.25741466022563</v>
      </c>
      <c r="D4512" s="45"/>
    </row>
    <row r="4513" spans="2:4" ht="16" thickBot="1" x14ac:dyDescent="0.25">
      <c r="B4513" s="5">
        <v>4508</v>
      </c>
      <c r="C4513" s="5">
        <v>136.3379443959509</v>
      </c>
      <c r="D4513" s="45"/>
    </row>
    <row r="4514" spans="2:4" ht="16" thickBot="1" x14ac:dyDescent="0.25">
      <c r="B4514" s="4">
        <v>4509</v>
      </c>
      <c r="C4514" s="4">
        <v>260.4686555870295</v>
      </c>
      <c r="D4514" s="45"/>
    </row>
    <row r="4515" spans="2:4" ht="16" thickBot="1" x14ac:dyDescent="0.25">
      <c r="B4515" s="5">
        <v>4510</v>
      </c>
      <c r="C4515" s="5">
        <v>212.79421882665736</v>
      </c>
      <c r="D4515" s="45"/>
    </row>
    <row r="4516" spans="2:4" ht="16" thickBot="1" x14ac:dyDescent="0.25">
      <c r="B4516" s="4">
        <v>4511</v>
      </c>
      <c r="C4516" s="4">
        <v>191.95028720216894</v>
      </c>
      <c r="D4516" s="45"/>
    </row>
    <row r="4517" spans="2:4" ht="16" thickBot="1" x14ac:dyDescent="0.25">
      <c r="B4517" s="5">
        <v>4512</v>
      </c>
      <c r="C4517" s="5">
        <v>143.80644263277591</v>
      </c>
      <c r="D4517" s="45"/>
    </row>
    <row r="4518" spans="2:4" ht="16" thickBot="1" x14ac:dyDescent="0.25">
      <c r="B4518" s="4">
        <v>4513</v>
      </c>
      <c r="C4518" s="4">
        <v>265.74497620316379</v>
      </c>
      <c r="D4518" s="45"/>
    </row>
    <row r="4519" spans="2:4" ht="16" thickBot="1" x14ac:dyDescent="0.25">
      <c r="B4519" s="5">
        <v>4514</v>
      </c>
      <c r="C4519" s="5">
        <v>123.15115593004637</v>
      </c>
      <c r="D4519" s="45"/>
    </row>
    <row r="4520" spans="2:4" ht="16" thickBot="1" x14ac:dyDescent="0.25">
      <c r="B4520" s="4">
        <v>4515</v>
      </c>
      <c r="C4520" s="4">
        <v>82.7625250724723</v>
      </c>
      <c r="D4520" s="45"/>
    </row>
    <row r="4521" spans="2:4" ht="16" thickBot="1" x14ac:dyDescent="0.25">
      <c r="B4521" s="5">
        <v>4516</v>
      </c>
      <c r="C4521" s="5">
        <v>122.78996293916528</v>
      </c>
      <c r="D4521" s="45"/>
    </row>
    <row r="4522" spans="2:4" ht="16" thickBot="1" x14ac:dyDescent="0.25">
      <c r="B4522" s="4">
        <v>4517</v>
      </c>
      <c r="C4522" s="4">
        <v>169.74585195519219</v>
      </c>
      <c r="D4522" s="45"/>
    </row>
    <row r="4523" spans="2:4" ht="16" thickBot="1" x14ac:dyDescent="0.25">
      <c r="B4523" s="5">
        <v>4518</v>
      </c>
      <c r="C4523" s="5">
        <v>69.817659578762218</v>
      </c>
      <c r="D4523" s="45"/>
    </row>
    <row r="4524" spans="2:4" ht="16" thickBot="1" x14ac:dyDescent="0.25">
      <c r="B4524" s="4">
        <v>4519</v>
      </c>
      <c r="C4524" s="4">
        <v>86.597453651051637</v>
      </c>
      <c r="D4524" s="45"/>
    </row>
    <row r="4525" spans="2:4" ht="16" thickBot="1" x14ac:dyDescent="0.25">
      <c r="B4525" s="5">
        <v>4520</v>
      </c>
      <c r="C4525" s="5">
        <v>283.21492244279625</v>
      </c>
      <c r="D4525" s="45"/>
    </row>
    <row r="4526" spans="2:4" ht="16" thickBot="1" x14ac:dyDescent="0.25">
      <c r="B4526" s="4">
        <v>4521</v>
      </c>
      <c r="C4526" s="4">
        <v>212.64004485042011</v>
      </c>
      <c r="D4526" s="45"/>
    </row>
    <row r="4527" spans="2:4" ht="16" thickBot="1" x14ac:dyDescent="0.25">
      <c r="B4527" s="5">
        <v>4522</v>
      </c>
      <c r="C4527" s="5">
        <v>72.273534569959324</v>
      </c>
      <c r="D4527" s="45"/>
    </row>
    <row r="4528" spans="2:4" ht="16" thickBot="1" x14ac:dyDescent="0.25">
      <c r="B4528" s="4">
        <v>4523</v>
      </c>
      <c r="C4528" s="4">
        <v>144.31036968517478</v>
      </c>
      <c r="D4528" s="45"/>
    </row>
    <row r="4529" spans="2:4" ht="16" thickBot="1" x14ac:dyDescent="0.25">
      <c r="B4529" s="5">
        <v>4524</v>
      </c>
      <c r="C4529" s="5">
        <v>150.4173809203796</v>
      </c>
      <c r="D4529" s="45"/>
    </row>
    <row r="4530" spans="2:4" ht="16" thickBot="1" x14ac:dyDescent="0.25">
      <c r="B4530" s="4">
        <v>4525</v>
      </c>
      <c r="C4530" s="4">
        <v>30.341932410575836</v>
      </c>
      <c r="D4530" s="45"/>
    </row>
    <row r="4531" spans="2:4" ht="16" thickBot="1" x14ac:dyDescent="0.25">
      <c r="B4531" s="5">
        <v>4526</v>
      </c>
      <c r="C4531" s="5">
        <v>137.12163584161775</v>
      </c>
      <c r="D4531" s="45"/>
    </row>
    <row r="4532" spans="2:4" ht="16" thickBot="1" x14ac:dyDescent="0.25">
      <c r="B4532" s="4">
        <v>4527</v>
      </c>
      <c r="C4532" s="4">
        <v>111.15798203493117</v>
      </c>
      <c r="D4532" s="45"/>
    </row>
    <row r="4533" spans="2:4" ht="16" thickBot="1" x14ac:dyDescent="0.25">
      <c r="B4533" s="5">
        <v>4528</v>
      </c>
      <c r="C4533" s="5">
        <v>77.137114168892467</v>
      </c>
      <c r="D4533" s="45"/>
    </row>
    <row r="4534" spans="2:4" ht="16" thickBot="1" x14ac:dyDescent="0.25">
      <c r="B4534" s="4">
        <v>4529</v>
      </c>
      <c r="C4534" s="4">
        <v>248.3755033881161</v>
      </c>
      <c r="D4534" s="45"/>
    </row>
    <row r="4535" spans="2:4" ht="16" thickBot="1" x14ac:dyDescent="0.25">
      <c r="B4535" s="5">
        <v>4530</v>
      </c>
      <c r="C4535" s="5">
        <v>119.85385303386956</v>
      </c>
      <c r="D4535" s="45"/>
    </row>
    <row r="4536" spans="2:4" ht="16" thickBot="1" x14ac:dyDescent="0.25">
      <c r="B4536" s="4">
        <v>4531</v>
      </c>
      <c r="C4536" s="4">
        <v>110.64520443366777</v>
      </c>
      <c r="D4536" s="45"/>
    </row>
    <row r="4537" spans="2:4" ht="16" thickBot="1" x14ac:dyDescent="0.25">
      <c r="B4537" s="5">
        <v>4532</v>
      </c>
      <c r="C4537" s="5">
        <v>130.07181222749236</v>
      </c>
      <c r="D4537" s="45"/>
    </row>
    <row r="4538" spans="2:4" ht="16" thickBot="1" x14ac:dyDescent="0.25">
      <c r="B4538" s="4">
        <v>4533</v>
      </c>
      <c r="C4538" s="4">
        <v>285.11951917883158</v>
      </c>
      <c r="D4538" s="45"/>
    </row>
    <row r="4539" spans="2:4" ht="16" thickBot="1" x14ac:dyDescent="0.25">
      <c r="B4539" s="5">
        <v>4534</v>
      </c>
      <c r="C4539" s="5">
        <v>109.56889230917915</v>
      </c>
      <c r="D4539" s="45"/>
    </row>
    <row r="4540" spans="2:4" ht="16" thickBot="1" x14ac:dyDescent="0.25">
      <c r="B4540" s="4">
        <v>4535</v>
      </c>
      <c r="C4540" s="4">
        <v>206.12277439126896</v>
      </c>
      <c r="D4540" s="45"/>
    </row>
    <row r="4541" spans="2:4" ht="16" thickBot="1" x14ac:dyDescent="0.25">
      <c r="B4541" s="5">
        <v>4536</v>
      </c>
      <c r="C4541" s="5">
        <v>414.61120287939877</v>
      </c>
      <c r="D4541" s="45"/>
    </row>
    <row r="4542" spans="2:4" ht="16" thickBot="1" x14ac:dyDescent="0.25">
      <c r="B4542" s="4">
        <v>4537</v>
      </c>
      <c r="C4542" s="4">
        <v>403.26264031178374</v>
      </c>
      <c r="D4542" s="45"/>
    </row>
    <row r="4543" spans="2:4" ht="16" thickBot="1" x14ac:dyDescent="0.25">
      <c r="B4543" s="5">
        <v>4538</v>
      </c>
      <c r="C4543" s="5">
        <v>148.76384050152598</v>
      </c>
      <c r="D4543" s="45"/>
    </row>
    <row r="4544" spans="2:4" ht="16" thickBot="1" x14ac:dyDescent="0.25">
      <c r="B4544" s="4">
        <v>4539</v>
      </c>
      <c r="C4544" s="4">
        <v>122.76478029203612</v>
      </c>
      <c r="D4544" s="45"/>
    </row>
    <row r="4545" spans="2:4" ht="16" thickBot="1" x14ac:dyDescent="0.25">
      <c r="B4545" s="5">
        <v>4540</v>
      </c>
      <c r="C4545" s="5">
        <v>138.93875217084945</v>
      </c>
      <c r="D4545" s="45"/>
    </row>
    <row r="4546" spans="2:4" ht="16" thickBot="1" x14ac:dyDescent="0.25">
      <c r="B4546" s="4">
        <v>4541</v>
      </c>
      <c r="C4546" s="4">
        <v>253.66494588610308</v>
      </c>
      <c r="D4546" s="45"/>
    </row>
    <row r="4547" spans="2:4" ht="16" thickBot="1" x14ac:dyDescent="0.25">
      <c r="B4547" s="5">
        <v>4542</v>
      </c>
      <c r="C4547" s="5">
        <v>88.820866314508791</v>
      </c>
      <c r="D4547" s="45"/>
    </row>
    <row r="4548" spans="2:4" ht="16" thickBot="1" x14ac:dyDescent="0.25">
      <c r="B4548" s="4">
        <v>4543</v>
      </c>
      <c r="C4548" s="4">
        <v>89.729144358104662</v>
      </c>
      <c r="D4548" s="45"/>
    </row>
    <row r="4549" spans="2:4" ht="16" thickBot="1" x14ac:dyDescent="0.25">
      <c r="B4549" s="5">
        <v>4544</v>
      </c>
      <c r="C4549" s="5">
        <v>120.24914766047084</v>
      </c>
      <c r="D4549" s="45"/>
    </row>
    <row r="4550" spans="2:4" ht="16" thickBot="1" x14ac:dyDescent="0.25">
      <c r="B4550" s="4">
        <v>4545</v>
      </c>
      <c r="C4550" s="4">
        <v>606.4100075797345</v>
      </c>
      <c r="D4550" s="45"/>
    </row>
    <row r="4551" spans="2:4" ht="16" thickBot="1" x14ac:dyDescent="0.25">
      <c r="B4551" s="5">
        <v>4546</v>
      </c>
      <c r="C4551" s="5">
        <v>130.30437857733023</v>
      </c>
      <c r="D4551" s="45"/>
    </row>
    <row r="4552" spans="2:4" ht="16" thickBot="1" x14ac:dyDescent="0.25">
      <c r="B4552" s="4">
        <v>4547</v>
      </c>
      <c r="C4552" s="4">
        <v>292.06177726716953</v>
      </c>
      <c r="D4552" s="45"/>
    </row>
    <row r="4553" spans="2:4" ht="16" thickBot="1" x14ac:dyDescent="0.25">
      <c r="B4553" s="5">
        <v>4548</v>
      </c>
      <c r="C4553" s="5">
        <v>181.88810315639373</v>
      </c>
      <c r="D4553" s="45"/>
    </row>
    <row r="4554" spans="2:4" ht="16" thickBot="1" x14ac:dyDescent="0.25">
      <c r="B4554" s="4">
        <v>4549</v>
      </c>
      <c r="C4554" s="4">
        <v>280.12560323734419</v>
      </c>
      <c r="D4554" s="45"/>
    </row>
    <row r="4555" spans="2:4" ht="16" thickBot="1" x14ac:dyDescent="0.25">
      <c r="B4555" s="5">
        <v>4550</v>
      </c>
      <c r="C4555" s="5">
        <v>412.25692801999043</v>
      </c>
      <c r="D4555" s="45"/>
    </row>
    <row r="4556" spans="2:4" ht="16" thickBot="1" x14ac:dyDescent="0.25">
      <c r="B4556" s="4">
        <v>4551</v>
      </c>
      <c r="C4556" s="4">
        <v>117.59677661652977</v>
      </c>
      <c r="D4556" s="45"/>
    </row>
    <row r="4557" spans="2:4" ht="16" thickBot="1" x14ac:dyDescent="0.25">
      <c r="B4557" s="5">
        <v>4552</v>
      </c>
      <c r="C4557" s="5">
        <v>56.594315493453763</v>
      </c>
      <c r="D4557" s="45"/>
    </row>
    <row r="4558" spans="2:4" ht="16" thickBot="1" x14ac:dyDescent="0.25">
      <c r="B4558" s="4">
        <v>4553</v>
      </c>
      <c r="C4558" s="4">
        <v>97.642468199986411</v>
      </c>
      <c r="D4558" s="45"/>
    </row>
    <row r="4559" spans="2:4" ht="16" thickBot="1" x14ac:dyDescent="0.25">
      <c r="B4559" s="5">
        <v>4554</v>
      </c>
      <c r="C4559" s="5">
        <v>87.554323660295069</v>
      </c>
      <c r="D4559" s="45"/>
    </row>
    <row r="4560" spans="2:4" ht="16" thickBot="1" x14ac:dyDescent="0.25">
      <c r="B4560" s="4">
        <v>4555</v>
      </c>
      <c r="C4560" s="4">
        <v>238.3296122829183</v>
      </c>
      <c r="D4560" s="45"/>
    </row>
    <row r="4561" spans="2:4" ht="16" thickBot="1" x14ac:dyDescent="0.25">
      <c r="B4561" s="5">
        <v>4556</v>
      </c>
      <c r="C4561" s="5">
        <v>193.76342254139581</v>
      </c>
      <c r="D4561" s="45"/>
    </row>
    <row r="4562" spans="2:4" ht="16" thickBot="1" x14ac:dyDescent="0.25">
      <c r="B4562" s="4">
        <v>4557</v>
      </c>
      <c r="C4562" s="4">
        <v>205.37033594902559</v>
      </c>
      <c r="D4562" s="45"/>
    </row>
    <row r="4563" spans="2:4" ht="16" thickBot="1" x14ac:dyDescent="0.25">
      <c r="B4563" s="5">
        <v>4558</v>
      </c>
      <c r="C4563" s="5">
        <v>363.79698057854733</v>
      </c>
      <c r="D4563" s="45"/>
    </row>
    <row r="4564" spans="2:4" ht="16" thickBot="1" x14ac:dyDescent="0.25">
      <c r="B4564" s="4">
        <v>4559</v>
      </c>
      <c r="C4564" s="4">
        <v>112.60479826941915</v>
      </c>
      <c r="D4564" s="45"/>
    </row>
    <row r="4565" spans="2:4" ht="16" thickBot="1" x14ac:dyDescent="0.25">
      <c r="B4565" s="5">
        <v>4560</v>
      </c>
      <c r="C4565" s="5">
        <v>230.54785311314984</v>
      </c>
      <c r="D4565" s="45"/>
    </row>
    <row r="4566" spans="2:4" ht="16" thickBot="1" x14ac:dyDescent="0.25">
      <c r="B4566" s="4">
        <v>4561</v>
      </c>
      <c r="C4566" s="4">
        <v>171.3103817729538</v>
      </c>
      <c r="D4566" s="45"/>
    </row>
    <row r="4567" spans="2:4" ht="16" thickBot="1" x14ac:dyDescent="0.25">
      <c r="B4567" s="5">
        <v>4562</v>
      </c>
      <c r="C4567" s="5">
        <v>85.725001649129453</v>
      </c>
      <c r="D4567" s="45"/>
    </row>
    <row r="4568" spans="2:4" ht="16" thickBot="1" x14ac:dyDescent="0.25">
      <c r="B4568" s="4">
        <v>4563</v>
      </c>
      <c r="C4568" s="4">
        <v>69.053019175212171</v>
      </c>
      <c r="D4568" s="45"/>
    </row>
    <row r="4569" spans="2:4" ht="16" thickBot="1" x14ac:dyDescent="0.25">
      <c r="B4569" s="5">
        <v>4564</v>
      </c>
      <c r="C4569" s="5">
        <v>247.22652057790452</v>
      </c>
      <c r="D4569" s="45"/>
    </row>
    <row r="4570" spans="2:4" ht="16" thickBot="1" x14ac:dyDescent="0.25">
      <c r="B4570" s="4">
        <v>4565</v>
      </c>
      <c r="C4570" s="4">
        <v>283.42856889416737</v>
      </c>
      <c r="D4570" s="45"/>
    </row>
    <row r="4571" spans="2:4" ht="16" thickBot="1" x14ac:dyDescent="0.25">
      <c r="B4571" s="5">
        <v>4566</v>
      </c>
      <c r="C4571" s="5">
        <v>216.17622360363629</v>
      </c>
      <c r="D4571" s="45"/>
    </row>
    <row r="4572" spans="2:4" ht="16" thickBot="1" x14ac:dyDescent="0.25">
      <c r="B4572" s="4">
        <v>4567</v>
      </c>
      <c r="C4572" s="4">
        <v>46.932669402540114</v>
      </c>
      <c r="D4572" s="45"/>
    </row>
    <row r="4573" spans="2:4" ht="16" thickBot="1" x14ac:dyDescent="0.25">
      <c r="B4573" s="5">
        <v>4568</v>
      </c>
      <c r="C4573" s="5">
        <v>168.20586750377373</v>
      </c>
      <c r="D4573" s="45"/>
    </row>
    <row r="4574" spans="2:4" ht="16" thickBot="1" x14ac:dyDescent="0.25">
      <c r="B4574" s="4">
        <v>4569</v>
      </c>
      <c r="C4574" s="4">
        <v>213.95632415262503</v>
      </c>
      <c r="D4574" s="45"/>
    </row>
    <row r="4575" spans="2:4" ht="16" thickBot="1" x14ac:dyDescent="0.25">
      <c r="B4575" s="5">
        <v>4570</v>
      </c>
      <c r="C4575" s="5">
        <v>153.31365624760318</v>
      </c>
      <c r="D4575" s="45"/>
    </row>
    <row r="4576" spans="2:4" ht="16" thickBot="1" x14ac:dyDescent="0.25">
      <c r="B4576" s="4">
        <v>4571</v>
      </c>
      <c r="C4576" s="4">
        <v>113.80463198539515</v>
      </c>
      <c r="D4576" s="45"/>
    </row>
    <row r="4577" spans="2:4" ht="16" thickBot="1" x14ac:dyDescent="0.25">
      <c r="B4577" s="5">
        <v>4572</v>
      </c>
      <c r="C4577" s="5">
        <v>164.19277954826384</v>
      </c>
      <c r="D4577" s="45"/>
    </row>
    <row r="4578" spans="2:4" ht="16" thickBot="1" x14ac:dyDescent="0.25">
      <c r="B4578" s="4">
        <v>4573</v>
      </c>
      <c r="C4578" s="4">
        <v>234.58044568693694</v>
      </c>
      <c r="D4578" s="45"/>
    </row>
    <row r="4579" spans="2:4" ht="16" thickBot="1" x14ac:dyDescent="0.25">
      <c r="B4579" s="5">
        <v>4574</v>
      </c>
      <c r="C4579" s="5">
        <v>92.651857985207315</v>
      </c>
      <c r="D4579" s="45"/>
    </row>
    <row r="4580" spans="2:4" ht="16" thickBot="1" x14ac:dyDescent="0.25">
      <c r="B4580" s="4">
        <v>4575</v>
      </c>
      <c r="C4580" s="4">
        <v>280.89355698534831</v>
      </c>
      <c r="D4580" s="45"/>
    </row>
    <row r="4581" spans="2:4" ht="16" thickBot="1" x14ac:dyDescent="0.25">
      <c r="B4581" s="5">
        <v>4576</v>
      </c>
      <c r="C4581" s="5">
        <v>231.21483847237801</v>
      </c>
      <c r="D4581" s="45"/>
    </row>
    <row r="4582" spans="2:4" ht="16" thickBot="1" x14ac:dyDescent="0.25">
      <c r="B4582" s="4">
        <v>4577</v>
      </c>
      <c r="C4582" s="4">
        <v>258.05037916163047</v>
      </c>
      <c r="D4582" s="45"/>
    </row>
    <row r="4583" spans="2:4" ht="16" thickBot="1" x14ac:dyDescent="0.25">
      <c r="B4583" s="5">
        <v>4578</v>
      </c>
      <c r="C4583" s="5">
        <v>173.6183792984944</v>
      </c>
      <c r="D4583" s="45"/>
    </row>
    <row r="4584" spans="2:4" ht="16" thickBot="1" x14ac:dyDescent="0.25">
      <c r="B4584" s="4">
        <v>4579</v>
      </c>
      <c r="C4584" s="4">
        <v>91.217626427403687</v>
      </c>
      <c r="D4584" s="45"/>
    </row>
    <row r="4585" spans="2:4" ht="16" thickBot="1" x14ac:dyDescent="0.25">
      <c r="B4585" s="5">
        <v>4580</v>
      </c>
      <c r="C4585" s="5">
        <v>212.38679137829587</v>
      </c>
      <c r="D4585" s="45"/>
    </row>
    <row r="4586" spans="2:4" ht="16" thickBot="1" x14ac:dyDescent="0.25">
      <c r="B4586" s="4">
        <v>4581</v>
      </c>
      <c r="C4586" s="4">
        <v>143.07542529289628</v>
      </c>
      <c r="D4586" s="45"/>
    </row>
    <row r="4587" spans="2:4" ht="16" thickBot="1" x14ac:dyDescent="0.25">
      <c r="B4587" s="5">
        <v>4582</v>
      </c>
      <c r="C4587" s="5">
        <v>235.88171837312561</v>
      </c>
      <c r="D4587" s="45"/>
    </row>
    <row r="4588" spans="2:4" ht="16" thickBot="1" x14ac:dyDescent="0.25">
      <c r="B4588" s="4">
        <v>4583</v>
      </c>
      <c r="C4588" s="4">
        <v>215.07572053902169</v>
      </c>
      <c r="D4588" s="45"/>
    </row>
    <row r="4589" spans="2:4" ht="16" thickBot="1" x14ac:dyDescent="0.25">
      <c r="B4589" s="5">
        <v>4584</v>
      </c>
      <c r="C4589" s="5">
        <v>109.98055773282439</v>
      </c>
      <c r="D4589" s="45"/>
    </row>
    <row r="4590" spans="2:4" ht="16" thickBot="1" x14ac:dyDescent="0.25">
      <c r="B4590" s="4">
        <v>4585</v>
      </c>
      <c r="C4590" s="4">
        <v>118.22936851832331</v>
      </c>
      <c r="D4590" s="45"/>
    </row>
    <row r="4591" spans="2:4" ht="16" thickBot="1" x14ac:dyDescent="0.25">
      <c r="B4591" s="5">
        <v>4586</v>
      </c>
      <c r="C4591" s="5">
        <v>276.28830019607472</v>
      </c>
      <c r="D4591" s="45"/>
    </row>
    <row r="4592" spans="2:4" ht="16" thickBot="1" x14ac:dyDescent="0.25">
      <c r="B4592" s="4">
        <v>4587</v>
      </c>
      <c r="C4592" s="4">
        <v>71.962777533261132</v>
      </c>
      <c r="D4592" s="45"/>
    </row>
    <row r="4593" spans="2:4" ht="16" thickBot="1" x14ac:dyDescent="0.25">
      <c r="B4593" s="5">
        <v>4588</v>
      </c>
      <c r="C4593" s="5">
        <v>140.24149302260082</v>
      </c>
      <c r="D4593" s="45"/>
    </row>
    <row r="4594" spans="2:4" ht="16" thickBot="1" x14ac:dyDescent="0.25">
      <c r="B4594" s="4">
        <v>4589</v>
      </c>
      <c r="C4594" s="4">
        <v>77.643815700790299</v>
      </c>
      <c r="D4594" s="45"/>
    </row>
    <row r="4595" spans="2:4" ht="16" thickBot="1" x14ac:dyDescent="0.25">
      <c r="B4595" s="5">
        <v>4590</v>
      </c>
      <c r="C4595" s="5">
        <v>210.33393366622371</v>
      </c>
      <c r="D4595" s="45"/>
    </row>
    <row r="4596" spans="2:4" ht="16" thickBot="1" x14ac:dyDescent="0.25">
      <c r="B4596" s="4">
        <v>4591</v>
      </c>
      <c r="C4596" s="4">
        <v>87.961714214939661</v>
      </c>
      <c r="D4596" s="45"/>
    </row>
    <row r="4597" spans="2:4" ht="16" thickBot="1" x14ac:dyDescent="0.25">
      <c r="B4597" s="5">
        <v>4592</v>
      </c>
      <c r="C4597" s="5">
        <v>62.878992954002108</v>
      </c>
      <c r="D4597" s="45"/>
    </row>
    <row r="4598" spans="2:4" ht="16" thickBot="1" x14ac:dyDescent="0.25">
      <c r="B4598" s="4">
        <v>4593</v>
      </c>
      <c r="C4598" s="4">
        <v>154.95241738767595</v>
      </c>
      <c r="D4598" s="45"/>
    </row>
    <row r="4599" spans="2:4" ht="16" thickBot="1" x14ac:dyDescent="0.25">
      <c r="B4599" s="5">
        <v>4594</v>
      </c>
      <c r="C4599" s="5">
        <v>88.477251316832394</v>
      </c>
      <c r="D4599" s="45"/>
    </row>
    <row r="4600" spans="2:4" ht="16" thickBot="1" x14ac:dyDescent="0.25">
      <c r="B4600" s="4">
        <v>4595</v>
      </c>
      <c r="C4600" s="4">
        <v>116.08962707967692</v>
      </c>
      <c r="D4600" s="45"/>
    </row>
    <row r="4601" spans="2:4" ht="16" thickBot="1" x14ac:dyDescent="0.25">
      <c r="B4601" s="5">
        <v>4596</v>
      </c>
      <c r="C4601" s="5">
        <v>108.80153785711371</v>
      </c>
      <c r="D4601" s="45"/>
    </row>
    <row r="4602" spans="2:4" ht="16" thickBot="1" x14ac:dyDescent="0.25">
      <c r="B4602" s="4">
        <v>4597</v>
      </c>
      <c r="C4602" s="4">
        <v>229.61803242646064</v>
      </c>
      <c r="D4602" s="45"/>
    </row>
    <row r="4603" spans="2:4" ht="16" thickBot="1" x14ac:dyDescent="0.25">
      <c r="B4603" s="5">
        <v>4598</v>
      </c>
      <c r="C4603" s="5">
        <v>84.369928674655227</v>
      </c>
      <c r="D4603" s="45"/>
    </row>
    <row r="4604" spans="2:4" ht="16" thickBot="1" x14ac:dyDescent="0.25">
      <c r="B4604" s="4">
        <v>4599</v>
      </c>
      <c r="C4604" s="4">
        <v>101.26155277120901</v>
      </c>
      <c r="D4604" s="45"/>
    </row>
    <row r="4605" spans="2:4" ht="16" thickBot="1" x14ac:dyDescent="0.25">
      <c r="B4605" s="5">
        <v>4600</v>
      </c>
      <c r="C4605" s="5">
        <v>170.82081616776284</v>
      </c>
      <c r="D4605" s="45"/>
    </row>
    <row r="4606" spans="2:4" ht="16" thickBot="1" x14ac:dyDescent="0.25">
      <c r="B4606" s="4">
        <v>4601</v>
      </c>
      <c r="C4606" s="4">
        <v>183.03407497117985</v>
      </c>
      <c r="D4606" s="45"/>
    </row>
    <row r="4607" spans="2:4" ht="16" thickBot="1" x14ac:dyDescent="0.25">
      <c r="B4607" s="5">
        <v>4602</v>
      </c>
      <c r="C4607" s="5">
        <v>225.27981321680613</v>
      </c>
      <c r="D4607" s="45"/>
    </row>
    <row r="4608" spans="2:4" ht="16" thickBot="1" x14ac:dyDescent="0.25">
      <c r="B4608" s="4">
        <v>4603</v>
      </c>
      <c r="C4608" s="4">
        <v>352.33280676973152</v>
      </c>
      <c r="D4608" s="45"/>
    </row>
    <row r="4609" spans="2:4" ht="16" thickBot="1" x14ac:dyDescent="0.25">
      <c r="B4609" s="5">
        <v>4604</v>
      </c>
      <c r="C4609" s="5">
        <v>139.48436172860136</v>
      </c>
      <c r="D4609" s="45"/>
    </row>
    <row r="4610" spans="2:4" ht="16" thickBot="1" x14ac:dyDescent="0.25">
      <c r="B4610" s="4">
        <v>4605</v>
      </c>
      <c r="C4610" s="4">
        <v>167.10050020202678</v>
      </c>
      <c r="D4610" s="45"/>
    </row>
    <row r="4611" spans="2:4" ht="16" thickBot="1" x14ac:dyDescent="0.25">
      <c r="B4611" s="5">
        <v>4606</v>
      </c>
      <c r="C4611" s="5">
        <v>124.99402100519259</v>
      </c>
      <c r="D4611" s="45"/>
    </row>
    <row r="4612" spans="2:4" ht="16" thickBot="1" x14ac:dyDescent="0.25">
      <c r="B4612" s="4">
        <v>4607</v>
      </c>
      <c r="C4612" s="4">
        <v>106.56756672449937</v>
      </c>
      <c r="D4612" s="45"/>
    </row>
    <row r="4613" spans="2:4" ht="16" thickBot="1" x14ac:dyDescent="0.25">
      <c r="B4613" s="5">
        <v>4608</v>
      </c>
      <c r="C4613" s="5">
        <v>198.67179218014869</v>
      </c>
      <c r="D4613" s="45"/>
    </row>
    <row r="4614" spans="2:4" ht="16" thickBot="1" x14ac:dyDescent="0.25">
      <c r="B4614" s="4">
        <v>4609</v>
      </c>
      <c r="C4614" s="4">
        <v>384.01126530174588</v>
      </c>
      <c r="D4614" s="45"/>
    </row>
    <row r="4615" spans="2:4" ht="16" thickBot="1" x14ac:dyDescent="0.25">
      <c r="B4615" s="5">
        <v>4610</v>
      </c>
      <c r="C4615" s="5">
        <v>175.58911690893697</v>
      </c>
      <c r="D4615" s="45"/>
    </row>
    <row r="4616" spans="2:4" ht="16" thickBot="1" x14ac:dyDescent="0.25">
      <c r="B4616" s="4">
        <v>4611</v>
      </c>
      <c r="C4616" s="4">
        <v>49.498504352512334</v>
      </c>
      <c r="D4616" s="45"/>
    </row>
    <row r="4617" spans="2:4" ht="16" thickBot="1" x14ac:dyDescent="0.25">
      <c r="B4617" s="5">
        <v>4612</v>
      </c>
      <c r="C4617" s="5">
        <v>330.89399923367466</v>
      </c>
      <c r="D4617" s="45"/>
    </row>
    <row r="4618" spans="2:4" ht="16" thickBot="1" x14ac:dyDescent="0.25">
      <c r="B4618" s="4">
        <v>4613</v>
      </c>
      <c r="C4618" s="4">
        <v>142.64972780005806</v>
      </c>
      <c r="D4618" s="45"/>
    </row>
    <row r="4619" spans="2:4" ht="16" thickBot="1" x14ac:dyDescent="0.25">
      <c r="B4619" s="5">
        <v>4614</v>
      </c>
      <c r="C4619" s="5">
        <v>292.75632513403207</v>
      </c>
      <c r="D4619" s="45"/>
    </row>
    <row r="4620" spans="2:4" ht="16" thickBot="1" x14ac:dyDescent="0.25">
      <c r="B4620" s="4">
        <v>4615</v>
      </c>
      <c r="C4620" s="4">
        <v>108.85352767990416</v>
      </c>
      <c r="D4620" s="45"/>
    </row>
    <row r="4621" spans="2:4" ht="16" thickBot="1" x14ac:dyDescent="0.25">
      <c r="B4621" s="5">
        <v>4616</v>
      </c>
      <c r="C4621" s="5">
        <v>224.01135254383902</v>
      </c>
      <c r="D4621" s="45"/>
    </row>
    <row r="4622" spans="2:4" ht="16" thickBot="1" x14ac:dyDescent="0.25">
      <c r="B4622" s="4">
        <v>4617</v>
      </c>
      <c r="C4622" s="4">
        <v>240.867981720025</v>
      </c>
      <c r="D4622" s="45"/>
    </row>
    <row r="4623" spans="2:4" ht="16" thickBot="1" x14ac:dyDescent="0.25">
      <c r="B4623" s="5">
        <v>4618</v>
      </c>
      <c r="C4623" s="5">
        <v>119.30412948588763</v>
      </c>
      <c r="D4623" s="45"/>
    </row>
    <row r="4624" spans="2:4" ht="16" thickBot="1" x14ac:dyDescent="0.25">
      <c r="B4624" s="4">
        <v>4619</v>
      </c>
      <c r="C4624" s="4">
        <v>197.28777568158168</v>
      </c>
      <c r="D4624" s="45"/>
    </row>
    <row r="4625" spans="2:4" ht="16" thickBot="1" x14ac:dyDescent="0.25">
      <c r="B4625" s="5">
        <v>4620</v>
      </c>
      <c r="C4625" s="5">
        <v>73.275367235666536</v>
      </c>
      <c r="D4625" s="45"/>
    </row>
    <row r="4626" spans="2:4" ht="16" thickBot="1" x14ac:dyDescent="0.25">
      <c r="B4626" s="4">
        <v>4621</v>
      </c>
      <c r="C4626" s="4">
        <v>100.67030087755323</v>
      </c>
      <c r="D4626" s="45"/>
    </row>
    <row r="4627" spans="2:4" ht="16" thickBot="1" x14ac:dyDescent="0.25">
      <c r="B4627" s="5">
        <v>4622</v>
      </c>
      <c r="C4627" s="5">
        <v>169.46151947419816</v>
      </c>
      <c r="D4627" s="45"/>
    </row>
    <row r="4628" spans="2:4" ht="16" thickBot="1" x14ac:dyDescent="0.25">
      <c r="B4628" s="4">
        <v>4623</v>
      </c>
      <c r="C4628" s="4">
        <v>118.46817678082179</v>
      </c>
      <c r="D4628" s="45"/>
    </row>
    <row r="4629" spans="2:4" ht="16" thickBot="1" x14ac:dyDescent="0.25">
      <c r="B4629" s="5">
        <v>4624</v>
      </c>
      <c r="C4629" s="5">
        <v>141.46303649034755</v>
      </c>
      <c r="D4629" s="45"/>
    </row>
    <row r="4630" spans="2:4" ht="16" thickBot="1" x14ac:dyDescent="0.25">
      <c r="B4630" s="4">
        <v>4625</v>
      </c>
      <c r="C4630" s="4">
        <v>132.22437531876554</v>
      </c>
      <c r="D4630" s="45"/>
    </row>
    <row r="4631" spans="2:4" ht="16" thickBot="1" x14ac:dyDescent="0.25">
      <c r="B4631" s="5">
        <v>4626</v>
      </c>
      <c r="C4631" s="5">
        <v>93.578795450253494</v>
      </c>
      <c r="D4631" s="45"/>
    </row>
    <row r="4632" spans="2:4" ht="16" thickBot="1" x14ac:dyDescent="0.25">
      <c r="B4632" s="4">
        <v>4627</v>
      </c>
      <c r="C4632" s="4">
        <v>150.9806229616797</v>
      </c>
      <c r="D4632" s="45"/>
    </row>
    <row r="4633" spans="2:4" ht="16" thickBot="1" x14ac:dyDescent="0.25">
      <c r="B4633" s="5">
        <v>4628</v>
      </c>
      <c r="C4633" s="5">
        <v>50.738671013249942</v>
      </c>
      <c r="D4633" s="45"/>
    </row>
    <row r="4634" spans="2:4" ht="16" thickBot="1" x14ac:dyDescent="0.25">
      <c r="B4634" s="4">
        <v>4629</v>
      </c>
      <c r="C4634" s="4">
        <v>211.35537191348405</v>
      </c>
      <c r="D4634" s="45"/>
    </row>
    <row r="4635" spans="2:4" ht="16" thickBot="1" x14ac:dyDescent="0.25">
      <c r="B4635" s="5">
        <v>4630</v>
      </c>
      <c r="C4635" s="5">
        <v>92.263642412323961</v>
      </c>
      <c r="D4635" s="45"/>
    </row>
    <row r="4636" spans="2:4" ht="16" thickBot="1" x14ac:dyDescent="0.25">
      <c r="B4636" s="4">
        <v>4631</v>
      </c>
      <c r="C4636" s="4">
        <v>125.33191842167086</v>
      </c>
      <c r="D4636" s="45"/>
    </row>
    <row r="4637" spans="2:4" ht="16" thickBot="1" x14ac:dyDescent="0.25">
      <c r="B4637" s="5">
        <v>4632</v>
      </c>
      <c r="C4637" s="5">
        <v>183.76923746632525</v>
      </c>
      <c r="D4637" s="45"/>
    </row>
    <row r="4638" spans="2:4" ht="16" thickBot="1" x14ac:dyDescent="0.25">
      <c r="B4638" s="4">
        <v>4633</v>
      </c>
      <c r="C4638" s="4">
        <v>184.90698726631391</v>
      </c>
      <c r="D4638" s="45"/>
    </row>
    <row r="4639" spans="2:4" ht="16" thickBot="1" x14ac:dyDescent="0.25">
      <c r="B4639" s="5">
        <v>4634</v>
      </c>
      <c r="C4639" s="5">
        <v>415.23650614275368</v>
      </c>
      <c r="D4639" s="45"/>
    </row>
    <row r="4640" spans="2:4" ht="16" thickBot="1" x14ac:dyDescent="0.25">
      <c r="B4640" s="4">
        <v>4635</v>
      </c>
      <c r="C4640" s="4">
        <v>401.23280133435236</v>
      </c>
      <c r="D4640" s="45"/>
    </row>
    <row r="4641" spans="2:4" ht="16" thickBot="1" x14ac:dyDescent="0.25">
      <c r="B4641" s="5">
        <v>4636</v>
      </c>
      <c r="C4641" s="5">
        <v>223.72925422995851</v>
      </c>
      <c r="D4641" s="45"/>
    </row>
    <row r="4642" spans="2:4" ht="16" thickBot="1" x14ac:dyDescent="0.25">
      <c r="B4642" s="4">
        <v>4637</v>
      </c>
      <c r="C4642" s="4">
        <v>81.021439071861479</v>
      </c>
      <c r="D4642" s="45"/>
    </row>
    <row r="4643" spans="2:4" ht="16" thickBot="1" x14ac:dyDescent="0.25">
      <c r="B4643" s="5">
        <v>4638</v>
      </c>
      <c r="C4643" s="5">
        <v>92.562900259608554</v>
      </c>
      <c r="D4643" s="45"/>
    </row>
    <row r="4644" spans="2:4" ht="16" thickBot="1" x14ac:dyDescent="0.25">
      <c r="B4644" s="4">
        <v>4639</v>
      </c>
      <c r="C4644" s="4">
        <v>128.81040480636022</v>
      </c>
      <c r="D4644" s="45"/>
    </row>
    <row r="4645" spans="2:4" ht="16" thickBot="1" x14ac:dyDescent="0.25">
      <c r="B4645" s="5">
        <v>4640</v>
      </c>
      <c r="C4645" s="5">
        <v>114.30183723895351</v>
      </c>
      <c r="D4645" s="45"/>
    </row>
    <row r="4646" spans="2:4" ht="16" thickBot="1" x14ac:dyDescent="0.25">
      <c r="B4646" s="4">
        <v>4641</v>
      </c>
      <c r="C4646" s="4">
        <v>141.17095063947619</v>
      </c>
      <c r="D4646" s="45"/>
    </row>
    <row r="4647" spans="2:4" ht="16" thickBot="1" x14ac:dyDescent="0.25">
      <c r="B4647" s="5">
        <v>4642</v>
      </c>
      <c r="C4647" s="5">
        <v>68.748344590156734</v>
      </c>
      <c r="D4647" s="45"/>
    </row>
    <row r="4648" spans="2:4" ht="16" thickBot="1" x14ac:dyDescent="0.25">
      <c r="B4648" s="4">
        <v>4643</v>
      </c>
      <c r="C4648" s="4">
        <v>125.99163407511999</v>
      </c>
      <c r="D4648" s="45"/>
    </row>
    <row r="4649" spans="2:4" ht="16" thickBot="1" x14ac:dyDescent="0.25">
      <c r="B4649" s="5">
        <v>4644</v>
      </c>
      <c r="C4649" s="5">
        <v>500.21556884886365</v>
      </c>
      <c r="D4649" s="45"/>
    </row>
    <row r="4650" spans="2:4" ht="16" thickBot="1" x14ac:dyDescent="0.25">
      <c r="B4650" s="4">
        <v>4645</v>
      </c>
      <c r="C4650" s="4">
        <v>361.64666190242195</v>
      </c>
      <c r="D4650" s="45"/>
    </row>
    <row r="4651" spans="2:4" ht="16" thickBot="1" x14ac:dyDescent="0.25">
      <c r="B4651" s="5">
        <v>4646</v>
      </c>
      <c r="C4651" s="5">
        <v>192.78738485669999</v>
      </c>
      <c r="D4651" s="45"/>
    </row>
    <row r="4652" spans="2:4" ht="16" thickBot="1" x14ac:dyDescent="0.25">
      <c r="B4652" s="4">
        <v>4647</v>
      </c>
      <c r="C4652" s="4">
        <v>149.11656742105242</v>
      </c>
      <c r="D4652" s="45"/>
    </row>
    <row r="4653" spans="2:4" ht="16" thickBot="1" x14ac:dyDescent="0.25">
      <c r="B4653" s="5">
        <v>4648</v>
      </c>
      <c r="C4653" s="5">
        <v>56.605437618195566</v>
      </c>
      <c r="D4653" s="45"/>
    </row>
    <row r="4654" spans="2:4" ht="16" thickBot="1" x14ac:dyDescent="0.25">
      <c r="B4654" s="4">
        <v>4649</v>
      </c>
      <c r="C4654" s="4">
        <v>191.81295529485718</v>
      </c>
      <c r="D4654" s="45"/>
    </row>
    <row r="4655" spans="2:4" ht="16" thickBot="1" x14ac:dyDescent="0.25">
      <c r="B4655" s="5">
        <v>4650</v>
      </c>
      <c r="C4655" s="5">
        <v>90.588400874145293</v>
      </c>
      <c r="D4655" s="45"/>
    </row>
    <row r="4656" spans="2:4" ht="16" thickBot="1" x14ac:dyDescent="0.25">
      <c r="B4656" s="4">
        <v>4651</v>
      </c>
      <c r="C4656" s="4">
        <v>136.57696253928304</v>
      </c>
      <c r="D4656" s="45"/>
    </row>
    <row r="4657" spans="2:4" ht="16" thickBot="1" x14ac:dyDescent="0.25">
      <c r="B4657" s="5">
        <v>4652</v>
      </c>
      <c r="C4657" s="5">
        <v>111.23285084355692</v>
      </c>
      <c r="D4657" s="45"/>
    </row>
    <row r="4658" spans="2:4" ht="16" thickBot="1" x14ac:dyDescent="0.25">
      <c r="B4658" s="4">
        <v>4653</v>
      </c>
      <c r="C4658" s="4">
        <v>107.47347782782552</v>
      </c>
      <c r="D4658" s="45"/>
    </row>
    <row r="4659" spans="2:4" ht="16" thickBot="1" x14ac:dyDescent="0.25">
      <c r="B4659" s="5">
        <v>4654</v>
      </c>
      <c r="C4659" s="5">
        <v>81.300527452648694</v>
      </c>
      <c r="D4659" s="45"/>
    </row>
    <row r="4660" spans="2:4" ht="16" thickBot="1" x14ac:dyDescent="0.25">
      <c r="B4660" s="4">
        <v>4655</v>
      </c>
      <c r="C4660" s="4">
        <v>167.45509556896351</v>
      </c>
      <c r="D4660" s="45"/>
    </row>
    <row r="4661" spans="2:4" ht="16" thickBot="1" x14ac:dyDescent="0.25">
      <c r="B4661" s="5">
        <v>4656</v>
      </c>
      <c r="C4661" s="5">
        <v>172.66690347684545</v>
      </c>
      <c r="D4661" s="45"/>
    </row>
    <row r="4662" spans="2:4" ht="16" thickBot="1" x14ac:dyDescent="0.25">
      <c r="B4662" s="4">
        <v>4657</v>
      </c>
      <c r="C4662" s="4">
        <v>203.20969707918417</v>
      </c>
      <c r="D4662" s="45"/>
    </row>
    <row r="4663" spans="2:4" ht="16" thickBot="1" x14ac:dyDescent="0.25">
      <c r="B4663" s="5">
        <v>4658</v>
      </c>
      <c r="C4663" s="5">
        <v>372.89963712684909</v>
      </c>
      <c r="D4663" s="45"/>
    </row>
    <row r="4664" spans="2:4" ht="16" thickBot="1" x14ac:dyDescent="0.25">
      <c r="B4664" s="4">
        <v>4659</v>
      </c>
      <c r="C4664" s="4">
        <v>177.86815315602851</v>
      </c>
      <c r="D4664" s="45"/>
    </row>
    <row r="4665" spans="2:4" ht="16" thickBot="1" x14ac:dyDescent="0.25">
      <c r="B4665" s="5">
        <v>4660</v>
      </c>
      <c r="C4665" s="5">
        <v>222.96924439846961</v>
      </c>
      <c r="D4665" s="45"/>
    </row>
    <row r="4666" spans="2:4" ht="16" thickBot="1" x14ac:dyDescent="0.25">
      <c r="B4666" s="4">
        <v>4661</v>
      </c>
      <c r="C4666" s="4">
        <v>128.65386581287549</v>
      </c>
      <c r="D4666" s="45"/>
    </row>
    <row r="4667" spans="2:4" ht="16" thickBot="1" x14ac:dyDescent="0.25">
      <c r="B4667" s="5">
        <v>4662</v>
      </c>
      <c r="C4667" s="5">
        <v>128.17845646591715</v>
      </c>
      <c r="D4667" s="45"/>
    </row>
    <row r="4668" spans="2:4" ht="16" thickBot="1" x14ac:dyDescent="0.25">
      <c r="B4668" s="4">
        <v>4663</v>
      </c>
      <c r="C4668" s="4">
        <v>179.61410465762015</v>
      </c>
      <c r="D4668" s="45"/>
    </row>
    <row r="4669" spans="2:4" ht="16" thickBot="1" x14ac:dyDescent="0.25">
      <c r="B4669" s="5">
        <v>4664</v>
      </c>
      <c r="C4669" s="5">
        <v>133.63053742417395</v>
      </c>
      <c r="D4669" s="45"/>
    </row>
    <row r="4670" spans="2:4" ht="16" thickBot="1" x14ac:dyDescent="0.25">
      <c r="B4670" s="4">
        <v>4665</v>
      </c>
      <c r="C4670" s="4">
        <v>109.74453708731781</v>
      </c>
      <c r="D4670" s="45"/>
    </row>
    <row r="4671" spans="2:4" ht="16" thickBot="1" x14ac:dyDescent="0.25">
      <c r="B4671" s="5">
        <v>4666</v>
      </c>
      <c r="C4671" s="5">
        <v>97.679025789184209</v>
      </c>
      <c r="D4671" s="45"/>
    </row>
    <row r="4672" spans="2:4" ht="16" thickBot="1" x14ac:dyDescent="0.25">
      <c r="B4672" s="4">
        <v>4667</v>
      </c>
      <c r="C4672" s="4">
        <v>234.38304069827223</v>
      </c>
      <c r="D4672" s="45"/>
    </row>
    <row r="4673" spans="2:4" ht="16" thickBot="1" x14ac:dyDescent="0.25">
      <c r="B4673" s="5">
        <v>4668</v>
      </c>
      <c r="C4673" s="5">
        <v>82.607187308756849</v>
      </c>
      <c r="D4673" s="45"/>
    </row>
    <row r="4674" spans="2:4" ht="16" thickBot="1" x14ac:dyDescent="0.25">
      <c r="B4674" s="4">
        <v>4669</v>
      </c>
      <c r="C4674" s="4">
        <v>361.64531251045617</v>
      </c>
      <c r="D4674" s="45"/>
    </row>
    <row r="4675" spans="2:4" ht="16" thickBot="1" x14ac:dyDescent="0.25">
      <c r="B4675" s="5">
        <v>4670</v>
      </c>
      <c r="C4675" s="5">
        <v>194.66697866786737</v>
      </c>
      <c r="D4675" s="45"/>
    </row>
    <row r="4676" spans="2:4" ht="16" thickBot="1" x14ac:dyDescent="0.25">
      <c r="B4676" s="4">
        <v>4671</v>
      </c>
      <c r="C4676" s="4">
        <v>158.37070404238096</v>
      </c>
      <c r="D4676" s="45"/>
    </row>
    <row r="4677" spans="2:4" ht="16" thickBot="1" x14ac:dyDescent="0.25">
      <c r="B4677" s="5">
        <v>4672</v>
      </c>
      <c r="C4677" s="5">
        <v>63.717701401516891</v>
      </c>
      <c r="D4677" s="45"/>
    </row>
    <row r="4678" spans="2:4" ht="16" thickBot="1" x14ac:dyDescent="0.25">
      <c r="B4678" s="4">
        <v>4673</v>
      </c>
      <c r="C4678" s="4">
        <v>285.51323108085842</v>
      </c>
      <c r="D4678" s="45"/>
    </row>
    <row r="4679" spans="2:4" ht="16" thickBot="1" x14ac:dyDescent="0.25">
      <c r="B4679" s="5">
        <v>4674</v>
      </c>
      <c r="C4679" s="5">
        <v>124.45923725589493</v>
      </c>
      <c r="D4679" s="45"/>
    </row>
    <row r="4680" spans="2:4" ht="16" thickBot="1" x14ac:dyDescent="0.25">
      <c r="B4680" s="4">
        <v>4675</v>
      </c>
      <c r="C4680" s="4">
        <v>116.91555826175153</v>
      </c>
      <c r="D4680" s="45"/>
    </row>
    <row r="4681" spans="2:4" ht="16" thickBot="1" x14ac:dyDescent="0.25">
      <c r="B4681" s="5">
        <v>4676</v>
      </c>
      <c r="C4681" s="5">
        <v>99.267783111872731</v>
      </c>
      <c r="D4681" s="45"/>
    </row>
    <row r="4682" spans="2:4" ht="16" thickBot="1" x14ac:dyDescent="0.25">
      <c r="B4682" s="4">
        <v>4677</v>
      </c>
      <c r="C4682" s="4">
        <v>94.085113745436303</v>
      </c>
      <c r="D4682" s="45"/>
    </row>
    <row r="4683" spans="2:4" ht="16" thickBot="1" x14ac:dyDescent="0.25">
      <c r="B4683" s="5">
        <v>4678</v>
      </c>
      <c r="C4683" s="5">
        <v>143.4363630484892</v>
      </c>
      <c r="D4683" s="45"/>
    </row>
    <row r="4684" spans="2:4" ht="16" thickBot="1" x14ac:dyDescent="0.25">
      <c r="B4684" s="4">
        <v>4679</v>
      </c>
      <c r="C4684" s="4">
        <v>189.01902941930615</v>
      </c>
      <c r="D4684" s="45"/>
    </row>
    <row r="4685" spans="2:4" ht="16" thickBot="1" x14ac:dyDescent="0.25">
      <c r="B4685" s="5">
        <v>4680</v>
      </c>
      <c r="C4685" s="5">
        <v>217.85064402198432</v>
      </c>
      <c r="D4685" s="45"/>
    </row>
    <row r="4686" spans="2:4" ht="16" thickBot="1" x14ac:dyDescent="0.25">
      <c r="B4686" s="4">
        <v>4681</v>
      </c>
      <c r="C4686" s="4">
        <v>129.7039068356529</v>
      </c>
      <c r="D4686" s="45"/>
    </row>
    <row r="4687" spans="2:4" ht="16" thickBot="1" x14ac:dyDescent="0.25">
      <c r="B4687" s="5">
        <v>4682</v>
      </c>
      <c r="C4687" s="5">
        <v>213.59038663600492</v>
      </c>
      <c r="D4687" s="45"/>
    </row>
    <row r="4688" spans="2:4" ht="16" thickBot="1" x14ac:dyDescent="0.25">
      <c r="B4688" s="4">
        <v>4683</v>
      </c>
      <c r="C4688" s="4">
        <v>148.80663802157551</v>
      </c>
      <c r="D4688" s="45"/>
    </row>
    <row r="4689" spans="2:4" ht="16" thickBot="1" x14ac:dyDescent="0.25">
      <c r="B4689" s="5">
        <v>4684</v>
      </c>
      <c r="C4689" s="5">
        <v>208.54051023697139</v>
      </c>
      <c r="D4689" s="45"/>
    </row>
    <row r="4690" spans="2:4" ht="16" thickBot="1" x14ac:dyDescent="0.25">
      <c r="B4690" s="4">
        <v>4685</v>
      </c>
      <c r="C4690" s="4">
        <v>191.93308420216491</v>
      </c>
      <c r="D4690" s="45"/>
    </row>
    <row r="4691" spans="2:4" ht="16" thickBot="1" x14ac:dyDescent="0.25">
      <c r="B4691" s="5">
        <v>4686</v>
      </c>
      <c r="C4691" s="5">
        <v>93.562313155673792</v>
      </c>
      <c r="D4691" s="45"/>
    </row>
    <row r="4692" spans="2:4" ht="16" thickBot="1" x14ac:dyDescent="0.25">
      <c r="B4692" s="4">
        <v>4687</v>
      </c>
      <c r="C4692" s="4">
        <v>146.48728639117081</v>
      </c>
      <c r="D4692" s="45"/>
    </row>
    <row r="4693" spans="2:4" ht="16" thickBot="1" x14ac:dyDescent="0.25">
      <c r="B4693" s="5">
        <v>4688</v>
      </c>
      <c r="C4693" s="5">
        <v>101.76571988279476</v>
      </c>
      <c r="D4693" s="45"/>
    </row>
    <row r="4694" spans="2:4" ht="16" thickBot="1" x14ac:dyDescent="0.25">
      <c r="B4694" s="4">
        <v>4689</v>
      </c>
      <c r="C4694" s="4">
        <v>240.27269138933207</v>
      </c>
      <c r="D4694" s="45"/>
    </row>
    <row r="4695" spans="2:4" ht="16" thickBot="1" x14ac:dyDescent="0.25">
      <c r="B4695" s="5">
        <v>4690</v>
      </c>
      <c r="C4695" s="5">
        <v>200.20644308186564</v>
      </c>
      <c r="D4695" s="45"/>
    </row>
    <row r="4696" spans="2:4" ht="16" thickBot="1" x14ac:dyDescent="0.25">
      <c r="B4696" s="4">
        <v>4691</v>
      </c>
      <c r="C4696" s="4">
        <v>127.83625658402934</v>
      </c>
      <c r="D4696" s="45"/>
    </row>
    <row r="4697" spans="2:4" ht="16" thickBot="1" x14ac:dyDescent="0.25">
      <c r="B4697" s="5">
        <v>4692</v>
      </c>
      <c r="C4697" s="5">
        <v>47.090363678958994</v>
      </c>
      <c r="D4697" s="45"/>
    </row>
    <row r="4698" spans="2:4" ht="16" thickBot="1" x14ac:dyDescent="0.25">
      <c r="B4698" s="4">
        <v>4693</v>
      </c>
      <c r="C4698" s="4">
        <v>44.971206359064695</v>
      </c>
      <c r="D4698" s="45"/>
    </row>
    <row r="4699" spans="2:4" ht="16" thickBot="1" x14ac:dyDescent="0.25">
      <c r="B4699" s="5">
        <v>4694</v>
      </c>
      <c r="C4699" s="5">
        <v>246.30103360098255</v>
      </c>
      <c r="D4699" s="45"/>
    </row>
    <row r="4700" spans="2:4" ht="16" thickBot="1" x14ac:dyDescent="0.25">
      <c r="B4700" s="4">
        <v>4695</v>
      </c>
      <c r="C4700" s="4">
        <v>97.799165863736675</v>
      </c>
      <c r="D4700" s="45"/>
    </row>
    <row r="4701" spans="2:4" ht="16" thickBot="1" x14ac:dyDescent="0.25">
      <c r="B4701" s="5">
        <v>4696</v>
      </c>
      <c r="C4701" s="5">
        <v>119.22730521986102</v>
      </c>
      <c r="D4701" s="45"/>
    </row>
    <row r="4702" spans="2:4" ht="16" thickBot="1" x14ac:dyDescent="0.25">
      <c r="B4702" s="4">
        <v>4697</v>
      </c>
      <c r="C4702" s="4">
        <v>192.54167743651087</v>
      </c>
      <c r="D4702" s="45"/>
    </row>
    <row r="4703" spans="2:4" ht="16" thickBot="1" x14ac:dyDescent="0.25">
      <c r="B4703" s="5">
        <v>4698</v>
      </c>
      <c r="C4703" s="5">
        <v>98.899836199851322</v>
      </c>
      <c r="D4703" s="45"/>
    </row>
    <row r="4704" spans="2:4" ht="16" thickBot="1" x14ac:dyDescent="0.25">
      <c r="B4704" s="4">
        <v>4699</v>
      </c>
      <c r="C4704" s="4">
        <v>524.27261431704346</v>
      </c>
      <c r="D4704" s="45"/>
    </row>
    <row r="4705" spans="2:4" ht="16" thickBot="1" x14ac:dyDescent="0.25">
      <c r="B4705" s="5">
        <v>4700</v>
      </c>
      <c r="C4705" s="5">
        <v>164.83241964641488</v>
      </c>
      <c r="D4705" s="45"/>
    </row>
    <row r="4706" spans="2:4" ht="16" thickBot="1" x14ac:dyDescent="0.25">
      <c r="B4706" s="4">
        <v>4701</v>
      </c>
      <c r="C4706" s="4">
        <v>55.892925486054978</v>
      </c>
      <c r="D4706" s="45"/>
    </row>
    <row r="4707" spans="2:4" ht="16" thickBot="1" x14ac:dyDescent="0.25">
      <c r="B4707" s="5">
        <v>4702</v>
      </c>
      <c r="C4707" s="5">
        <v>292.82168063706996</v>
      </c>
      <c r="D4707" s="45"/>
    </row>
    <row r="4708" spans="2:4" ht="16" thickBot="1" x14ac:dyDescent="0.25">
      <c r="B4708" s="4">
        <v>4703</v>
      </c>
      <c r="C4708" s="4">
        <v>180.55274273779446</v>
      </c>
      <c r="D4708" s="45"/>
    </row>
    <row r="4709" spans="2:4" ht="16" thickBot="1" x14ac:dyDescent="0.25">
      <c r="B4709" s="5">
        <v>4704</v>
      </c>
      <c r="C4709" s="5">
        <v>269.10910951356885</v>
      </c>
      <c r="D4709" s="45"/>
    </row>
    <row r="4710" spans="2:4" ht="16" thickBot="1" x14ac:dyDescent="0.25">
      <c r="B4710" s="4">
        <v>4705</v>
      </c>
      <c r="C4710" s="4">
        <v>86.982718695211901</v>
      </c>
      <c r="D4710" s="45"/>
    </row>
    <row r="4711" spans="2:4" ht="16" thickBot="1" x14ac:dyDescent="0.25">
      <c r="B4711" s="5">
        <v>4706</v>
      </c>
      <c r="C4711" s="5">
        <v>95.519299327991874</v>
      </c>
      <c r="D4711" s="45"/>
    </row>
    <row r="4712" spans="2:4" ht="16" thickBot="1" x14ac:dyDescent="0.25">
      <c r="B4712" s="4">
        <v>4707</v>
      </c>
      <c r="C4712" s="4">
        <v>357.67400816177673</v>
      </c>
      <c r="D4712" s="45"/>
    </row>
    <row r="4713" spans="2:4" ht="16" thickBot="1" x14ac:dyDescent="0.25">
      <c r="B4713" s="5">
        <v>4708</v>
      </c>
      <c r="C4713" s="5">
        <v>84.526558719308099</v>
      </c>
      <c r="D4713" s="45"/>
    </row>
    <row r="4714" spans="2:4" ht="16" thickBot="1" x14ac:dyDescent="0.25">
      <c r="B4714" s="4">
        <v>4709</v>
      </c>
      <c r="C4714" s="4">
        <v>184.09410041984356</v>
      </c>
      <c r="D4714" s="45"/>
    </row>
    <row r="4715" spans="2:4" ht="16" thickBot="1" x14ac:dyDescent="0.25">
      <c r="B4715" s="5">
        <v>4710</v>
      </c>
      <c r="C4715" s="5">
        <v>249.32777198077298</v>
      </c>
      <c r="D4715" s="45"/>
    </row>
    <row r="4716" spans="2:4" ht="16" thickBot="1" x14ac:dyDescent="0.25">
      <c r="B4716" s="4">
        <v>4711</v>
      </c>
      <c r="C4716" s="4">
        <v>299.75490869148581</v>
      </c>
      <c r="D4716" s="45"/>
    </row>
    <row r="4717" spans="2:4" ht="16" thickBot="1" x14ac:dyDescent="0.25">
      <c r="B4717" s="5">
        <v>4712</v>
      </c>
      <c r="C4717" s="5">
        <v>146.95241327715047</v>
      </c>
      <c r="D4717" s="45"/>
    </row>
    <row r="4718" spans="2:4" ht="16" thickBot="1" x14ac:dyDescent="0.25">
      <c r="B4718" s="4">
        <v>4713</v>
      </c>
      <c r="C4718" s="4">
        <v>88.951641861288792</v>
      </c>
      <c r="D4718" s="45"/>
    </row>
    <row r="4719" spans="2:4" ht="16" thickBot="1" x14ac:dyDescent="0.25">
      <c r="B4719" s="5">
        <v>4714</v>
      </c>
      <c r="C4719" s="5">
        <v>161.28158171441913</v>
      </c>
      <c r="D4719" s="45"/>
    </row>
    <row r="4720" spans="2:4" ht="16" thickBot="1" x14ac:dyDescent="0.25">
      <c r="B4720" s="4">
        <v>4715</v>
      </c>
      <c r="C4720" s="4">
        <v>318.80799104138197</v>
      </c>
      <c r="D4720" s="45"/>
    </row>
    <row r="4721" spans="2:4" ht="16" thickBot="1" x14ac:dyDescent="0.25">
      <c r="B4721" s="5">
        <v>4716</v>
      </c>
      <c r="C4721" s="5">
        <v>299.01290088281183</v>
      </c>
      <c r="D4721" s="45"/>
    </row>
    <row r="4722" spans="2:4" ht="16" thickBot="1" x14ac:dyDescent="0.25">
      <c r="B4722" s="4">
        <v>4717</v>
      </c>
      <c r="C4722" s="4">
        <v>86.107648040670213</v>
      </c>
      <c r="D4722" s="45"/>
    </row>
    <row r="4723" spans="2:4" ht="16" thickBot="1" x14ac:dyDescent="0.25">
      <c r="B4723" s="5">
        <v>4718</v>
      </c>
      <c r="C4723" s="5">
        <v>174.15035235954053</v>
      </c>
      <c r="D4723" s="45"/>
    </row>
    <row r="4724" spans="2:4" ht="16" thickBot="1" x14ac:dyDescent="0.25">
      <c r="B4724" s="4">
        <v>4719</v>
      </c>
      <c r="C4724" s="4">
        <v>105.62366978827914</v>
      </c>
      <c r="D4724" s="45"/>
    </row>
    <row r="4725" spans="2:4" ht="16" thickBot="1" x14ac:dyDescent="0.25">
      <c r="B4725" s="5">
        <v>4720</v>
      </c>
      <c r="C4725" s="5">
        <v>402.13560125133654</v>
      </c>
      <c r="D4725" s="45"/>
    </row>
    <row r="4726" spans="2:4" ht="16" thickBot="1" x14ac:dyDescent="0.25">
      <c r="B4726" s="4">
        <v>4721</v>
      </c>
      <c r="C4726" s="4">
        <v>137.65140671840288</v>
      </c>
      <c r="D4726" s="45"/>
    </row>
    <row r="4727" spans="2:4" ht="16" thickBot="1" x14ac:dyDescent="0.25">
      <c r="B4727" s="5">
        <v>4722</v>
      </c>
      <c r="C4727" s="5">
        <v>164.5612976328855</v>
      </c>
      <c r="D4727" s="45"/>
    </row>
    <row r="4728" spans="2:4" ht="16" thickBot="1" x14ac:dyDescent="0.25">
      <c r="B4728" s="4">
        <v>4723</v>
      </c>
      <c r="C4728" s="4">
        <v>88.00929460089155</v>
      </c>
      <c r="D4728" s="45"/>
    </row>
    <row r="4729" spans="2:4" ht="16" thickBot="1" x14ac:dyDescent="0.25">
      <c r="B4729" s="5">
        <v>4724</v>
      </c>
      <c r="C4729" s="5">
        <v>132.6034932799044</v>
      </c>
      <c r="D4729" s="45"/>
    </row>
    <row r="4730" spans="2:4" ht="16" thickBot="1" x14ac:dyDescent="0.25">
      <c r="B4730" s="4">
        <v>4725</v>
      </c>
      <c r="C4730" s="4">
        <v>142.2350313879241</v>
      </c>
      <c r="D4730" s="45"/>
    </row>
    <row r="4731" spans="2:4" ht="16" thickBot="1" x14ac:dyDescent="0.25">
      <c r="B4731" s="5">
        <v>4726</v>
      </c>
      <c r="C4731" s="5">
        <v>205.69136120526849</v>
      </c>
      <c r="D4731" s="45"/>
    </row>
    <row r="4732" spans="2:4" ht="16" thickBot="1" x14ac:dyDescent="0.25">
      <c r="B4732" s="4">
        <v>4727</v>
      </c>
      <c r="C4732" s="4">
        <v>298.42712690363464</v>
      </c>
      <c r="D4732" s="45"/>
    </row>
    <row r="4733" spans="2:4" ht="16" thickBot="1" x14ac:dyDescent="0.25">
      <c r="B4733" s="5">
        <v>4728</v>
      </c>
      <c r="C4733" s="5">
        <v>358.59621121643005</v>
      </c>
      <c r="D4733" s="45"/>
    </row>
    <row r="4734" spans="2:4" ht="16" thickBot="1" x14ac:dyDescent="0.25">
      <c r="B4734" s="4">
        <v>4729</v>
      </c>
      <c r="C4734" s="4">
        <v>213.59306344373809</v>
      </c>
      <c r="D4734" s="45"/>
    </row>
    <row r="4735" spans="2:4" ht="16" thickBot="1" x14ac:dyDescent="0.25">
      <c r="B4735" s="5">
        <v>4730</v>
      </c>
      <c r="C4735" s="5">
        <v>85.653882651839325</v>
      </c>
      <c r="D4735" s="45"/>
    </row>
    <row r="4736" spans="2:4" ht="16" thickBot="1" x14ac:dyDescent="0.25">
      <c r="B4736" s="4">
        <v>4731</v>
      </c>
      <c r="C4736" s="4">
        <v>109.16594724421897</v>
      </c>
      <c r="D4736" s="45"/>
    </row>
    <row r="4737" spans="2:4" ht="16" thickBot="1" x14ac:dyDescent="0.25">
      <c r="B4737" s="5">
        <v>4732</v>
      </c>
      <c r="C4737" s="5">
        <v>150.65407142025981</v>
      </c>
      <c r="D4737" s="45"/>
    </row>
    <row r="4738" spans="2:4" ht="16" thickBot="1" x14ac:dyDescent="0.25">
      <c r="B4738" s="4">
        <v>4733</v>
      </c>
      <c r="C4738" s="4">
        <v>153.84097122742324</v>
      </c>
      <c r="D4738" s="45"/>
    </row>
    <row r="4739" spans="2:4" ht="16" thickBot="1" x14ac:dyDescent="0.25">
      <c r="B4739" s="5">
        <v>4734</v>
      </c>
      <c r="C4739" s="5">
        <v>166.83116825520372</v>
      </c>
      <c r="D4739" s="45"/>
    </row>
    <row r="4740" spans="2:4" ht="16" thickBot="1" x14ac:dyDescent="0.25">
      <c r="B4740" s="4">
        <v>4735</v>
      </c>
      <c r="C4740" s="4">
        <v>296.08544235171888</v>
      </c>
      <c r="D4740" s="45"/>
    </row>
    <row r="4741" spans="2:4" ht="16" thickBot="1" x14ac:dyDescent="0.25">
      <c r="B4741" s="5">
        <v>4736</v>
      </c>
      <c r="C4741" s="5">
        <v>144.28796673371323</v>
      </c>
      <c r="D4741" s="45"/>
    </row>
    <row r="4742" spans="2:4" ht="16" thickBot="1" x14ac:dyDescent="0.25">
      <c r="B4742" s="4">
        <v>4737</v>
      </c>
      <c r="C4742" s="4">
        <v>145.82229329183056</v>
      </c>
      <c r="D4742" s="45"/>
    </row>
    <row r="4743" spans="2:4" ht="16" thickBot="1" x14ac:dyDescent="0.25">
      <c r="B4743" s="5">
        <v>4738</v>
      </c>
      <c r="C4743" s="5">
        <v>205.93029733681004</v>
      </c>
      <c r="D4743" s="45"/>
    </row>
    <row r="4744" spans="2:4" ht="16" thickBot="1" x14ac:dyDescent="0.25">
      <c r="B4744" s="4">
        <v>4739</v>
      </c>
      <c r="C4744" s="4">
        <v>171.5273873293109</v>
      </c>
      <c r="D4744" s="45"/>
    </row>
    <row r="4745" spans="2:4" ht="16" thickBot="1" x14ac:dyDescent="0.25">
      <c r="B4745" s="5">
        <v>4740</v>
      </c>
      <c r="C4745" s="5">
        <v>218.06592069535512</v>
      </c>
      <c r="D4745" s="45"/>
    </row>
    <row r="4746" spans="2:4" ht="16" thickBot="1" x14ac:dyDescent="0.25">
      <c r="B4746" s="4">
        <v>4741</v>
      </c>
      <c r="C4746" s="4">
        <v>121.47385004557054</v>
      </c>
      <c r="D4746" s="45"/>
    </row>
    <row r="4747" spans="2:4" ht="16" thickBot="1" x14ac:dyDescent="0.25">
      <c r="B4747" s="5">
        <v>4742</v>
      </c>
      <c r="C4747" s="5">
        <v>152.97224482096385</v>
      </c>
      <c r="D4747" s="45"/>
    </row>
    <row r="4748" spans="2:4" ht="16" thickBot="1" x14ac:dyDescent="0.25">
      <c r="B4748" s="4">
        <v>4743</v>
      </c>
      <c r="C4748" s="4">
        <v>128.20788237139254</v>
      </c>
      <c r="D4748" s="45"/>
    </row>
    <row r="4749" spans="2:4" ht="16" thickBot="1" x14ac:dyDescent="0.25">
      <c r="B4749" s="5">
        <v>4744</v>
      </c>
      <c r="C4749" s="5">
        <v>155.96689144634789</v>
      </c>
      <c r="D4749" s="45"/>
    </row>
    <row r="4750" spans="2:4" ht="16" thickBot="1" x14ac:dyDescent="0.25">
      <c r="B4750" s="4">
        <v>4745</v>
      </c>
      <c r="C4750" s="4">
        <v>177.9662425612465</v>
      </c>
      <c r="D4750" s="45"/>
    </row>
    <row r="4751" spans="2:4" ht="16" thickBot="1" x14ac:dyDescent="0.25">
      <c r="B4751" s="5">
        <v>4746</v>
      </c>
      <c r="C4751" s="5">
        <v>81.675544528396884</v>
      </c>
      <c r="D4751" s="45"/>
    </row>
    <row r="4752" spans="2:4" ht="16" thickBot="1" x14ac:dyDescent="0.25">
      <c r="B4752" s="4">
        <v>4747</v>
      </c>
      <c r="C4752" s="4">
        <v>192.39314181379021</v>
      </c>
      <c r="D4752" s="45"/>
    </row>
    <row r="4753" spans="2:4" ht="16" thickBot="1" x14ac:dyDescent="0.25">
      <c r="B4753" s="5">
        <v>4748</v>
      </c>
      <c r="C4753" s="5">
        <v>107.44442477727569</v>
      </c>
      <c r="D4753" s="45"/>
    </row>
    <row r="4754" spans="2:4" ht="16" thickBot="1" x14ac:dyDescent="0.25">
      <c r="B4754" s="4">
        <v>4749</v>
      </c>
      <c r="C4754" s="4">
        <v>93.375795875062465</v>
      </c>
      <c r="D4754" s="45"/>
    </row>
    <row r="4755" spans="2:4" ht="16" thickBot="1" x14ac:dyDescent="0.25">
      <c r="B4755" s="5">
        <v>4750</v>
      </c>
      <c r="C4755" s="5">
        <v>118.37297796795804</v>
      </c>
      <c r="D4755" s="45"/>
    </row>
    <row r="4756" spans="2:4" ht="16" thickBot="1" x14ac:dyDescent="0.25">
      <c r="B4756" s="4">
        <v>4751</v>
      </c>
      <c r="C4756" s="4">
        <v>155.25778038505274</v>
      </c>
      <c r="D4756" s="45"/>
    </row>
    <row r="4757" spans="2:4" ht="16" thickBot="1" x14ac:dyDescent="0.25">
      <c r="B4757" s="5">
        <v>4752</v>
      </c>
      <c r="C4757" s="5">
        <v>179.66345613455016</v>
      </c>
      <c r="D4757" s="45"/>
    </row>
    <row r="4758" spans="2:4" ht="16" thickBot="1" x14ac:dyDescent="0.25">
      <c r="B4758" s="4">
        <v>4753</v>
      </c>
      <c r="C4758" s="4">
        <v>244.70624545620504</v>
      </c>
      <c r="D4758" s="45"/>
    </row>
    <row r="4759" spans="2:4" ht="16" thickBot="1" x14ac:dyDescent="0.25">
      <c r="B4759" s="5">
        <v>4754</v>
      </c>
      <c r="C4759" s="5">
        <v>254.79789706129307</v>
      </c>
      <c r="D4759" s="45"/>
    </row>
    <row r="4760" spans="2:4" ht="16" thickBot="1" x14ac:dyDescent="0.25">
      <c r="B4760" s="4">
        <v>4755</v>
      </c>
      <c r="C4760" s="4">
        <v>167.90373711570743</v>
      </c>
      <c r="D4760" s="45"/>
    </row>
    <row r="4761" spans="2:4" ht="16" thickBot="1" x14ac:dyDescent="0.25">
      <c r="B4761" s="5">
        <v>4756</v>
      </c>
      <c r="C4761" s="5">
        <v>113.10191237179448</v>
      </c>
      <c r="D4761" s="45"/>
    </row>
    <row r="4762" spans="2:4" ht="16" thickBot="1" x14ac:dyDescent="0.25">
      <c r="B4762" s="4">
        <v>4757</v>
      </c>
      <c r="C4762" s="4">
        <v>158.52726970879024</v>
      </c>
      <c r="D4762" s="45"/>
    </row>
    <row r="4763" spans="2:4" ht="16" thickBot="1" x14ac:dyDescent="0.25">
      <c r="B4763" s="5">
        <v>4758</v>
      </c>
      <c r="C4763" s="5">
        <v>198.96748237180395</v>
      </c>
      <c r="D4763" s="45"/>
    </row>
    <row r="4764" spans="2:4" ht="16" thickBot="1" x14ac:dyDescent="0.25">
      <c r="B4764" s="4">
        <v>4759</v>
      </c>
      <c r="C4764" s="4">
        <v>148.7250172543167</v>
      </c>
      <c r="D4764" s="45"/>
    </row>
    <row r="4765" spans="2:4" ht="16" thickBot="1" x14ac:dyDescent="0.25">
      <c r="B4765" s="5">
        <v>4760</v>
      </c>
      <c r="C4765" s="5">
        <v>146.26535371618348</v>
      </c>
      <c r="D4765" s="45"/>
    </row>
    <row r="4766" spans="2:4" ht="16" thickBot="1" x14ac:dyDescent="0.25">
      <c r="B4766" s="4">
        <v>4761</v>
      </c>
      <c r="C4766" s="4">
        <v>112.33545426128298</v>
      </c>
      <c r="D4766" s="45"/>
    </row>
    <row r="4767" spans="2:4" ht="16" thickBot="1" x14ac:dyDescent="0.25">
      <c r="B4767" s="5">
        <v>4762</v>
      </c>
      <c r="C4767" s="5">
        <v>107.36366145943487</v>
      </c>
      <c r="D4767" s="45"/>
    </row>
    <row r="4768" spans="2:4" ht="16" thickBot="1" x14ac:dyDescent="0.25">
      <c r="B4768" s="4">
        <v>4763</v>
      </c>
      <c r="C4768" s="4">
        <v>342.84746747281946</v>
      </c>
      <c r="D4768" s="45"/>
    </row>
    <row r="4769" spans="2:4" ht="16" thickBot="1" x14ac:dyDescent="0.25">
      <c r="B4769" s="5">
        <v>4764</v>
      </c>
      <c r="C4769" s="5">
        <v>106.00254720956853</v>
      </c>
      <c r="D4769" s="45"/>
    </row>
    <row r="4770" spans="2:4" ht="16" thickBot="1" x14ac:dyDescent="0.25">
      <c r="B4770" s="4">
        <v>4765</v>
      </c>
      <c r="C4770" s="4">
        <v>233.94378819660992</v>
      </c>
      <c r="D4770" s="45"/>
    </row>
    <row r="4771" spans="2:4" ht="16" thickBot="1" x14ac:dyDescent="0.25">
      <c r="B4771" s="5">
        <v>4766</v>
      </c>
      <c r="C4771" s="5">
        <v>264.04182683914541</v>
      </c>
      <c r="D4771" s="45"/>
    </row>
    <row r="4772" spans="2:4" ht="16" thickBot="1" x14ac:dyDescent="0.25">
      <c r="B4772" s="4">
        <v>4767</v>
      </c>
      <c r="C4772" s="4">
        <v>167.5503660184267</v>
      </c>
      <c r="D4772" s="45"/>
    </row>
    <row r="4773" spans="2:4" ht="16" thickBot="1" x14ac:dyDescent="0.25">
      <c r="B4773" s="5">
        <v>4768</v>
      </c>
      <c r="C4773" s="5">
        <v>146.75689777113564</v>
      </c>
      <c r="D4773" s="45"/>
    </row>
    <row r="4774" spans="2:4" ht="16" thickBot="1" x14ac:dyDescent="0.25">
      <c r="B4774" s="4">
        <v>4769</v>
      </c>
      <c r="C4774" s="4">
        <v>157.66025509290023</v>
      </c>
      <c r="D4774" s="45"/>
    </row>
    <row r="4775" spans="2:4" ht="16" thickBot="1" x14ac:dyDescent="0.25">
      <c r="B4775" s="5">
        <v>4770</v>
      </c>
      <c r="C4775" s="5">
        <v>84.094528626993949</v>
      </c>
      <c r="D4775" s="45"/>
    </row>
    <row r="4776" spans="2:4" ht="16" thickBot="1" x14ac:dyDescent="0.25">
      <c r="B4776" s="4">
        <v>4771</v>
      </c>
      <c r="C4776" s="4">
        <v>188.53836409922243</v>
      </c>
      <c r="D4776" s="45"/>
    </row>
    <row r="4777" spans="2:4" ht="16" thickBot="1" x14ac:dyDescent="0.25">
      <c r="B4777" s="5">
        <v>4772</v>
      </c>
      <c r="C4777" s="5">
        <v>126.78045271190295</v>
      </c>
      <c r="D4777" s="45"/>
    </row>
    <row r="4778" spans="2:4" ht="16" thickBot="1" x14ac:dyDescent="0.25">
      <c r="B4778" s="4">
        <v>4773</v>
      </c>
      <c r="C4778" s="4">
        <v>96.173711266340277</v>
      </c>
      <c r="D4778" s="45"/>
    </row>
    <row r="4779" spans="2:4" ht="16" thickBot="1" x14ac:dyDescent="0.25">
      <c r="B4779" s="5">
        <v>4774</v>
      </c>
      <c r="C4779" s="5">
        <v>53.459773562754862</v>
      </c>
      <c r="D4779" s="45"/>
    </row>
    <row r="4780" spans="2:4" ht="16" thickBot="1" x14ac:dyDescent="0.25">
      <c r="B4780" s="4">
        <v>4775</v>
      </c>
      <c r="C4780" s="4">
        <v>100.51939721733602</v>
      </c>
      <c r="D4780" s="45"/>
    </row>
    <row r="4781" spans="2:4" ht="16" thickBot="1" x14ac:dyDescent="0.25">
      <c r="B4781" s="5">
        <v>4776</v>
      </c>
      <c r="C4781" s="5">
        <v>209.83769041235493</v>
      </c>
      <c r="D4781" s="45"/>
    </row>
    <row r="4782" spans="2:4" ht="16" thickBot="1" x14ac:dyDescent="0.25">
      <c r="B4782" s="4">
        <v>4777</v>
      </c>
      <c r="C4782" s="4">
        <v>171.04150700818425</v>
      </c>
      <c r="D4782" s="45"/>
    </row>
    <row r="4783" spans="2:4" ht="16" thickBot="1" x14ac:dyDescent="0.25">
      <c r="B4783" s="5">
        <v>4778</v>
      </c>
      <c r="C4783" s="5">
        <v>189.5975667388457</v>
      </c>
      <c r="D4783" s="45"/>
    </row>
    <row r="4784" spans="2:4" ht="16" thickBot="1" x14ac:dyDescent="0.25">
      <c r="B4784" s="4">
        <v>4779</v>
      </c>
      <c r="C4784" s="4">
        <v>101.50751480657634</v>
      </c>
      <c r="D4784" s="45"/>
    </row>
    <row r="4785" spans="2:4" ht="16" thickBot="1" x14ac:dyDescent="0.25">
      <c r="B4785" s="5">
        <v>4780</v>
      </c>
      <c r="C4785" s="5">
        <v>132.67790027002133</v>
      </c>
      <c r="D4785" s="45"/>
    </row>
    <row r="4786" spans="2:4" ht="16" thickBot="1" x14ac:dyDescent="0.25">
      <c r="B4786" s="4">
        <v>4781</v>
      </c>
      <c r="C4786" s="4">
        <v>206.99346850015539</v>
      </c>
      <c r="D4786" s="45"/>
    </row>
    <row r="4787" spans="2:4" ht="16" thickBot="1" x14ac:dyDescent="0.25">
      <c r="B4787" s="5">
        <v>4782</v>
      </c>
      <c r="C4787" s="5">
        <v>172.88666983813249</v>
      </c>
      <c r="D4787" s="45"/>
    </row>
    <row r="4788" spans="2:4" ht="16" thickBot="1" x14ac:dyDescent="0.25">
      <c r="B4788" s="4">
        <v>4783</v>
      </c>
      <c r="C4788" s="4">
        <v>319.14507322556227</v>
      </c>
      <c r="D4788" s="45"/>
    </row>
    <row r="4789" spans="2:4" ht="16" thickBot="1" x14ac:dyDescent="0.25">
      <c r="B4789" s="5">
        <v>4784</v>
      </c>
      <c r="C4789" s="5">
        <v>113.90000292429497</v>
      </c>
      <c r="D4789" s="45"/>
    </row>
    <row r="4790" spans="2:4" ht="16" thickBot="1" x14ac:dyDescent="0.25">
      <c r="B4790" s="4">
        <v>4785</v>
      </c>
      <c r="C4790" s="4">
        <v>118.85040378005517</v>
      </c>
      <c r="D4790" s="45"/>
    </row>
    <row r="4791" spans="2:4" ht="16" thickBot="1" x14ac:dyDescent="0.25">
      <c r="B4791" s="5">
        <v>4786</v>
      </c>
      <c r="C4791" s="5">
        <v>89.974099429195022</v>
      </c>
      <c r="D4791" s="45"/>
    </row>
    <row r="4792" spans="2:4" ht="16" thickBot="1" x14ac:dyDescent="0.25">
      <c r="B4792" s="4">
        <v>4787</v>
      </c>
      <c r="C4792" s="4">
        <v>146.29168685260464</v>
      </c>
      <c r="D4792" s="45"/>
    </row>
    <row r="4793" spans="2:4" ht="16" thickBot="1" x14ac:dyDescent="0.25">
      <c r="B4793" s="5">
        <v>4788</v>
      </c>
      <c r="C4793" s="5">
        <v>184.45953174292021</v>
      </c>
      <c r="D4793" s="45"/>
    </row>
    <row r="4794" spans="2:4" ht="16" thickBot="1" x14ac:dyDescent="0.25">
      <c r="B4794" s="4">
        <v>4789</v>
      </c>
      <c r="C4794" s="4">
        <v>87.092312126777159</v>
      </c>
      <c r="D4794" s="45"/>
    </row>
    <row r="4795" spans="2:4" ht="16" thickBot="1" x14ac:dyDescent="0.25">
      <c r="B4795" s="5">
        <v>4790</v>
      </c>
      <c r="C4795" s="5">
        <v>221.74894382996212</v>
      </c>
      <c r="D4795" s="45"/>
    </row>
    <row r="4796" spans="2:4" ht="16" thickBot="1" x14ac:dyDescent="0.25">
      <c r="B4796" s="4">
        <v>4791</v>
      </c>
      <c r="C4796" s="4">
        <v>162.83942143312194</v>
      </c>
      <c r="D4796" s="45"/>
    </row>
    <row r="4797" spans="2:4" ht="16" thickBot="1" x14ac:dyDescent="0.25">
      <c r="B4797" s="5">
        <v>4792</v>
      </c>
      <c r="C4797" s="5">
        <v>109.39022250968907</v>
      </c>
      <c r="D4797" s="45"/>
    </row>
    <row r="4798" spans="2:4" ht="16" thickBot="1" x14ac:dyDescent="0.25">
      <c r="B4798" s="4">
        <v>4793</v>
      </c>
      <c r="C4798" s="4">
        <v>120.07394356282927</v>
      </c>
      <c r="D4798" s="45"/>
    </row>
    <row r="4799" spans="2:4" ht="16" thickBot="1" x14ac:dyDescent="0.25">
      <c r="B4799" s="5">
        <v>4794</v>
      </c>
      <c r="C4799" s="5">
        <v>174.47867186679949</v>
      </c>
      <c r="D4799" s="45"/>
    </row>
    <row r="4800" spans="2:4" ht="16" thickBot="1" x14ac:dyDescent="0.25">
      <c r="B4800" s="4">
        <v>4795</v>
      </c>
      <c r="C4800" s="4">
        <v>140.24703253671592</v>
      </c>
      <c r="D4800" s="45"/>
    </row>
    <row r="4801" spans="2:4" ht="16" thickBot="1" x14ac:dyDescent="0.25">
      <c r="B4801" s="5">
        <v>4796</v>
      </c>
      <c r="C4801" s="5">
        <v>142.19864833406214</v>
      </c>
      <c r="D4801" s="45"/>
    </row>
    <row r="4802" spans="2:4" ht="16" thickBot="1" x14ac:dyDescent="0.25">
      <c r="B4802" s="4">
        <v>4797</v>
      </c>
      <c r="C4802" s="4">
        <v>371.85907225081962</v>
      </c>
      <c r="D4802" s="45"/>
    </row>
    <row r="4803" spans="2:4" ht="16" thickBot="1" x14ac:dyDescent="0.25">
      <c r="B4803" s="5">
        <v>4798</v>
      </c>
      <c r="C4803" s="5">
        <v>113.26906736025363</v>
      </c>
      <c r="D4803" s="45"/>
    </row>
    <row r="4804" spans="2:4" ht="16" thickBot="1" x14ac:dyDescent="0.25">
      <c r="B4804" s="4">
        <v>4799</v>
      </c>
      <c r="C4804" s="4">
        <v>189.0287437358449</v>
      </c>
      <c r="D4804" s="45"/>
    </row>
    <row r="4805" spans="2:4" ht="16" thickBot="1" x14ac:dyDescent="0.25">
      <c r="B4805" s="5">
        <v>4800</v>
      </c>
      <c r="C4805" s="5">
        <v>186.0091934771965</v>
      </c>
      <c r="D4805" s="45"/>
    </row>
    <row r="4806" spans="2:4" ht="16" thickBot="1" x14ac:dyDescent="0.25">
      <c r="B4806" s="4">
        <v>4801</v>
      </c>
      <c r="C4806" s="4">
        <v>189.92400282086456</v>
      </c>
      <c r="D4806" s="45"/>
    </row>
    <row r="4807" spans="2:4" ht="16" thickBot="1" x14ac:dyDescent="0.25">
      <c r="B4807" s="5">
        <v>4802</v>
      </c>
      <c r="C4807" s="5">
        <v>362.57077025043696</v>
      </c>
      <c r="D4807" s="45"/>
    </row>
    <row r="4808" spans="2:4" ht="16" thickBot="1" x14ac:dyDescent="0.25">
      <c r="B4808" s="4">
        <v>4803</v>
      </c>
      <c r="C4808" s="4">
        <v>259.24900905957765</v>
      </c>
      <c r="D4808" s="45"/>
    </row>
    <row r="4809" spans="2:4" ht="16" thickBot="1" x14ac:dyDescent="0.25">
      <c r="B4809" s="5">
        <v>4804</v>
      </c>
      <c r="C4809" s="5">
        <v>207.00578140461718</v>
      </c>
      <c r="D4809" s="45"/>
    </row>
    <row r="4810" spans="2:4" ht="16" thickBot="1" x14ac:dyDescent="0.25">
      <c r="B4810" s="4">
        <v>4805</v>
      </c>
      <c r="C4810" s="4">
        <v>206.54366140676245</v>
      </c>
      <c r="D4810" s="45"/>
    </row>
    <row r="4811" spans="2:4" ht="16" thickBot="1" x14ac:dyDescent="0.25">
      <c r="B4811" s="5">
        <v>4806</v>
      </c>
      <c r="C4811" s="5">
        <v>164.63106813391843</v>
      </c>
      <c r="D4811" s="45"/>
    </row>
    <row r="4812" spans="2:4" ht="16" thickBot="1" x14ac:dyDescent="0.25">
      <c r="B4812" s="4">
        <v>4807</v>
      </c>
      <c r="C4812" s="4">
        <v>77.626632193812398</v>
      </c>
      <c r="D4812" s="45"/>
    </row>
    <row r="4813" spans="2:4" ht="16" thickBot="1" x14ac:dyDescent="0.25">
      <c r="B4813" s="5">
        <v>4808</v>
      </c>
      <c r="C4813" s="5">
        <v>174.0433688562741</v>
      </c>
      <c r="D4813" s="45"/>
    </row>
    <row r="4814" spans="2:4" ht="16" thickBot="1" x14ac:dyDescent="0.25">
      <c r="B4814" s="4">
        <v>4809</v>
      </c>
      <c r="C4814" s="4">
        <v>260.60060256332264</v>
      </c>
      <c r="D4814" s="45"/>
    </row>
    <row r="4815" spans="2:4" ht="16" thickBot="1" x14ac:dyDescent="0.25">
      <c r="B4815" s="5">
        <v>4810</v>
      </c>
      <c r="C4815" s="5">
        <v>155.0447993425571</v>
      </c>
      <c r="D4815" s="45"/>
    </row>
    <row r="4816" spans="2:4" ht="16" thickBot="1" x14ac:dyDescent="0.25">
      <c r="B4816" s="4">
        <v>4811</v>
      </c>
      <c r="C4816" s="4">
        <v>122.90919055565541</v>
      </c>
      <c r="D4816" s="45"/>
    </row>
    <row r="4817" spans="2:4" ht="16" thickBot="1" x14ac:dyDescent="0.25">
      <c r="B4817" s="5">
        <v>4812</v>
      </c>
      <c r="C4817" s="5">
        <v>84.861359697085419</v>
      </c>
      <c r="D4817" s="45"/>
    </row>
    <row r="4818" spans="2:4" ht="16" thickBot="1" x14ac:dyDescent="0.25">
      <c r="B4818" s="4">
        <v>4813</v>
      </c>
      <c r="C4818" s="4">
        <v>72.259731942131793</v>
      </c>
      <c r="D4818" s="45"/>
    </row>
    <row r="4819" spans="2:4" ht="16" thickBot="1" x14ac:dyDescent="0.25">
      <c r="B4819" s="5">
        <v>4814</v>
      </c>
      <c r="C4819" s="5">
        <v>122.8397300350907</v>
      </c>
      <c r="D4819" s="45"/>
    </row>
    <row r="4820" spans="2:4" ht="16" thickBot="1" x14ac:dyDescent="0.25">
      <c r="B4820" s="4">
        <v>4815</v>
      </c>
      <c r="C4820" s="4">
        <v>155.17129872459651</v>
      </c>
      <c r="D4820" s="45"/>
    </row>
    <row r="4821" spans="2:4" ht="16" thickBot="1" x14ac:dyDescent="0.25">
      <c r="B4821" s="5">
        <v>4816</v>
      </c>
      <c r="C4821" s="5">
        <v>130.61095591846998</v>
      </c>
      <c r="D4821" s="45"/>
    </row>
    <row r="4822" spans="2:4" ht="16" thickBot="1" x14ac:dyDescent="0.25">
      <c r="B4822" s="4">
        <v>4817</v>
      </c>
      <c r="C4822" s="4">
        <v>266.40993550843643</v>
      </c>
      <c r="D4822" s="45"/>
    </row>
    <row r="4823" spans="2:4" ht="16" thickBot="1" x14ac:dyDescent="0.25">
      <c r="B4823" s="5">
        <v>4818</v>
      </c>
      <c r="C4823" s="5">
        <v>101.1319979763948</v>
      </c>
      <c r="D4823" s="45"/>
    </row>
    <row r="4824" spans="2:4" ht="16" thickBot="1" x14ac:dyDescent="0.25">
      <c r="B4824" s="4">
        <v>4819</v>
      </c>
      <c r="C4824" s="4">
        <v>114.80978310714281</v>
      </c>
      <c r="D4824" s="45"/>
    </row>
    <row r="4825" spans="2:4" ht="16" thickBot="1" x14ac:dyDescent="0.25">
      <c r="B4825" s="5">
        <v>4820</v>
      </c>
      <c r="C4825" s="5">
        <v>74.144365254014602</v>
      </c>
      <c r="D4825" s="45"/>
    </row>
    <row r="4826" spans="2:4" ht="16" thickBot="1" x14ac:dyDescent="0.25">
      <c r="B4826" s="4">
        <v>4821</v>
      </c>
      <c r="C4826" s="4">
        <v>222.11636924372715</v>
      </c>
      <c r="D4826" s="45"/>
    </row>
    <row r="4827" spans="2:4" ht="16" thickBot="1" x14ac:dyDescent="0.25">
      <c r="B4827" s="5">
        <v>4822</v>
      </c>
      <c r="C4827" s="5">
        <v>138.27001094678573</v>
      </c>
      <c r="D4827" s="45"/>
    </row>
    <row r="4828" spans="2:4" ht="16" thickBot="1" x14ac:dyDescent="0.25">
      <c r="B4828" s="4">
        <v>4823</v>
      </c>
      <c r="C4828" s="4">
        <v>69.420043223807809</v>
      </c>
      <c r="D4828" s="45"/>
    </row>
    <row r="4829" spans="2:4" ht="16" thickBot="1" x14ac:dyDescent="0.25">
      <c r="B4829" s="5">
        <v>4824</v>
      </c>
      <c r="C4829" s="5">
        <v>105.28491512769455</v>
      </c>
      <c r="D4829" s="45"/>
    </row>
    <row r="4830" spans="2:4" ht="16" thickBot="1" x14ac:dyDescent="0.25">
      <c r="B4830" s="4">
        <v>4825</v>
      </c>
      <c r="C4830" s="4">
        <v>157.55467773917391</v>
      </c>
      <c r="D4830" s="45"/>
    </row>
    <row r="4831" spans="2:4" ht="16" thickBot="1" x14ac:dyDescent="0.25">
      <c r="B4831" s="5">
        <v>4826</v>
      </c>
      <c r="C4831" s="5">
        <v>144.24873651839064</v>
      </c>
      <c r="D4831" s="45"/>
    </row>
    <row r="4832" spans="2:4" ht="16" thickBot="1" x14ac:dyDescent="0.25">
      <c r="B4832" s="4">
        <v>4827</v>
      </c>
      <c r="C4832" s="4">
        <v>116.99893145962662</v>
      </c>
      <c r="D4832" s="45"/>
    </row>
    <row r="4833" spans="2:4" ht="16" thickBot="1" x14ac:dyDescent="0.25">
      <c r="B4833" s="5">
        <v>4828</v>
      </c>
      <c r="C4833" s="5">
        <v>186.21333306457169</v>
      </c>
      <c r="D4833" s="45"/>
    </row>
    <row r="4834" spans="2:4" ht="16" thickBot="1" x14ac:dyDescent="0.25">
      <c r="B4834" s="4">
        <v>4829</v>
      </c>
      <c r="C4834" s="4">
        <v>146.56845880960731</v>
      </c>
      <c r="D4834" s="45"/>
    </row>
    <row r="4835" spans="2:4" ht="16" thickBot="1" x14ac:dyDescent="0.25">
      <c r="B4835" s="5">
        <v>4830</v>
      </c>
      <c r="C4835" s="5">
        <v>136.94882017538757</v>
      </c>
      <c r="D4835" s="45"/>
    </row>
    <row r="4836" spans="2:4" ht="16" thickBot="1" x14ac:dyDescent="0.25">
      <c r="B4836" s="4">
        <v>4831</v>
      </c>
      <c r="C4836" s="4">
        <v>88.539164997931834</v>
      </c>
      <c r="D4836" s="45"/>
    </row>
    <row r="4837" spans="2:4" ht="16" thickBot="1" x14ac:dyDescent="0.25">
      <c r="B4837" s="5">
        <v>4832</v>
      </c>
      <c r="C4837" s="5">
        <v>107.98307944769674</v>
      </c>
      <c r="D4837" s="45"/>
    </row>
    <row r="4838" spans="2:4" ht="16" thickBot="1" x14ac:dyDescent="0.25">
      <c r="B4838" s="4">
        <v>4833</v>
      </c>
      <c r="C4838" s="4">
        <v>229.5140802788886</v>
      </c>
      <c r="D4838" s="45"/>
    </row>
    <row r="4839" spans="2:4" ht="16" thickBot="1" x14ac:dyDescent="0.25">
      <c r="B4839" s="5">
        <v>4834</v>
      </c>
      <c r="C4839" s="5">
        <v>139.24465196195433</v>
      </c>
      <c r="D4839" s="45"/>
    </row>
    <row r="4840" spans="2:4" ht="16" thickBot="1" x14ac:dyDescent="0.25">
      <c r="B4840" s="4">
        <v>4835</v>
      </c>
      <c r="C4840" s="4">
        <v>231.93158983521803</v>
      </c>
      <c r="D4840" s="45"/>
    </row>
    <row r="4841" spans="2:4" ht="16" thickBot="1" x14ac:dyDescent="0.25">
      <c r="B4841" s="5">
        <v>4836</v>
      </c>
      <c r="C4841" s="5">
        <v>304.64220739680235</v>
      </c>
      <c r="D4841" s="45"/>
    </row>
    <row r="4842" spans="2:4" ht="16" thickBot="1" x14ac:dyDescent="0.25">
      <c r="B4842" s="4">
        <v>4837</v>
      </c>
      <c r="C4842" s="4">
        <v>153.55605375224152</v>
      </c>
      <c r="D4842" s="45"/>
    </row>
    <row r="4843" spans="2:4" ht="16" thickBot="1" x14ac:dyDescent="0.25">
      <c r="B4843" s="5">
        <v>4838</v>
      </c>
      <c r="C4843" s="5">
        <v>191.6105675063057</v>
      </c>
      <c r="D4843" s="45"/>
    </row>
    <row r="4844" spans="2:4" ht="16" thickBot="1" x14ac:dyDescent="0.25">
      <c r="B4844" s="4">
        <v>4839</v>
      </c>
      <c r="C4844" s="4">
        <v>223.61447521655094</v>
      </c>
      <c r="D4844" s="45"/>
    </row>
    <row r="4845" spans="2:4" ht="16" thickBot="1" x14ac:dyDescent="0.25">
      <c r="B4845" s="5">
        <v>4840</v>
      </c>
      <c r="C4845" s="5">
        <v>212.38081616679452</v>
      </c>
      <c r="D4845" s="45"/>
    </row>
    <row r="4846" spans="2:4" ht="16" thickBot="1" x14ac:dyDescent="0.25">
      <c r="B4846" s="4">
        <v>4841</v>
      </c>
      <c r="C4846" s="4">
        <v>353.27991088106666</v>
      </c>
      <c r="D4846" s="45"/>
    </row>
    <row r="4847" spans="2:4" ht="16" thickBot="1" x14ac:dyDescent="0.25">
      <c r="B4847" s="5">
        <v>4842</v>
      </c>
      <c r="C4847" s="5">
        <v>108.21892324910742</v>
      </c>
      <c r="D4847" s="45"/>
    </row>
    <row r="4848" spans="2:4" ht="16" thickBot="1" x14ac:dyDescent="0.25">
      <c r="B4848" s="4">
        <v>4843</v>
      </c>
      <c r="C4848" s="4">
        <v>192.69222215251199</v>
      </c>
      <c r="D4848" s="45"/>
    </row>
    <row r="4849" spans="2:4" ht="16" thickBot="1" x14ac:dyDescent="0.25">
      <c r="B4849" s="5">
        <v>4844</v>
      </c>
      <c r="C4849" s="5">
        <v>85.086391426152304</v>
      </c>
      <c r="D4849" s="45"/>
    </row>
    <row r="4850" spans="2:4" ht="16" thickBot="1" x14ac:dyDescent="0.25">
      <c r="B4850" s="4">
        <v>4845</v>
      </c>
      <c r="C4850" s="4">
        <v>141.92129743861599</v>
      </c>
      <c r="D4850" s="45"/>
    </row>
    <row r="4851" spans="2:4" ht="16" thickBot="1" x14ac:dyDescent="0.25">
      <c r="B4851" s="5">
        <v>4846</v>
      </c>
      <c r="C4851" s="5">
        <v>145.18033524156385</v>
      </c>
      <c r="D4851" s="45"/>
    </row>
    <row r="4852" spans="2:4" ht="16" thickBot="1" x14ac:dyDescent="0.25">
      <c r="B4852" s="4">
        <v>4847</v>
      </c>
      <c r="C4852" s="4">
        <v>462.6353646948466</v>
      </c>
      <c r="D4852" s="45"/>
    </row>
    <row r="4853" spans="2:4" ht="16" thickBot="1" x14ac:dyDescent="0.25">
      <c r="B4853" s="5">
        <v>4848</v>
      </c>
      <c r="C4853" s="5">
        <v>66.236456622334316</v>
      </c>
      <c r="D4853" s="45"/>
    </row>
    <row r="4854" spans="2:4" ht="16" thickBot="1" x14ac:dyDescent="0.25">
      <c r="B4854" s="4">
        <v>4849</v>
      </c>
      <c r="C4854" s="4">
        <v>113.64978573378997</v>
      </c>
      <c r="D4854" s="45"/>
    </row>
    <row r="4855" spans="2:4" ht="16" thickBot="1" x14ac:dyDescent="0.25">
      <c r="B4855" s="5">
        <v>4850</v>
      </c>
      <c r="C4855" s="5">
        <v>234.64892736612293</v>
      </c>
      <c r="D4855" s="45"/>
    </row>
    <row r="4856" spans="2:4" ht="16" thickBot="1" x14ac:dyDescent="0.25">
      <c r="B4856" s="4">
        <v>4851</v>
      </c>
      <c r="C4856" s="4">
        <v>121.80060359941113</v>
      </c>
      <c r="D4856" s="45"/>
    </row>
    <row r="4857" spans="2:4" ht="16" thickBot="1" x14ac:dyDescent="0.25">
      <c r="B4857" s="5">
        <v>4852</v>
      </c>
      <c r="C4857" s="5">
        <v>150.30798664499085</v>
      </c>
      <c r="D4857" s="45"/>
    </row>
    <row r="4858" spans="2:4" ht="16" thickBot="1" x14ac:dyDescent="0.25">
      <c r="B4858" s="4">
        <v>4853</v>
      </c>
      <c r="C4858" s="4">
        <v>84.926714083532048</v>
      </c>
      <c r="D4858" s="45"/>
    </row>
    <row r="4859" spans="2:4" ht="16" thickBot="1" x14ac:dyDescent="0.25">
      <c r="B4859" s="5">
        <v>4854</v>
      </c>
      <c r="C4859" s="5">
        <v>314.07416360767741</v>
      </c>
      <c r="D4859" s="45"/>
    </row>
    <row r="4860" spans="2:4" ht="16" thickBot="1" x14ac:dyDescent="0.25">
      <c r="B4860" s="4">
        <v>4855</v>
      </c>
      <c r="C4860" s="4">
        <v>186.83067569828785</v>
      </c>
      <c r="D4860" s="45"/>
    </row>
    <row r="4861" spans="2:4" ht="16" thickBot="1" x14ac:dyDescent="0.25">
      <c r="B4861" s="5">
        <v>4856</v>
      </c>
      <c r="C4861" s="5">
        <v>205.37610977444993</v>
      </c>
      <c r="D4861" s="45"/>
    </row>
    <row r="4862" spans="2:4" ht="16" thickBot="1" x14ac:dyDescent="0.25">
      <c r="B4862" s="4">
        <v>4857</v>
      </c>
      <c r="C4862" s="4">
        <v>146.54340465904272</v>
      </c>
      <c r="D4862" s="45"/>
    </row>
    <row r="4863" spans="2:4" ht="16" thickBot="1" x14ac:dyDescent="0.25">
      <c r="B4863" s="5">
        <v>4858</v>
      </c>
      <c r="C4863" s="5">
        <v>124.15138322980866</v>
      </c>
      <c r="D4863" s="45"/>
    </row>
    <row r="4864" spans="2:4" ht="16" thickBot="1" x14ac:dyDescent="0.25">
      <c r="B4864" s="4">
        <v>4859</v>
      </c>
      <c r="C4864" s="4">
        <v>134.27729567588881</v>
      </c>
      <c r="D4864" s="45"/>
    </row>
    <row r="4865" spans="2:4" ht="16" thickBot="1" x14ac:dyDescent="0.25">
      <c r="B4865" s="5">
        <v>4860</v>
      </c>
      <c r="C4865" s="5">
        <v>122.11228096435087</v>
      </c>
      <c r="D4865" s="45"/>
    </row>
    <row r="4866" spans="2:4" ht="16" thickBot="1" x14ac:dyDescent="0.25">
      <c r="B4866" s="4">
        <v>4861</v>
      </c>
      <c r="C4866" s="4">
        <v>76.288009735469259</v>
      </c>
      <c r="D4866" s="45"/>
    </row>
    <row r="4867" spans="2:4" ht="16" thickBot="1" x14ac:dyDescent="0.25">
      <c r="B4867" s="5">
        <v>4862</v>
      </c>
      <c r="C4867" s="5">
        <v>73.602162730839623</v>
      </c>
      <c r="D4867" s="45"/>
    </row>
    <row r="4868" spans="2:4" ht="16" thickBot="1" x14ac:dyDescent="0.25">
      <c r="B4868" s="4">
        <v>4863</v>
      </c>
      <c r="C4868" s="4">
        <v>228.62914038394194</v>
      </c>
      <c r="D4868" s="45"/>
    </row>
    <row r="4869" spans="2:4" ht="16" thickBot="1" x14ac:dyDescent="0.25">
      <c r="B4869" s="5">
        <v>4864</v>
      </c>
      <c r="C4869" s="5">
        <v>174.56792479754665</v>
      </c>
      <c r="D4869" s="45"/>
    </row>
    <row r="4870" spans="2:4" ht="16" thickBot="1" x14ac:dyDescent="0.25">
      <c r="B4870" s="4">
        <v>4865</v>
      </c>
      <c r="C4870" s="4">
        <v>83.502236765845652</v>
      </c>
      <c r="D4870" s="45"/>
    </row>
    <row r="4871" spans="2:4" ht="16" thickBot="1" x14ac:dyDescent="0.25">
      <c r="B4871" s="5">
        <v>4866</v>
      </c>
      <c r="C4871" s="5">
        <v>127.48250846095448</v>
      </c>
      <c r="D4871" s="45"/>
    </row>
    <row r="4872" spans="2:4" ht="16" thickBot="1" x14ac:dyDescent="0.25">
      <c r="B4872" s="4">
        <v>4867</v>
      </c>
      <c r="C4872" s="4">
        <v>60.559181914815355</v>
      </c>
      <c r="D4872" s="45"/>
    </row>
    <row r="4873" spans="2:4" ht="16" thickBot="1" x14ac:dyDescent="0.25">
      <c r="B4873" s="5">
        <v>4868</v>
      </c>
      <c r="C4873" s="5">
        <v>150.86271912636144</v>
      </c>
      <c r="D4873" s="45"/>
    </row>
    <row r="4874" spans="2:4" ht="16" thickBot="1" x14ac:dyDescent="0.25">
      <c r="B4874" s="4">
        <v>4869</v>
      </c>
      <c r="C4874" s="4">
        <v>149.40892051900963</v>
      </c>
      <c r="D4874" s="45"/>
    </row>
    <row r="4875" spans="2:4" ht="16" thickBot="1" x14ac:dyDescent="0.25">
      <c r="B4875" s="5">
        <v>4870</v>
      </c>
      <c r="C4875" s="5">
        <v>53.926304180089311</v>
      </c>
      <c r="D4875" s="45"/>
    </row>
    <row r="4876" spans="2:4" ht="16" thickBot="1" x14ac:dyDescent="0.25">
      <c r="B4876" s="4">
        <v>4871</v>
      </c>
      <c r="C4876" s="4">
        <v>187.96856104490996</v>
      </c>
      <c r="D4876" s="45"/>
    </row>
    <row r="4877" spans="2:4" ht="16" thickBot="1" x14ac:dyDescent="0.25">
      <c r="B4877" s="5">
        <v>4872</v>
      </c>
      <c r="C4877" s="5">
        <v>167.56105516409414</v>
      </c>
      <c r="D4877" s="45"/>
    </row>
    <row r="4878" spans="2:4" ht="16" thickBot="1" x14ac:dyDescent="0.25">
      <c r="B4878" s="4">
        <v>4873</v>
      </c>
      <c r="C4878" s="4">
        <v>118.8042905633599</v>
      </c>
      <c r="D4878" s="45"/>
    </row>
    <row r="4879" spans="2:4" ht="16" thickBot="1" x14ac:dyDescent="0.25">
      <c r="B4879" s="5">
        <v>4874</v>
      </c>
      <c r="C4879" s="5">
        <v>93.883534916419819</v>
      </c>
      <c r="D4879" s="45"/>
    </row>
    <row r="4880" spans="2:4" ht="16" thickBot="1" x14ac:dyDescent="0.25">
      <c r="B4880" s="4">
        <v>4875</v>
      </c>
      <c r="C4880" s="4">
        <v>152.04186004411198</v>
      </c>
      <c r="D4880" s="45"/>
    </row>
    <row r="4881" spans="2:4" ht="16" thickBot="1" x14ac:dyDescent="0.25">
      <c r="B4881" s="5">
        <v>4876</v>
      </c>
      <c r="C4881" s="5">
        <v>150.36808132538894</v>
      </c>
      <c r="D4881" s="45"/>
    </row>
    <row r="4882" spans="2:4" ht="16" thickBot="1" x14ac:dyDescent="0.25">
      <c r="B4882" s="4">
        <v>4877</v>
      </c>
      <c r="C4882" s="4">
        <v>339.0120241597657</v>
      </c>
      <c r="D4882" s="45"/>
    </row>
    <row r="4883" spans="2:4" ht="16" thickBot="1" x14ac:dyDescent="0.25">
      <c r="B4883" s="5">
        <v>4878</v>
      </c>
      <c r="C4883" s="5">
        <v>206.15886368101968</v>
      </c>
      <c r="D4883" s="45"/>
    </row>
    <row r="4884" spans="2:4" ht="16" thickBot="1" x14ac:dyDescent="0.25">
      <c r="B4884" s="4">
        <v>4879</v>
      </c>
      <c r="C4884" s="4">
        <v>219.95324354531667</v>
      </c>
      <c r="D4884" s="45"/>
    </row>
    <row r="4885" spans="2:4" ht="16" thickBot="1" x14ac:dyDescent="0.25">
      <c r="B4885" s="5">
        <v>4880</v>
      </c>
      <c r="C4885" s="5">
        <v>50.874456296558186</v>
      </c>
      <c r="D4885" s="45"/>
    </row>
    <row r="4886" spans="2:4" ht="16" thickBot="1" x14ac:dyDescent="0.25">
      <c r="B4886" s="4">
        <v>4881</v>
      </c>
      <c r="C4886" s="4">
        <v>153.602282746801</v>
      </c>
      <c r="D4886" s="45"/>
    </row>
    <row r="4887" spans="2:4" ht="16" thickBot="1" x14ac:dyDescent="0.25">
      <c r="B4887" s="5">
        <v>4882</v>
      </c>
      <c r="C4887" s="5">
        <v>640.62989062196687</v>
      </c>
      <c r="D4887" s="45"/>
    </row>
    <row r="4888" spans="2:4" ht="16" thickBot="1" x14ac:dyDescent="0.25">
      <c r="B4888" s="4">
        <v>4883</v>
      </c>
      <c r="C4888" s="4">
        <v>147.15726978327018</v>
      </c>
      <c r="D4888" s="45"/>
    </row>
    <row r="4889" spans="2:4" ht="16" thickBot="1" x14ac:dyDescent="0.25">
      <c r="B4889" s="5">
        <v>4884</v>
      </c>
      <c r="C4889" s="5">
        <v>151.11900561251929</v>
      </c>
      <c r="D4889" s="45"/>
    </row>
    <row r="4890" spans="2:4" ht="16" thickBot="1" x14ac:dyDescent="0.25">
      <c r="B4890" s="4">
        <v>4885</v>
      </c>
      <c r="C4890" s="4">
        <v>213.82187361786316</v>
      </c>
      <c r="D4890" s="45"/>
    </row>
    <row r="4891" spans="2:4" ht="16" thickBot="1" x14ac:dyDescent="0.25">
      <c r="B4891" s="5">
        <v>4886</v>
      </c>
      <c r="C4891" s="5">
        <v>245.49083781119336</v>
      </c>
      <c r="D4891" s="45"/>
    </row>
    <row r="4892" spans="2:4" ht="16" thickBot="1" x14ac:dyDescent="0.25">
      <c r="B4892" s="4">
        <v>4887</v>
      </c>
      <c r="C4892" s="4">
        <v>67.972706832512443</v>
      </c>
      <c r="D4892" s="45"/>
    </row>
    <row r="4893" spans="2:4" ht="16" thickBot="1" x14ac:dyDescent="0.25">
      <c r="B4893" s="5">
        <v>4888</v>
      </c>
      <c r="C4893" s="5">
        <v>118.7073327362446</v>
      </c>
      <c r="D4893" s="45"/>
    </row>
    <row r="4894" spans="2:4" ht="16" thickBot="1" x14ac:dyDescent="0.25">
      <c r="B4894" s="4">
        <v>4889</v>
      </c>
      <c r="C4894" s="4">
        <v>278.05456987527305</v>
      </c>
      <c r="D4894" s="45"/>
    </row>
    <row r="4895" spans="2:4" ht="16" thickBot="1" x14ac:dyDescent="0.25">
      <c r="B4895" s="5">
        <v>4890</v>
      </c>
      <c r="C4895" s="5">
        <v>172.0813249111732</v>
      </c>
      <c r="D4895" s="45"/>
    </row>
    <row r="4896" spans="2:4" ht="16" thickBot="1" x14ac:dyDescent="0.25">
      <c r="B4896" s="4">
        <v>4891</v>
      </c>
      <c r="C4896" s="4">
        <v>136.02302385170529</v>
      </c>
      <c r="D4896" s="45"/>
    </row>
    <row r="4897" spans="2:4" ht="16" thickBot="1" x14ac:dyDescent="0.25">
      <c r="B4897" s="5">
        <v>4892</v>
      </c>
      <c r="C4897" s="5">
        <v>497.51784897978769</v>
      </c>
      <c r="D4897" s="45"/>
    </row>
    <row r="4898" spans="2:4" ht="16" thickBot="1" x14ac:dyDescent="0.25">
      <c r="B4898" s="4">
        <v>4893</v>
      </c>
      <c r="C4898" s="4">
        <v>150.62082785811478</v>
      </c>
      <c r="D4898" s="45"/>
    </row>
    <row r="4899" spans="2:4" ht="16" thickBot="1" x14ac:dyDescent="0.25">
      <c r="B4899" s="5">
        <v>4894</v>
      </c>
      <c r="C4899" s="5">
        <v>37.561458839420581</v>
      </c>
      <c r="D4899" s="45"/>
    </row>
    <row r="4900" spans="2:4" ht="16" thickBot="1" x14ac:dyDescent="0.25">
      <c r="B4900" s="4">
        <v>4895</v>
      </c>
      <c r="C4900" s="4">
        <v>93.071604711949163</v>
      </c>
      <c r="D4900" s="45"/>
    </row>
    <row r="4901" spans="2:4" ht="16" thickBot="1" x14ac:dyDescent="0.25">
      <c r="B4901" s="5">
        <v>4896</v>
      </c>
      <c r="C4901" s="5">
        <v>99.538250030650403</v>
      </c>
      <c r="D4901" s="45"/>
    </row>
    <row r="4902" spans="2:4" ht="16" thickBot="1" x14ac:dyDescent="0.25">
      <c r="B4902" s="4">
        <v>4897</v>
      </c>
      <c r="C4902" s="4">
        <v>168.3057489851146</v>
      </c>
      <c r="D4902" s="45"/>
    </row>
    <row r="4903" spans="2:4" ht="16" thickBot="1" x14ac:dyDescent="0.25">
      <c r="B4903" s="5">
        <v>4898</v>
      </c>
      <c r="C4903" s="5">
        <v>149.95161654595631</v>
      </c>
      <c r="D4903" s="45"/>
    </row>
    <row r="4904" spans="2:4" ht="16" thickBot="1" x14ac:dyDescent="0.25">
      <c r="B4904" s="4">
        <v>4899</v>
      </c>
      <c r="C4904" s="4">
        <v>216.61854076732061</v>
      </c>
      <c r="D4904" s="45"/>
    </row>
    <row r="4905" spans="2:4" ht="16" thickBot="1" x14ac:dyDescent="0.25">
      <c r="B4905" s="5">
        <v>4900</v>
      </c>
      <c r="C4905" s="5">
        <v>208.61446522640799</v>
      </c>
      <c r="D4905" s="45"/>
    </row>
    <row r="4906" spans="2:4" ht="16" thickBot="1" x14ac:dyDescent="0.25">
      <c r="B4906" s="4">
        <v>4901</v>
      </c>
      <c r="C4906" s="4">
        <v>144.74014826336077</v>
      </c>
      <c r="D4906" s="45"/>
    </row>
    <row r="4907" spans="2:4" ht="16" thickBot="1" x14ac:dyDescent="0.25">
      <c r="B4907" s="5">
        <v>4902</v>
      </c>
      <c r="C4907" s="5">
        <v>183.4148736864644</v>
      </c>
      <c r="D4907" s="45"/>
    </row>
    <row r="4908" spans="2:4" ht="16" thickBot="1" x14ac:dyDescent="0.25">
      <c r="B4908" s="4">
        <v>4903</v>
      </c>
      <c r="C4908" s="4">
        <v>204.83961029864605</v>
      </c>
      <c r="D4908" s="45"/>
    </row>
    <row r="4909" spans="2:4" ht="16" thickBot="1" x14ac:dyDescent="0.25">
      <c r="B4909" s="5">
        <v>4904</v>
      </c>
      <c r="C4909" s="5">
        <v>162.84178837370172</v>
      </c>
      <c r="D4909" s="45"/>
    </row>
    <row r="4910" spans="2:4" ht="16" thickBot="1" x14ac:dyDescent="0.25">
      <c r="B4910" s="4">
        <v>4905</v>
      </c>
      <c r="C4910" s="4">
        <v>153.08141080749661</v>
      </c>
      <c r="D4910" s="45"/>
    </row>
    <row r="4911" spans="2:4" ht="16" thickBot="1" x14ac:dyDescent="0.25">
      <c r="B4911" s="5">
        <v>4906</v>
      </c>
      <c r="C4911" s="5">
        <v>126.87807644750666</v>
      </c>
      <c r="D4911" s="45"/>
    </row>
    <row r="4912" spans="2:4" ht="16" thickBot="1" x14ac:dyDescent="0.25">
      <c r="B4912" s="4">
        <v>4907</v>
      </c>
      <c r="C4912" s="4">
        <v>101.91322902163999</v>
      </c>
      <c r="D4912" s="45"/>
    </row>
    <row r="4913" spans="2:4" ht="16" thickBot="1" x14ac:dyDescent="0.25">
      <c r="B4913" s="5">
        <v>4908</v>
      </c>
      <c r="C4913" s="5">
        <v>64.470328663452847</v>
      </c>
      <c r="D4913" s="45"/>
    </row>
    <row r="4914" spans="2:4" ht="16" thickBot="1" x14ac:dyDescent="0.25">
      <c r="B4914" s="4">
        <v>4909</v>
      </c>
      <c r="C4914" s="4">
        <v>77.915615669588377</v>
      </c>
      <c r="D4914" s="45"/>
    </row>
    <row r="4915" spans="2:4" ht="16" thickBot="1" x14ac:dyDescent="0.25">
      <c r="B4915" s="5">
        <v>4910</v>
      </c>
      <c r="C4915" s="5">
        <v>142.21426351989348</v>
      </c>
      <c r="D4915" s="45"/>
    </row>
    <row r="4916" spans="2:4" ht="16" thickBot="1" x14ac:dyDescent="0.25">
      <c r="B4916" s="4">
        <v>4911</v>
      </c>
      <c r="C4916" s="4">
        <v>205.91857668576566</v>
      </c>
      <c r="D4916" s="45"/>
    </row>
    <row r="4917" spans="2:4" ht="16" thickBot="1" x14ac:dyDescent="0.25">
      <c r="B4917" s="5">
        <v>4912</v>
      </c>
      <c r="C4917" s="5">
        <v>179.54174907469022</v>
      </c>
      <c r="D4917" s="45"/>
    </row>
    <row r="4918" spans="2:4" ht="16" thickBot="1" x14ac:dyDescent="0.25">
      <c r="B4918" s="4">
        <v>4913</v>
      </c>
      <c r="C4918" s="4">
        <v>132.65221406306384</v>
      </c>
      <c r="D4918" s="45"/>
    </row>
    <row r="4919" spans="2:4" ht="16" thickBot="1" x14ac:dyDescent="0.25">
      <c r="B4919" s="5">
        <v>4914</v>
      </c>
      <c r="C4919" s="5">
        <v>247.27949301998299</v>
      </c>
      <c r="D4919" s="45"/>
    </row>
    <row r="4920" spans="2:4" ht="16" thickBot="1" x14ac:dyDescent="0.25">
      <c r="B4920" s="4">
        <v>4915</v>
      </c>
      <c r="C4920" s="4">
        <v>103.49571052503752</v>
      </c>
      <c r="D4920" s="45"/>
    </row>
    <row r="4921" spans="2:4" ht="16" thickBot="1" x14ac:dyDescent="0.25">
      <c r="B4921" s="5">
        <v>4916</v>
      </c>
      <c r="C4921" s="5">
        <v>157.94549422308953</v>
      </c>
      <c r="D4921" s="45"/>
    </row>
    <row r="4922" spans="2:4" ht="16" thickBot="1" x14ac:dyDescent="0.25">
      <c r="B4922" s="4">
        <v>4917</v>
      </c>
      <c r="C4922" s="4">
        <v>86.306304537221322</v>
      </c>
      <c r="D4922" s="45"/>
    </row>
    <row r="4923" spans="2:4" ht="16" thickBot="1" x14ac:dyDescent="0.25">
      <c r="B4923" s="5">
        <v>4918</v>
      </c>
      <c r="C4923" s="5">
        <v>43.984521577653709</v>
      </c>
      <c r="D4923" s="45"/>
    </row>
    <row r="4924" spans="2:4" ht="16" thickBot="1" x14ac:dyDescent="0.25">
      <c r="B4924" s="4">
        <v>4919</v>
      </c>
      <c r="C4924" s="4">
        <v>315.61214270526079</v>
      </c>
      <c r="D4924" s="45"/>
    </row>
    <row r="4925" spans="2:4" ht="16" thickBot="1" x14ac:dyDescent="0.25">
      <c r="B4925" s="5">
        <v>4920</v>
      </c>
      <c r="C4925" s="5">
        <v>241.8795138650658</v>
      </c>
      <c r="D4925" s="45"/>
    </row>
    <row r="4926" spans="2:4" ht="16" thickBot="1" x14ac:dyDescent="0.25">
      <c r="B4926" s="4">
        <v>4921</v>
      </c>
      <c r="C4926" s="4">
        <v>113.69914903290261</v>
      </c>
      <c r="D4926" s="45"/>
    </row>
    <row r="4927" spans="2:4" ht="16" thickBot="1" x14ac:dyDescent="0.25">
      <c r="B4927" s="5">
        <v>4922</v>
      </c>
      <c r="C4927" s="5">
        <v>162.49113731116694</v>
      </c>
      <c r="D4927" s="45"/>
    </row>
    <row r="4928" spans="2:4" ht="16" thickBot="1" x14ac:dyDescent="0.25">
      <c r="B4928" s="4">
        <v>4923</v>
      </c>
      <c r="C4928" s="4">
        <v>263.51158016417287</v>
      </c>
      <c r="D4928" s="45"/>
    </row>
    <row r="4929" spans="2:4" ht="16" thickBot="1" x14ac:dyDescent="0.25">
      <c r="B4929" s="5">
        <v>4924</v>
      </c>
      <c r="C4929" s="5">
        <v>123.36077289481833</v>
      </c>
      <c r="D4929" s="45"/>
    </row>
    <row r="4930" spans="2:4" ht="16" thickBot="1" x14ac:dyDescent="0.25">
      <c r="B4930" s="4">
        <v>4925</v>
      </c>
      <c r="C4930" s="4">
        <v>99.580613450444815</v>
      </c>
      <c r="D4930" s="45"/>
    </row>
    <row r="4931" spans="2:4" ht="16" thickBot="1" x14ac:dyDescent="0.25">
      <c r="B4931" s="5">
        <v>4926</v>
      </c>
      <c r="C4931" s="5">
        <v>221.32999476486202</v>
      </c>
      <c r="D4931" s="45"/>
    </row>
    <row r="4932" spans="2:4" ht="16" thickBot="1" x14ac:dyDescent="0.25">
      <c r="B4932" s="4">
        <v>4927</v>
      </c>
      <c r="C4932" s="4">
        <v>279.20488687915662</v>
      </c>
      <c r="D4932" s="45"/>
    </row>
    <row r="4933" spans="2:4" ht="16" thickBot="1" x14ac:dyDescent="0.25">
      <c r="B4933" s="5">
        <v>4928</v>
      </c>
      <c r="C4933" s="5">
        <v>98.058872089763497</v>
      </c>
      <c r="D4933" s="45"/>
    </row>
    <row r="4934" spans="2:4" ht="16" thickBot="1" x14ac:dyDescent="0.25">
      <c r="B4934" s="4">
        <v>4929</v>
      </c>
      <c r="C4934" s="4">
        <v>61.758554245744961</v>
      </c>
      <c r="D4934" s="45"/>
    </row>
    <row r="4935" spans="2:4" ht="16" thickBot="1" x14ac:dyDescent="0.25">
      <c r="B4935" s="5">
        <v>4930</v>
      </c>
      <c r="C4935" s="5">
        <v>263.25530719571645</v>
      </c>
      <c r="D4935" s="45"/>
    </row>
    <row r="4936" spans="2:4" ht="16" thickBot="1" x14ac:dyDescent="0.25">
      <c r="B4936" s="4">
        <v>4931</v>
      </c>
      <c r="C4936" s="4">
        <v>146.93526892357852</v>
      </c>
      <c r="D4936" s="45"/>
    </row>
    <row r="4937" spans="2:4" ht="16" thickBot="1" x14ac:dyDescent="0.25">
      <c r="B4937" s="5">
        <v>4932</v>
      </c>
      <c r="C4937" s="5">
        <v>201.53531897077545</v>
      </c>
      <c r="D4937" s="45"/>
    </row>
    <row r="4938" spans="2:4" ht="16" thickBot="1" x14ac:dyDescent="0.25">
      <c r="B4938" s="4">
        <v>4933</v>
      </c>
      <c r="C4938" s="4">
        <v>137.53506985042941</v>
      </c>
      <c r="D4938" s="45"/>
    </row>
    <row r="4939" spans="2:4" ht="16" thickBot="1" x14ac:dyDescent="0.25">
      <c r="B4939" s="5">
        <v>4934</v>
      </c>
      <c r="C4939" s="5">
        <v>104.02009708627497</v>
      </c>
      <c r="D4939" s="45"/>
    </row>
    <row r="4940" spans="2:4" ht="16" thickBot="1" x14ac:dyDescent="0.25">
      <c r="B4940" s="4">
        <v>4935</v>
      </c>
      <c r="C4940" s="4">
        <v>84.063205754378203</v>
      </c>
      <c r="D4940" s="45"/>
    </row>
    <row r="4941" spans="2:4" ht="16" thickBot="1" x14ac:dyDescent="0.25">
      <c r="B4941" s="5">
        <v>4936</v>
      </c>
      <c r="C4941" s="5">
        <v>309.10758199437316</v>
      </c>
      <c r="D4941" s="45"/>
    </row>
    <row r="4942" spans="2:4" ht="16" thickBot="1" x14ac:dyDescent="0.25">
      <c r="B4942" s="4">
        <v>4937</v>
      </c>
      <c r="C4942" s="4">
        <v>273.00632942695802</v>
      </c>
      <c r="D4942" s="45"/>
    </row>
    <row r="4943" spans="2:4" ht="16" thickBot="1" x14ac:dyDescent="0.25">
      <c r="B4943" s="5">
        <v>4938</v>
      </c>
      <c r="C4943" s="5">
        <v>134.16179477100852</v>
      </c>
      <c r="D4943" s="45"/>
    </row>
    <row r="4944" spans="2:4" ht="16" thickBot="1" x14ac:dyDescent="0.25">
      <c r="B4944" s="4">
        <v>4939</v>
      </c>
      <c r="C4944" s="4">
        <v>136.00978276565914</v>
      </c>
      <c r="D4944" s="45"/>
    </row>
    <row r="4945" spans="2:4" ht="16" thickBot="1" x14ac:dyDescent="0.25">
      <c r="B4945" s="5">
        <v>4940</v>
      </c>
      <c r="C4945" s="5">
        <v>131.71073661776015</v>
      </c>
      <c r="D4945" s="45"/>
    </row>
    <row r="4946" spans="2:4" ht="16" thickBot="1" x14ac:dyDescent="0.25">
      <c r="B4946" s="4">
        <v>4941</v>
      </c>
      <c r="C4946" s="4">
        <v>169.28906394148262</v>
      </c>
      <c r="D4946" s="45"/>
    </row>
    <row r="4947" spans="2:4" ht="16" thickBot="1" x14ac:dyDescent="0.25">
      <c r="B4947" s="5">
        <v>4942</v>
      </c>
      <c r="C4947" s="5">
        <v>287.25383476093737</v>
      </c>
      <c r="D4947" s="45"/>
    </row>
    <row r="4948" spans="2:4" ht="16" thickBot="1" x14ac:dyDescent="0.25">
      <c r="B4948" s="4">
        <v>4943</v>
      </c>
      <c r="C4948" s="4">
        <v>503.40643153964976</v>
      </c>
      <c r="D4948" s="45"/>
    </row>
    <row r="4949" spans="2:4" ht="16" thickBot="1" x14ac:dyDescent="0.25">
      <c r="B4949" s="5">
        <v>4944</v>
      </c>
      <c r="C4949" s="5">
        <v>193.6152684443897</v>
      </c>
      <c r="D4949" s="45"/>
    </row>
    <row r="4950" spans="2:4" ht="16" thickBot="1" x14ac:dyDescent="0.25">
      <c r="B4950" s="4">
        <v>4945</v>
      </c>
      <c r="C4950" s="4">
        <v>66.015891800152787</v>
      </c>
      <c r="D4950" s="45"/>
    </row>
    <row r="4951" spans="2:4" ht="16" thickBot="1" x14ac:dyDescent="0.25">
      <c r="B4951" s="5">
        <v>4946</v>
      </c>
      <c r="C4951" s="5">
        <v>239.50520061603763</v>
      </c>
      <c r="D4951" s="45"/>
    </row>
    <row r="4952" spans="2:4" ht="16" thickBot="1" x14ac:dyDescent="0.25">
      <c r="B4952" s="4">
        <v>4947</v>
      </c>
      <c r="C4952" s="4">
        <v>137.55995811656479</v>
      </c>
      <c r="D4952" s="45"/>
    </row>
    <row r="4953" spans="2:4" ht="16" thickBot="1" x14ac:dyDescent="0.25">
      <c r="B4953" s="5">
        <v>4948</v>
      </c>
      <c r="C4953" s="5">
        <v>70.851112451972256</v>
      </c>
      <c r="D4953" s="45"/>
    </row>
    <row r="4954" spans="2:4" ht="16" thickBot="1" x14ac:dyDescent="0.25">
      <c r="B4954" s="4">
        <v>4949</v>
      </c>
      <c r="C4954" s="4">
        <v>110.07292336463097</v>
      </c>
      <c r="D4954" s="45"/>
    </row>
    <row r="4955" spans="2:4" ht="16" thickBot="1" x14ac:dyDescent="0.25">
      <c r="B4955" s="5">
        <v>4950</v>
      </c>
      <c r="C4955" s="5">
        <v>306.76372591075597</v>
      </c>
      <c r="D4955" s="45"/>
    </row>
    <row r="4956" spans="2:4" ht="16" thickBot="1" x14ac:dyDescent="0.25">
      <c r="B4956" s="4">
        <v>4951</v>
      </c>
      <c r="C4956" s="4">
        <v>87.471513929684946</v>
      </c>
      <c r="D4956" s="45"/>
    </row>
    <row r="4957" spans="2:4" ht="16" thickBot="1" x14ac:dyDescent="0.25">
      <c r="B4957" s="5">
        <v>4952</v>
      </c>
      <c r="C4957" s="5">
        <v>255.16481654626449</v>
      </c>
      <c r="D4957" s="45"/>
    </row>
    <row r="4958" spans="2:4" ht="16" thickBot="1" x14ac:dyDescent="0.25">
      <c r="B4958" s="4">
        <v>4953</v>
      </c>
      <c r="C4958" s="4">
        <v>197.01411993464208</v>
      </c>
      <c r="D4958" s="45"/>
    </row>
    <row r="4959" spans="2:4" ht="16" thickBot="1" x14ac:dyDescent="0.25">
      <c r="B4959" s="5">
        <v>4954</v>
      </c>
      <c r="C4959" s="5">
        <v>119.18404950950492</v>
      </c>
      <c r="D4959" s="45"/>
    </row>
    <row r="4960" spans="2:4" ht="16" thickBot="1" x14ac:dyDescent="0.25">
      <c r="B4960" s="4">
        <v>4955</v>
      </c>
      <c r="C4960" s="4">
        <v>237.84062573441912</v>
      </c>
      <c r="D4960" s="45"/>
    </row>
    <row r="4961" spans="2:4" ht="16" thickBot="1" x14ac:dyDescent="0.25">
      <c r="B4961" s="5">
        <v>4956</v>
      </c>
      <c r="C4961" s="5">
        <v>159.39478754321482</v>
      </c>
      <c r="D4961" s="45"/>
    </row>
    <row r="4962" spans="2:4" ht="16" thickBot="1" x14ac:dyDescent="0.25">
      <c r="B4962" s="4">
        <v>4957</v>
      </c>
      <c r="C4962" s="4">
        <v>69.452435846851415</v>
      </c>
      <c r="D4962" s="45"/>
    </row>
    <row r="4963" spans="2:4" ht="16" thickBot="1" x14ac:dyDescent="0.25">
      <c r="B4963" s="5">
        <v>4958</v>
      </c>
      <c r="C4963" s="5">
        <v>117.78660039817093</v>
      </c>
      <c r="D4963" s="45"/>
    </row>
    <row r="4964" spans="2:4" ht="16" thickBot="1" x14ac:dyDescent="0.25">
      <c r="B4964" s="4">
        <v>4959</v>
      </c>
      <c r="C4964" s="4">
        <v>87.447897896599855</v>
      </c>
      <c r="D4964" s="45"/>
    </row>
    <row r="4965" spans="2:4" ht="16" thickBot="1" x14ac:dyDescent="0.25">
      <c r="B4965" s="5">
        <v>4960</v>
      </c>
      <c r="C4965" s="5">
        <v>205.28401919426707</v>
      </c>
      <c r="D4965" s="45"/>
    </row>
    <row r="4966" spans="2:4" ht="16" thickBot="1" x14ac:dyDescent="0.25">
      <c r="B4966" s="4">
        <v>4961</v>
      </c>
      <c r="C4966" s="4">
        <v>70.509033743076898</v>
      </c>
      <c r="D4966" s="45"/>
    </row>
    <row r="4967" spans="2:4" ht="16" thickBot="1" x14ac:dyDescent="0.25">
      <c r="B4967" s="5">
        <v>4962</v>
      </c>
      <c r="C4967" s="5">
        <v>132.9276220893675</v>
      </c>
      <c r="D4967" s="45"/>
    </row>
    <row r="4968" spans="2:4" ht="16" thickBot="1" x14ac:dyDescent="0.25">
      <c r="B4968" s="4">
        <v>4963</v>
      </c>
      <c r="C4968" s="4">
        <v>364.90605384170311</v>
      </c>
      <c r="D4968" s="45"/>
    </row>
    <row r="4969" spans="2:4" ht="16" thickBot="1" x14ac:dyDescent="0.25">
      <c r="B4969" s="5">
        <v>4964</v>
      </c>
      <c r="C4969" s="5">
        <v>72.459891140547626</v>
      </c>
      <c r="D4969" s="45"/>
    </row>
    <row r="4970" spans="2:4" ht="16" thickBot="1" x14ac:dyDescent="0.25">
      <c r="B4970" s="4">
        <v>4965</v>
      </c>
      <c r="C4970" s="4">
        <v>147.24911681114423</v>
      </c>
      <c r="D4970" s="45"/>
    </row>
    <row r="4971" spans="2:4" ht="16" thickBot="1" x14ac:dyDescent="0.25">
      <c r="B4971" s="5">
        <v>4966</v>
      </c>
      <c r="C4971" s="5">
        <v>69.915223179214053</v>
      </c>
      <c r="D4971" s="45"/>
    </row>
    <row r="4972" spans="2:4" ht="16" thickBot="1" x14ac:dyDescent="0.25">
      <c r="B4972" s="4">
        <v>4967</v>
      </c>
      <c r="C4972" s="4">
        <v>187.93724176590456</v>
      </c>
      <c r="D4972" s="45"/>
    </row>
    <row r="4973" spans="2:4" ht="16" thickBot="1" x14ac:dyDescent="0.25">
      <c r="B4973" s="5">
        <v>4968</v>
      </c>
      <c r="C4973" s="5">
        <v>280.17561814303883</v>
      </c>
      <c r="D4973" s="45"/>
    </row>
    <row r="4974" spans="2:4" ht="16" thickBot="1" x14ac:dyDescent="0.25">
      <c r="B4974" s="4">
        <v>4969</v>
      </c>
      <c r="C4974" s="4">
        <v>315.2095647268701</v>
      </c>
      <c r="D4974" s="45"/>
    </row>
    <row r="4975" spans="2:4" ht="16" thickBot="1" x14ac:dyDescent="0.25">
      <c r="B4975" s="5">
        <v>4970</v>
      </c>
      <c r="C4975" s="5">
        <v>198.16529606606991</v>
      </c>
      <c r="D4975" s="45"/>
    </row>
    <row r="4976" spans="2:4" ht="16" thickBot="1" x14ac:dyDescent="0.25">
      <c r="B4976" s="4">
        <v>4971</v>
      </c>
      <c r="C4976" s="4">
        <v>215.84933347122515</v>
      </c>
      <c r="D4976" s="45"/>
    </row>
    <row r="4977" spans="2:4" ht="16" thickBot="1" x14ac:dyDescent="0.25">
      <c r="B4977" s="5">
        <v>4972</v>
      </c>
      <c r="C4977" s="5">
        <v>249.55813143793799</v>
      </c>
      <c r="D4977" s="45"/>
    </row>
    <row r="4978" spans="2:4" ht="16" thickBot="1" x14ac:dyDescent="0.25">
      <c r="B4978" s="4">
        <v>4973</v>
      </c>
      <c r="C4978" s="4">
        <v>121.30022630822428</v>
      </c>
      <c r="D4978" s="45"/>
    </row>
    <row r="4979" spans="2:4" ht="16" thickBot="1" x14ac:dyDescent="0.25">
      <c r="B4979" s="5">
        <v>4974</v>
      </c>
      <c r="C4979" s="5">
        <v>70.209962544690072</v>
      </c>
      <c r="D4979" s="45"/>
    </row>
    <row r="4980" spans="2:4" ht="16" thickBot="1" x14ac:dyDescent="0.25">
      <c r="B4980" s="4">
        <v>4975</v>
      </c>
      <c r="C4980" s="4">
        <v>109.84630780060644</v>
      </c>
      <c r="D4980" s="45"/>
    </row>
    <row r="4981" spans="2:4" ht="16" thickBot="1" x14ac:dyDescent="0.25">
      <c r="B4981" s="5">
        <v>4976</v>
      </c>
      <c r="C4981" s="5">
        <v>76.894464975206645</v>
      </c>
      <c r="D4981" s="45"/>
    </row>
    <row r="4982" spans="2:4" ht="16" thickBot="1" x14ac:dyDescent="0.25">
      <c r="B4982" s="4">
        <v>4977</v>
      </c>
      <c r="C4982" s="4">
        <v>130.45670750786542</v>
      </c>
      <c r="D4982" s="45"/>
    </row>
    <row r="4983" spans="2:4" ht="16" thickBot="1" x14ac:dyDescent="0.25">
      <c r="B4983" s="5">
        <v>4978</v>
      </c>
      <c r="C4983" s="5">
        <v>142.39389496796309</v>
      </c>
      <c r="D4983" s="45"/>
    </row>
    <row r="4984" spans="2:4" ht="16" thickBot="1" x14ac:dyDescent="0.25">
      <c r="B4984" s="4">
        <v>4979</v>
      </c>
      <c r="C4984" s="4">
        <v>309.89692527643797</v>
      </c>
      <c r="D4984" s="45"/>
    </row>
    <row r="4985" spans="2:4" ht="16" thickBot="1" x14ac:dyDescent="0.25">
      <c r="B4985" s="5">
        <v>4980</v>
      </c>
      <c r="C4985" s="5">
        <v>87.112958539022443</v>
      </c>
      <c r="D4985" s="45"/>
    </row>
    <row r="4986" spans="2:4" ht="16" thickBot="1" x14ac:dyDescent="0.25">
      <c r="B4986" s="4">
        <v>4981</v>
      </c>
      <c r="C4986" s="4">
        <v>139.31952593345815</v>
      </c>
      <c r="D4986" s="45"/>
    </row>
    <row r="4987" spans="2:4" ht="16" thickBot="1" x14ac:dyDescent="0.25">
      <c r="B4987" s="5">
        <v>4982</v>
      </c>
      <c r="C4987" s="5">
        <v>144.33950228493919</v>
      </c>
      <c r="D4987" s="45"/>
    </row>
    <row r="4988" spans="2:4" ht="16" thickBot="1" x14ac:dyDescent="0.25">
      <c r="B4988" s="4">
        <v>4983</v>
      </c>
      <c r="C4988" s="4">
        <v>432.36520372521488</v>
      </c>
      <c r="D4988" s="45"/>
    </row>
    <row r="4989" spans="2:4" ht="16" thickBot="1" x14ac:dyDescent="0.25">
      <c r="B4989" s="5">
        <v>4984</v>
      </c>
      <c r="C4989" s="5">
        <v>142.58282655993119</v>
      </c>
      <c r="D4989" s="45"/>
    </row>
    <row r="4990" spans="2:4" ht="16" thickBot="1" x14ac:dyDescent="0.25">
      <c r="B4990" s="4">
        <v>4985</v>
      </c>
      <c r="C4990" s="4">
        <v>128.19479813676639</v>
      </c>
      <c r="D4990" s="45"/>
    </row>
    <row r="4991" spans="2:4" ht="16" thickBot="1" x14ac:dyDescent="0.25">
      <c r="B4991" s="5">
        <v>4986</v>
      </c>
      <c r="C4991" s="5">
        <v>312.99463301563429</v>
      </c>
      <c r="D4991" s="45"/>
    </row>
    <row r="4992" spans="2:4" ht="16" thickBot="1" x14ac:dyDescent="0.25">
      <c r="B4992" s="4">
        <v>4987</v>
      </c>
      <c r="C4992" s="4">
        <v>300.2096663629805</v>
      </c>
      <c r="D4992" s="45"/>
    </row>
    <row r="4993" spans="2:4" ht="16" thickBot="1" x14ac:dyDescent="0.25">
      <c r="B4993" s="5">
        <v>4988</v>
      </c>
      <c r="C4993" s="5">
        <v>190.20089616417189</v>
      </c>
      <c r="D4993" s="45"/>
    </row>
    <row r="4994" spans="2:4" ht="16" thickBot="1" x14ac:dyDescent="0.25">
      <c r="B4994" s="4">
        <v>4989</v>
      </c>
      <c r="C4994" s="4">
        <v>108.80569722299309</v>
      </c>
      <c r="D4994" s="45"/>
    </row>
    <row r="4995" spans="2:4" ht="16" thickBot="1" x14ac:dyDescent="0.25">
      <c r="B4995" s="5">
        <v>4990</v>
      </c>
      <c r="C4995" s="5">
        <v>128.7315647274331</v>
      </c>
      <c r="D4995" s="45"/>
    </row>
    <row r="4996" spans="2:4" ht="16" thickBot="1" x14ac:dyDescent="0.25">
      <c r="B4996" s="4">
        <v>4991</v>
      </c>
      <c r="C4996" s="4">
        <v>65.791376531112263</v>
      </c>
      <c r="D4996" s="45"/>
    </row>
    <row r="4997" spans="2:4" ht="16" thickBot="1" x14ac:dyDescent="0.25">
      <c r="B4997" s="5">
        <v>4992</v>
      </c>
      <c r="C4997" s="5">
        <v>251.24351538453394</v>
      </c>
      <c r="D4997" s="45"/>
    </row>
    <row r="4998" spans="2:4" ht="16" thickBot="1" x14ac:dyDescent="0.25">
      <c r="B4998" s="4">
        <v>4993</v>
      </c>
      <c r="C4998" s="4">
        <v>64.674982526206719</v>
      </c>
      <c r="D4998" s="45"/>
    </row>
    <row r="4999" spans="2:4" ht="16" thickBot="1" x14ac:dyDescent="0.25">
      <c r="B4999" s="5">
        <v>4994</v>
      </c>
      <c r="C4999" s="5">
        <v>277.17400602728696</v>
      </c>
      <c r="D4999" s="45"/>
    </row>
    <row r="5000" spans="2:4" ht="16" thickBot="1" x14ac:dyDescent="0.25">
      <c r="B5000" s="4">
        <v>4995</v>
      </c>
      <c r="C5000" s="4">
        <v>123.69057945239732</v>
      </c>
      <c r="D5000" s="45"/>
    </row>
    <row r="5001" spans="2:4" ht="16" thickBot="1" x14ac:dyDescent="0.25">
      <c r="B5001" s="5">
        <v>4996</v>
      </c>
      <c r="C5001" s="5">
        <v>122.04323772935558</v>
      </c>
      <c r="D5001" s="45"/>
    </row>
    <row r="5002" spans="2:4" ht="16" thickBot="1" x14ac:dyDescent="0.25">
      <c r="B5002" s="4">
        <v>4997</v>
      </c>
      <c r="C5002" s="4">
        <v>139.37947674290518</v>
      </c>
      <c r="D5002" s="45"/>
    </row>
    <row r="5003" spans="2:4" ht="16" thickBot="1" x14ac:dyDescent="0.25">
      <c r="B5003" s="5">
        <v>4998</v>
      </c>
      <c r="C5003" s="5">
        <v>90.662856224698203</v>
      </c>
      <c r="D5003" s="45"/>
    </row>
    <row r="5004" spans="2:4" ht="16" thickBot="1" x14ac:dyDescent="0.25">
      <c r="B5004" s="4">
        <v>4999</v>
      </c>
      <c r="C5004" s="4">
        <v>116.22560251450655</v>
      </c>
      <c r="D5004" s="45"/>
    </row>
    <row r="5005" spans="2:4" ht="16" thickBot="1" x14ac:dyDescent="0.25">
      <c r="B5005" s="5">
        <v>5000</v>
      </c>
      <c r="C5005" s="5">
        <v>90.293443406633813</v>
      </c>
      <c r="D5005" s="45"/>
    </row>
    <row r="5006" spans="2:4" ht="16" thickBot="1" x14ac:dyDescent="0.25">
      <c r="B5006" s="4">
        <v>5001</v>
      </c>
      <c r="C5006" s="4">
        <v>89.95322717093417</v>
      </c>
      <c r="D5006" s="45"/>
    </row>
    <row r="5007" spans="2:4" ht="16" thickBot="1" x14ac:dyDescent="0.25">
      <c r="B5007" s="5">
        <v>5002</v>
      </c>
      <c r="C5007" s="5">
        <v>200.24707660897269</v>
      </c>
      <c r="D5007" s="45"/>
    </row>
    <row r="5008" spans="2:4" ht="16" thickBot="1" x14ac:dyDescent="0.25">
      <c r="B5008" s="4">
        <v>5003</v>
      </c>
      <c r="C5008" s="4">
        <v>120.8514269096662</v>
      </c>
      <c r="D5008" s="45"/>
    </row>
    <row r="5009" spans="2:4" ht="16" thickBot="1" x14ac:dyDescent="0.25">
      <c r="B5009" s="5">
        <v>5004</v>
      </c>
      <c r="C5009" s="5">
        <v>157.77937487173426</v>
      </c>
      <c r="D5009" s="45"/>
    </row>
    <row r="5010" spans="2:4" ht="16" thickBot="1" x14ac:dyDescent="0.25">
      <c r="B5010" s="4">
        <v>5005</v>
      </c>
      <c r="C5010" s="4">
        <v>98.82584467045271</v>
      </c>
      <c r="D5010" s="45"/>
    </row>
    <row r="5011" spans="2:4" ht="16" thickBot="1" x14ac:dyDescent="0.25">
      <c r="B5011" s="5">
        <v>5006</v>
      </c>
      <c r="C5011" s="5">
        <v>165.75844279641998</v>
      </c>
      <c r="D5011" s="45"/>
    </row>
    <row r="5012" spans="2:4" ht="16" thickBot="1" x14ac:dyDescent="0.25">
      <c r="B5012" s="4">
        <v>5007</v>
      </c>
      <c r="C5012" s="4">
        <v>79.646789874939515</v>
      </c>
      <c r="D5012" s="45"/>
    </row>
    <row r="5013" spans="2:4" ht="16" thickBot="1" x14ac:dyDescent="0.25">
      <c r="B5013" s="5">
        <v>5008</v>
      </c>
      <c r="C5013" s="5">
        <v>148.98986438860376</v>
      </c>
      <c r="D5013" s="45"/>
    </row>
    <row r="5014" spans="2:4" ht="16" thickBot="1" x14ac:dyDescent="0.25">
      <c r="B5014" s="4">
        <v>5009</v>
      </c>
      <c r="C5014" s="4">
        <v>225.86249807679084</v>
      </c>
      <c r="D5014" s="45"/>
    </row>
    <row r="5015" spans="2:4" ht="16" thickBot="1" x14ac:dyDescent="0.25">
      <c r="B5015" s="5">
        <v>5010</v>
      </c>
      <c r="C5015" s="5">
        <v>102.20952913553742</v>
      </c>
      <c r="D5015" s="45"/>
    </row>
    <row r="5016" spans="2:4" ht="16" thickBot="1" x14ac:dyDescent="0.25">
      <c r="B5016" s="4">
        <v>5011</v>
      </c>
      <c r="C5016" s="4">
        <v>108.57531649420734</v>
      </c>
      <c r="D5016" s="45"/>
    </row>
    <row r="5017" spans="2:4" ht="16" thickBot="1" x14ac:dyDescent="0.25">
      <c r="B5017" s="5">
        <v>5012</v>
      </c>
      <c r="C5017" s="5">
        <v>117.10636250477464</v>
      </c>
      <c r="D5017" s="45"/>
    </row>
    <row r="5018" spans="2:4" ht="16" thickBot="1" x14ac:dyDescent="0.25">
      <c r="B5018" s="4">
        <v>5013</v>
      </c>
      <c r="C5018" s="4">
        <v>257.63612138569863</v>
      </c>
      <c r="D5018" s="45"/>
    </row>
    <row r="5019" spans="2:4" ht="16" thickBot="1" x14ac:dyDescent="0.25">
      <c r="B5019" s="5">
        <v>5014</v>
      </c>
      <c r="C5019" s="5">
        <v>156.87377847157089</v>
      </c>
      <c r="D5019" s="45"/>
    </row>
    <row r="5020" spans="2:4" ht="16" thickBot="1" x14ac:dyDescent="0.25">
      <c r="B5020" s="4">
        <v>5015</v>
      </c>
      <c r="C5020" s="4">
        <v>123.0044577597747</v>
      </c>
      <c r="D5020" s="45"/>
    </row>
    <row r="5021" spans="2:4" ht="16" thickBot="1" x14ac:dyDescent="0.25">
      <c r="B5021" s="5">
        <v>5016</v>
      </c>
      <c r="C5021" s="5">
        <v>110.31611942518411</v>
      </c>
      <c r="D5021" s="45"/>
    </row>
    <row r="5022" spans="2:4" ht="16" thickBot="1" x14ac:dyDescent="0.25">
      <c r="B5022" s="4">
        <v>5017</v>
      </c>
      <c r="C5022" s="4">
        <v>90.142600778004365</v>
      </c>
      <c r="D5022" s="45"/>
    </row>
    <row r="5023" spans="2:4" ht="16" thickBot="1" x14ac:dyDescent="0.25">
      <c r="B5023" s="5">
        <v>5018</v>
      </c>
      <c r="C5023" s="5">
        <v>241.30577427633725</v>
      </c>
      <c r="D5023" s="45"/>
    </row>
    <row r="5024" spans="2:4" ht="16" thickBot="1" x14ac:dyDescent="0.25">
      <c r="B5024" s="4">
        <v>5019</v>
      </c>
      <c r="C5024" s="4">
        <v>193.24015143730708</v>
      </c>
      <c r="D5024" s="45"/>
    </row>
    <row r="5025" spans="2:4" ht="16" thickBot="1" x14ac:dyDescent="0.25">
      <c r="B5025" s="5">
        <v>5020</v>
      </c>
      <c r="C5025" s="5">
        <v>60.464217217334991</v>
      </c>
      <c r="D5025" s="45"/>
    </row>
    <row r="5026" spans="2:4" ht="16" thickBot="1" x14ac:dyDescent="0.25">
      <c r="B5026" s="4">
        <v>5021</v>
      </c>
      <c r="C5026" s="4">
        <v>97.780330190816798</v>
      </c>
      <c r="D5026" s="45"/>
    </row>
    <row r="5027" spans="2:4" ht="16" thickBot="1" x14ac:dyDescent="0.25">
      <c r="B5027" s="5">
        <v>5022</v>
      </c>
      <c r="C5027" s="5">
        <v>147.99575665144124</v>
      </c>
      <c r="D5027" s="45"/>
    </row>
    <row r="5028" spans="2:4" ht="16" thickBot="1" x14ac:dyDescent="0.25">
      <c r="B5028" s="4">
        <v>5023</v>
      </c>
      <c r="C5028" s="4">
        <v>150.2811072241432</v>
      </c>
      <c r="D5028" s="45"/>
    </row>
    <row r="5029" spans="2:4" ht="16" thickBot="1" x14ac:dyDescent="0.25">
      <c r="B5029" s="5">
        <v>5024</v>
      </c>
      <c r="C5029" s="5">
        <v>160.17253596466864</v>
      </c>
      <c r="D5029" s="45"/>
    </row>
    <row r="5030" spans="2:4" ht="16" thickBot="1" x14ac:dyDescent="0.25">
      <c r="B5030" s="4">
        <v>5025</v>
      </c>
      <c r="C5030" s="4">
        <v>99.148253056216987</v>
      </c>
      <c r="D5030" s="45"/>
    </row>
    <row r="5031" spans="2:4" ht="16" thickBot="1" x14ac:dyDescent="0.25">
      <c r="B5031" s="5">
        <v>5026</v>
      </c>
      <c r="C5031" s="5">
        <v>162.49766599781228</v>
      </c>
      <c r="D5031" s="45"/>
    </row>
    <row r="5032" spans="2:4" ht="16" thickBot="1" x14ac:dyDescent="0.25">
      <c r="B5032" s="4">
        <v>5027</v>
      </c>
      <c r="C5032" s="4">
        <v>110.80185249125888</v>
      </c>
      <c r="D5032" s="45"/>
    </row>
    <row r="5033" spans="2:4" ht="16" thickBot="1" x14ac:dyDescent="0.25">
      <c r="B5033" s="5">
        <v>5028</v>
      </c>
      <c r="C5033" s="5">
        <v>163.28943832847122</v>
      </c>
      <c r="D5033" s="45"/>
    </row>
    <row r="5034" spans="2:4" ht="16" thickBot="1" x14ac:dyDescent="0.25">
      <c r="B5034" s="4">
        <v>5029</v>
      </c>
      <c r="C5034" s="4">
        <v>240.02616562017511</v>
      </c>
      <c r="D5034" s="45"/>
    </row>
    <row r="5035" spans="2:4" ht="16" thickBot="1" x14ac:dyDescent="0.25">
      <c r="B5035" s="5">
        <v>5030</v>
      </c>
      <c r="C5035" s="5">
        <v>140.52067317051956</v>
      </c>
      <c r="D5035" s="45"/>
    </row>
    <row r="5036" spans="2:4" ht="16" thickBot="1" x14ac:dyDescent="0.25">
      <c r="B5036" s="4">
        <v>5031</v>
      </c>
      <c r="C5036" s="4">
        <v>163.78915362850611</v>
      </c>
      <c r="D5036" s="45"/>
    </row>
    <row r="5037" spans="2:4" ht="16" thickBot="1" x14ac:dyDescent="0.25">
      <c r="B5037" s="5">
        <v>5032</v>
      </c>
      <c r="C5037" s="5">
        <v>335.17922644228224</v>
      </c>
      <c r="D5037" s="45"/>
    </row>
    <row r="5038" spans="2:4" ht="16" thickBot="1" x14ac:dyDescent="0.25">
      <c r="B5038" s="4">
        <v>5033</v>
      </c>
      <c r="C5038" s="4">
        <v>163.79936774637392</v>
      </c>
      <c r="D5038" s="45"/>
    </row>
    <row r="5039" spans="2:4" ht="16" thickBot="1" x14ac:dyDescent="0.25">
      <c r="B5039" s="5">
        <v>5034</v>
      </c>
      <c r="C5039" s="5">
        <v>38.775985120786139</v>
      </c>
      <c r="D5039" s="45"/>
    </row>
    <row r="5040" spans="2:4" ht="16" thickBot="1" x14ac:dyDescent="0.25">
      <c r="B5040" s="4">
        <v>5035</v>
      </c>
      <c r="C5040" s="4">
        <v>174.93035930274405</v>
      </c>
      <c r="D5040" s="45"/>
    </row>
    <row r="5041" spans="2:4" ht="16" thickBot="1" x14ac:dyDescent="0.25">
      <c r="B5041" s="5">
        <v>5036</v>
      </c>
      <c r="C5041" s="5">
        <v>178.39983091258864</v>
      </c>
      <c r="D5041" s="45"/>
    </row>
    <row r="5042" spans="2:4" ht="16" thickBot="1" x14ac:dyDescent="0.25">
      <c r="B5042" s="4">
        <v>5037</v>
      </c>
      <c r="C5042" s="4">
        <v>292.37707216452083</v>
      </c>
      <c r="D5042" s="45"/>
    </row>
    <row r="5043" spans="2:4" ht="16" thickBot="1" x14ac:dyDescent="0.25">
      <c r="B5043" s="5">
        <v>5038</v>
      </c>
      <c r="C5043" s="5">
        <v>174.87340791416031</v>
      </c>
      <c r="D5043" s="45"/>
    </row>
    <row r="5044" spans="2:4" ht="16" thickBot="1" x14ac:dyDescent="0.25">
      <c r="B5044" s="4">
        <v>5039</v>
      </c>
      <c r="C5044" s="4">
        <v>204.67159510779393</v>
      </c>
      <c r="D5044" s="45"/>
    </row>
    <row r="5045" spans="2:4" ht="16" thickBot="1" x14ac:dyDescent="0.25">
      <c r="B5045" s="5">
        <v>5040</v>
      </c>
      <c r="C5045" s="5">
        <v>208.01615056185045</v>
      </c>
      <c r="D5045" s="45"/>
    </row>
    <row r="5046" spans="2:4" ht="16" thickBot="1" x14ac:dyDescent="0.25">
      <c r="B5046" s="4">
        <v>5041</v>
      </c>
      <c r="C5046" s="4">
        <v>151.16752654208653</v>
      </c>
      <c r="D5046" s="45"/>
    </row>
    <row r="5047" spans="2:4" ht="16" thickBot="1" x14ac:dyDescent="0.25">
      <c r="B5047" s="5">
        <v>5042</v>
      </c>
      <c r="C5047" s="5">
        <v>280.3480928053819</v>
      </c>
      <c r="D5047" s="45"/>
    </row>
    <row r="5048" spans="2:4" ht="16" thickBot="1" x14ac:dyDescent="0.25">
      <c r="B5048" s="4">
        <v>5043</v>
      </c>
      <c r="C5048" s="4">
        <v>278.40925369957557</v>
      </c>
      <c r="D5048" s="45"/>
    </row>
    <row r="5049" spans="2:4" ht="16" thickBot="1" x14ac:dyDescent="0.25">
      <c r="B5049" s="5">
        <v>5044</v>
      </c>
      <c r="C5049" s="5">
        <v>168.65671464688015</v>
      </c>
      <c r="D5049" s="45"/>
    </row>
    <row r="5050" spans="2:4" ht="16" thickBot="1" x14ac:dyDescent="0.25">
      <c r="B5050" s="4">
        <v>5045</v>
      </c>
      <c r="C5050" s="4">
        <v>199.23584275000908</v>
      </c>
      <c r="D5050" s="45"/>
    </row>
    <row r="5051" spans="2:4" ht="16" thickBot="1" x14ac:dyDescent="0.25">
      <c r="B5051" s="5">
        <v>5046</v>
      </c>
      <c r="C5051" s="5">
        <v>242.06408522179493</v>
      </c>
      <c r="D5051" s="45"/>
    </row>
    <row r="5052" spans="2:4" ht="16" thickBot="1" x14ac:dyDescent="0.25">
      <c r="B5052" s="4">
        <v>5047</v>
      </c>
      <c r="C5052" s="4">
        <v>220.82096309821657</v>
      </c>
      <c r="D5052" s="45"/>
    </row>
    <row r="5053" spans="2:4" ht="16" thickBot="1" x14ac:dyDescent="0.25">
      <c r="B5053" s="5">
        <v>5048</v>
      </c>
      <c r="C5053" s="5">
        <v>71.761168713675445</v>
      </c>
      <c r="D5053" s="45"/>
    </row>
    <row r="5054" spans="2:4" ht="16" thickBot="1" x14ac:dyDescent="0.25">
      <c r="B5054" s="4">
        <v>5049</v>
      </c>
      <c r="C5054" s="4">
        <v>66.881658948014618</v>
      </c>
      <c r="D5054" s="45"/>
    </row>
    <row r="5055" spans="2:4" ht="16" thickBot="1" x14ac:dyDescent="0.25">
      <c r="B5055" s="5">
        <v>5050</v>
      </c>
      <c r="C5055" s="5">
        <v>198.35896588122884</v>
      </c>
      <c r="D5055" s="45"/>
    </row>
    <row r="5056" spans="2:4" ht="16" thickBot="1" x14ac:dyDescent="0.25">
      <c r="B5056" s="4">
        <v>5051</v>
      </c>
      <c r="C5056" s="4">
        <v>167.31320838417085</v>
      </c>
      <c r="D5056" s="45"/>
    </row>
    <row r="5057" spans="2:4" ht="16" thickBot="1" x14ac:dyDescent="0.25">
      <c r="B5057" s="5">
        <v>5052</v>
      </c>
      <c r="C5057" s="5">
        <v>225.09089281100213</v>
      </c>
      <c r="D5057" s="45"/>
    </row>
    <row r="5058" spans="2:4" ht="16" thickBot="1" x14ac:dyDescent="0.25">
      <c r="B5058" s="4">
        <v>5053</v>
      </c>
      <c r="C5058" s="4">
        <v>48.686127923262291</v>
      </c>
      <c r="D5058" s="45"/>
    </row>
    <row r="5059" spans="2:4" ht="16" thickBot="1" x14ac:dyDescent="0.25">
      <c r="B5059" s="5">
        <v>5054</v>
      </c>
      <c r="C5059" s="5">
        <v>130.57769944450951</v>
      </c>
      <c r="D5059" s="45"/>
    </row>
    <row r="5060" spans="2:4" ht="16" thickBot="1" x14ac:dyDescent="0.25">
      <c r="B5060" s="4">
        <v>5055</v>
      </c>
      <c r="C5060" s="4">
        <v>68.860593237789914</v>
      </c>
      <c r="D5060" s="45"/>
    </row>
    <row r="5061" spans="2:4" ht="16" thickBot="1" x14ac:dyDescent="0.25">
      <c r="B5061" s="5">
        <v>5056</v>
      </c>
      <c r="C5061" s="5">
        <v>87.34964480874936</v>
      </c>
      <c r="D5061" s="45"/>
    </row>
    <row r="5062" spans="2:4" ht="16" thickBot="1" x14ac:dyDescent="0.25">
      <c r="B5062" s="4">
        <v>5057</v>
      </c>
      <c r="C5062" s="4">
        <v>332.73286507480134</v>
      </c>
      <c r="D5062" s="45"/>
    </row>
    <row r="5063" spans="2:4" ht="16" thickBot="1" x14ac:dyDescent="0.25">
      <c r="B5063" s="5">
        <v>5058</v>
      </c>
      <c r="C5063" s="5">
        <v>99.917342972922356</v>
      </c>
      <c r="D5063" s="45"/>
    </row>
    <row r="5064" spans="2:4" ht="16" thickBot="1" x14ac:dyDescent="0.25">
      <c r="B5064" s="4">
        <v>5059</v>
      </c>
      <c r="C5064" s="4">
        <v>134.60255906099729</v>
      </c>
      <c r="D5064" s="45"/>
    </row>
    <row r="5065" spans="2:4" ht="16" thickBot="1" x14ac:dyDescent="0.25">
      <c r="B5065" s="5">
        <v>5060</v>
      </c>
      <c r="C5065" s="5">
        <v>101.55178483372974</v>
      </c>
      <c r="D5065" s="45"/>
    </row>
    <row r="5066" spans="2:4" ht="16" thickBot="1" x14ac:dyDescent="0.25">
      <c r="B5066" s="4">
        <v>5061</v>
      </c>
      <c r="C5066" s="4">
        <v>151.52749025476086</v>
      </c>
      <c r="D5066" s="45"/>
    </row>
    <row r="5067" spans="2:4" ht="16" thickBot="1" x14ac:dyDescent="0.25">
      <c r="B5067" s="5">
        <v>5062</v>
      </c>
      <c r="C5067" s="5">
        <v>177.27477873968655</v>
      </c>
      <c r="D5067" s="45"/>
    </row>
    <row r="5068" spans="2:4" ht="16" thickBot="1" x14ac:dyDescent="0.25">
      <c r="B5068" s="4">
        <v>5063</v>
      </c>
      <c r="C5068" s="4">
        <v>200.72715821766408</v>
      </c>
      <c r="D5068" s="45"/>
    </row>
    <row r="5069" spans="2:4" ht="16" thickBot="1" x14ac:dyDescent="0.25">
      <c r="B5069" s="5">
        <v>5064</v>
      </c>
      <c r="C5069" s="5">
        <v>158.97750927998916</v>
      </c>
      <c r="D5069" s="45"/>
    </row>
    <row r="5070" spans="2:4" ht="16" thickBot="1" x14ac:dyDescent="0.25">
      <c r="B5070" s="4">
        <v>5065</v>
      </c>
      <c r="C5070" s="4">
        <v>137.30246176066692</v>
      </c>
      <c r="D5070" s="45"/>
    </row>
    <row r="5071" spans="2:4" ht="16" thickBot="1" x14ac:dyDescent="0.25">
      <c r="B5071" s="5">
        <v>5066</v>
      </c>
      <c r="C5071" s="5">
        <v>525.96066858586664</v>
      </c>
      <c r="D5071" s="45"/>
    </row>
    <row r="5072" spans="2:4" ht="16" thickBot="1" x14ac:dyDescent="0.25">
      <c r="B5072" s="4">
        <v>5067</v>
      </c>
      <c r="C5072" s="4">
        <v>235.87788693476148</v>
      </c>
      <c r="D5072" s="45"/>
    </row>
    <row r="5073" spans="2:4" ht="16" thickBot="1" x14ac:dyDescent="0.25">
      <c r="B5073" s="5">
        <v>5068</v>
      </c>
      <c r="C5073" s="5">
        <v>179.6986981628537</v>
      </c>
      <c r="D5073" s="45"/>
    </row>
    <row r="5074" spans="2:4" ht="16" thickBot="1" x14ac:dyDescent="0.25">
      <c r="B5074" s="4">
        <v>5069</v>
      </c>
      <c r="C5074" s="4">
        <v>190.30310512288258</v>
      </c>
      <c r="D5074" s="45"/>
    </row>
    <row r="5075" spans="2:4" ht="16" thickBot="1" x14ac:dyDescent="0.25">
      <c r="B5075" s="5">
        <v>5070</v>
      </c>
      <c r="C5075" s="5">
        <v>135.79021732645609</v>
      </c>
      <c r="D5075" s="45"/>
    </row>
    <row r="5076" spans="2:4" ht="16" thickBot="1" x14ac:dyDescent="0.25">
      <c r="B5076" s="4">
        <v>5071</v>
      </c>
      <c r="C5076" s="4">
        <v>70.03888203163082</v>
      </c>
      <c r="D5076" s="45"/>
    </row>
    <row r="5077" spans="2:4" ht="16" thickBot="1" x14ac:dyDescent="0.25">
      <c r="B5077" s="5">
        <v>5072</v>
      </c>
      <c r="C5077" s="5">
        <v>61.268687612970794</v>
      </c>
      <c r="D5077" s="45"/>
    </row>
    <row r="5078" spans="2:4" ht="16" thickBot="1" x14ac:dyDescent="0.25">
      <c r="B5078" s="4">
        <v>5073</v>
      </c>
      <c r="C5078" s="4">
        <v>151.68739921670146</v>
      </c>
      <c r="D5078" s="45"/>
    </row>
    <row r="5079" spans="2:4" ht="16" thickBot="1" x14ac:dyDescent="0.25">
      <c r="B5079" s="5">
        <v>5074</v>
      </c>
      <c r="C5079" s="5">
        <v>111.17062774352246</v>
      </c>
      <c r="D5079" s="45"/>
    </row>
    <row r="5080" spans="2:4" ht="16" thickBot="1" x14ac:dyDescent="0.25">
      <c r="B5080" s="4">
        <v>5075</v>
      </c>
      <c r="C5080" s="4">
        <v>69.466215031169483</v>
      </c>
      <c r="D5080" s="45"/>
    </row>
    <row r="5081" spans="2:4" ht="16" thickBot="1" x14ac:dyDescent="0.25">
      <c r="B5081" s="5">
        <v>5076</v>
      </c>
      <c r="C5081" s="5">
        <v>77.37469715309355</v>
      </c>
      <c r="D5081" s="45"/>
    </row>
    <row r="5082" spans="2:4" ht="16" thickBot="1" x14ac:dyDescent="0.25">
      <c r="B5082" s="4">
        <v>5077</v>
      </c>
      <c r="C5082" s="4">
        <v>61.896018449781472</v>
      </c>
      <c r="D5082" s="45"/>
    </row>
    <row r="5083" spans="2:4" ht="16" thickBot="1" x14ac:dyDescent="0.25">
      <c r="B5083" s="5">
        <v>5078</v>
      </c>
      <c r="C5083" s="5">
        <v>202.68836432541869</v>
      </c>
      <c r="D5083" s="45"/>
    </row>
    <row r="5084" spans="2:4" ht="16" thickBot="1" x14ac:dyDescent="0.25">
      <c r="B5084" s="4">
        <v>5079</v>
      </c>
      <c r="C5084" s="4">
        <v>182.25809144970111</v>
      </c>
      <c r="D5084" s="45"/>
    </row>
    <row r="5085" spans="2:4" ht="16" thickBot="1" x14ac:dyDescent="0.25">
      <c r="B5085" s="5">
        <v>5080</v>
      </c>
      <c r="C5085" s="5">
        <v>44.79677297175845</v>
      </c>
      <c r="D5085" s="45"/>
    </row>
    <row r="5086" spans="2:4" ht="16" thickBot="1" x14ac:dyDescent="0.25">
      <c r="B5086" s="4">
        <v>5081</v>
      </c>
      <c r="C5086" s="4">
        <v>84.187867332994657</v>
      </c>
      <c r="D5086" s="45"/>
    </row>
    <row r="5087" spans="2:4" ht="16" thickBot="1" x14ac:dyDescent="0.25">
      <c r="B5087" s="5">
        <v>5082</v>
      </c>
      <c r="C5087" s="5">
        <v>92.398914276413777</v>
      </c>
      <c r="D5087" s="45"/>
    </row>
    <row r="5088" spans="2:4" ht="16" thickBot="1" x14ac:dyDescent="0.25">
      <c r="B5088" s="4">
        <v>5083</v>
      </c>
      <c r="C5088" s="4">
        <v>134.01656786688017</v>
      </c>
      <c r="D5088" s="45"/>
    </row>
    <row r="5089" spans="2:4" ht="16" thickBot="1" x14ac:dyDescent="0.25">
      <c r="B5089" s="5">
        <v>5084</v>
      </c>
      <c r="C5089" s="5">
        <v>53.925901244329111</v>
      </c>
      <c r="D5089" s="45"/>
    </row>
    <row r="5090" spans="2:4" ht="16" thickBot="1" x14ac:dyDescent="0.25">
      <c r="B5090" s="4">
        <v>5085</v>
      </c>
      <c r="C5090" s="4">
        <v>248.20146059368685</v>
      </c>
      <c r="D5090" s="45"/>
    </row>
    <row r="5091" spans="2:4" ht="16" thickBot="1" x14ac:dyDescent="0.25">
      <c r="B5091" s="5">
        <v>5086</v>
      </c>
      <c r="C5091" s="5">
        <v>264.51531176037673</v>
      </c>
      <c r="D5091" s="45"/>
    </row>
    <row r="5092" spans="2:4" ht="16" thickBot="1" x14ac:dyDescent="0.25">
      <c r="B5092" s="4">
        <v>5087</v>
      </c>
      <c r="C5092" s="4">
        <v>183.16346464413712</v>
      </c>
      <c r="D5092" s="45"/>
    </row>
    <row r="5093" spans="2:4" ht="16" thickBot="1" x14ac:dyDescent="0.25">
      <c r="B5093" s="5">
        <v>5088</v>
      </c>
      <c r="C5093" s="5">
        <v>96.467067778283749</v>
      </c>
      <c r="D5093" s="45"/>
    </row>
    <row r="5094" spans="2:4" ht="16" thickBot="1" x14ac:dyDescent="0.25">
      <c r="B5094" s="4">
        <v>5089</v>
      </c>
      <c r="C5094" s="4">
        <v>172.08515571324222</v>
      </c>
      <c r="D5094" s="45"/>
    </row>
    <row r="5095" spans="2:4" ht="16" thickBot="1" x14ac:dyDescent="0.25">
      <c r="B5095" s="5">
        <v>5090</v>
      </c>
      <c r="C5095" s="5">
        <v>372.84759853293701</v>
      </c>
      <c r="D5095" s="45"/>
    </row>
    <row r="5096" spans="2:4" ht="16" thickBot="1" x14ac:dyDescent="0.25">
      <c r="B5096" s="4">
        <v>5091</v>
      </c>
      <c r="C5096" s="4">
        <v>84.377421685616781</v>
      </c>
      <c r="D5096" s="45"/>
    </row>
    <row r="5097" spans="2:4" ht="16" thickBot="1" x14ac:dyDescent="0.25">
      <c r="B5097" s="5">
        <v>5092</v>
      </c>
      <c r="C5097" s="5">
        <v>90.713185742820215</v>
      </c>
      <c r="D5097" s="45"/>
    </row>
    <row r="5098" spans="2:4" ht="16" thickBot="1" x14ac:dyDescent="0.25">
      <c r="B5098" s="4">
        <v>5093</v>
      </c>
      <c r="C5098" s="4">
        <v>153.63347365821375</v>
      </c>
      <c r="D5098" s="45"/>
    </row>
    <row r="5099" spans="2:4" ht="16" thickBot="1" x14ac:dyDescent="0.25">
      <c r="B5099" s="5">
        <v>5094</v>
      </c>
      <c r="C5099" s="5">
        <v>112.01247569762054</v>
      </c>
      <c r="D5099" s="45"/>
    </row>
    <row r="5100" spans="2:4" ht="16" thickBot="1" x14ac:dyDescent="0.25">
      <c r="B5100" s="4">
        <v>5095</v>
      </c>
      <c r="C5100" s="4">
        <v>210.26697332267253</v>
      </c>
      <c r="D5100" s="45"/>
    </row>
    <row r="5101" spans="2:4" ht="16" thickBot="1" x14ac:dyDescent="0.25">
      <c r="B5101" s="5">
        <v>5096</v>
      </c>
      <c r="C5101" s="5">
        <v>92.996196131036768</v>
      </c>
      <c r="D5101" s="45"/>
    </row>
    <row r="5102" spans="2:4" ht="16" thickBot="1" x14ac:dyDescent="0.25">
      <c r="B5102" s="4">
        <v>5097</v>
      </c>
      <c r="C5102" s="4">
        <v>147.30296687093647</v>
      </c>
      <c r="D5102" s="45"/>
    </row>
    <row r="5103" spans="2:4" ht="16" thickBot="1" x14ac:dyDescent="0.25">
      <c r="B5103" s="5">
        <v>5098</v>
      </c>
      <c r="C5103" s="5">
        <v>171.61584818629913</v>
      </c>
      <c r="D5103" s="45"/>
    </row>
    <row r="5104" spans="2:4" ht="16" thickBot="1" x14ac:dyDescent="0.25">
      <c r="B5104" s="4">
        <v>5099</v>
      </c>
      <c r="C5104" s="4">
        <v>286.78073258786918</v>
      </c>
      <c r="D5104" s="45"/>
    </row>
    <row r="5105" spans="2:4" ht="16" thickBot="1" x14ac:dyDescent="0.25">
      <c r="B5105" s="5">
        <v>5100</v>
      </c>
      <c r="C5105" s="5">
        <v>242.63537448507142</v>
      </c>
      <c r="D5105" s="45"/>
    </row>
    <row r="5106" spans="2:4" ht="16" thickBot="1" x14ac:dyDescent="0.25">
      <c r="B5106" s="4">
        <v>5101</v>
      </c>
      <c r="C5106" s="4">
        <v>152.00400822011071</v>
      </c>
      <c r="D5106" s="45"/>
    </row>
    <row r="5107" spans="2:4" ht="16" thickBot="1" x14ac:dyDescent="0.25">
      <c r="B5107" s="5">
        <v>5102</v>
      </c>
      <c r="C5107" s="5">
        <v>156.60956781149503</v>
      </c>
      <c r="D5107" s="45"/>
    </row>
    <row r="5108" spans="2:4" ht="16" thickBot="1" x14ac:dyDescent="0.25">
      <c r="B5108" s="4">
        <v>5103</v>
      </c>
      <c r="C5108" s="4">
        <v>105.81777291654554</v>
      </c>
      <c r="D5108" s="45"/>
    </row>
    <row r="5109" spans="2:4" ht="16" thickBot="1" x14ac:dyDescent="0.25">
      <c r="B5109" s="5">
        <v>5104</v>
      </c>
      <c r="C5109" s="5">
        <v>57.643738192123749</v>
      </c>
      <c r="D5109" s="45"/>
    </row>
    <row r="5110" spans="2:4" ht="16" thickBot="1" x14ac:dyDescent="0.25">
      <c r="B5110" s="4">
        <v>5105</v>
      </c>
      <c r="C5110" s="4">
        <v>148.31564719073276</v>
      </c>
      <c r="D5110" s="45"/>
    </row>
    <row r="5111" spans="2:4" ht="16" thickBot="1" x14ac:dyDescent="0.25">
      <c r="B5111" s="5">
        <v>5106</v>
      </c>
      <c r="C5111" s="5">
        <v>237.88598519936903</v>
      </c>
      <c r="D5111" s="45"/>
    </row>
    <row r="5112" spans="2:4" ht="16" thickBot="1" x14ac:dyDescent="0.25">
      <c r="B5112" s="4">
        <v>5107</v>
      </c>
      <c r="C5112" s="4">
        <v>90.386412566420233</v>
      </c>
      <c r="D5112" s="45"/>
    </row>
    <row r="5113" spans="2:4" ht="16" thickBot="1" x14ac:dyDescent="0.25">
      <c r="B5113" s="5">
        <v>5108</v>
      </c>
      <c r="C5113" s="5">
        <v>97.553124689433304</v>
      </c>
      <c r="D5113" s="45"/>
    </row>
    <row r="5114" spans="2:4" ht="16" thickBot="1" x14ac:dyDescent="0.25">
      <c r="B5114" s="4">
        <v>5109</v>
      </c>
      <c r="C5114" s="4">
        <v>196.66773742498981</v>
      </c>
      <c r="D5114" s="45"/>
    </row>
    <row r="5115" spans="2:4" ht="16" thickBot="1" x14ac:dyDescent="0.25">
      <c r="B5115" s="5">
        <v>5110</v>
      </c>
      <c r="C5115" s="5">
        <v>56.034142274765777</v>
      </c>
      <c r="D5115" s="45"/>
    </row>
    <row r="5116" spans="2:4" ht="16" thickBot="1" x14ac:dyDescent="0.25">
      <c r="B5116" s="4">
        <v>5111</v>
      </c>
      <c r="C5116" s="4">
        <v>90.541142944646751</v>
      </c>
      <c r="D5116" s="45"/>
    </row>
    <row r="5117" spans="2:4" ht="16" thickBot="1" x14ac:dyDescent="0.25">
      <c r="B5117" s="5">
        <v>5112</v>
      </c>
      <c r="C5117" s="5">
        <v>359.19305320675716</v>
      </c>
      <c r="D5117" s="45"/>
    </row>
    <row r="5118" spans="2:4" ht="16" thickBot="1" x14ac:dyDescent="0.25">
      <c r="B5118" s="4">
        <v>5113</v>
      </c>
      <c r="C5118" s="4">
        <v>129.83300001574978</v>
      </c>
      <c r="D5118" s="45"/>
    </row>
    <row r="5119" spans="2:4" ht="16" thickBot="1" x14ac:dyDescent="0.25">
      <c r="B5119" s="5">
        <v>5114</v>
      </c>
      <c r="C5119" s="5">
        <v>78.026948079707111</v>
      </c>
      <c r="D5119" s="45"/>
    </row>
    <row r="5120" spans="2:4" ht="16" thickBot="1" x14ac:dyDescent="0.25">
      <c r="B5120" s="4">
        <v>5115</v>
      </c>
      <c r="C5120" s="4">
        <v>48.132772821955541</v>
      </c>
      <c r="D5120" s="45"/>
    </row>
    <row r="5121" spans="2:4" ht="16" thickBot="1" x14ac:dyDescent="0.25">
      <c r="B5121" s="5">
        <v>5116</v>
      </c>
      <c r="C5121" s="5">
        <v>121.35825469891475</v>
      </c>
      <c r="D5121" s="45"/>
    </row>
    <row r="5122" spans="2:4" ht="16" thickBot="1" x14ac:dyDescent="0.25">
      <c r="B5122" s="4">
        <v>5117</v>
      </c>
      <c r="C5122" s="4">
        <v>108.65214690780722</v>
      </c>
      <c r="D5122" s="45"/>
    </row>
    <row r="5123" spans="2:4" ht="16" thickBot="1" x14ac:dyDescent="0.25">
      <c r="B5123" s="5">
        <v>5118</v>
      </c>
      <c r="C5123" s="5">
        <v>157.68852794439047</v>
      </c>
      <c r="D5123" s="45"/>
    </row>
    <row r="5124" spans="2:4" ht="16" thickBot="1" x14ac:dyDescent="0.25">
      <c r="B5124" s="4">
        <v>5119</v>
      </c>
      <c r="C5124" s="4">
        <v>309.0889075080517</v>
      </c>
      <c r="D5124" s="45"/>
    </row>
    <row r="5125" spans="2:4" ht="16" thickBot="1" x14ac:dyDescent="0.25">
      <c r="B5125" s="5">
        <v>5120</v>
      </c>
      <c r="C5125" s="5">
        <v>63.984000637605561</v>
      </c>
      <c r="D5125" s="45"/>
    </row>
    <row r="5126" spans="2:4" ht="16" thickBot="1" x14ac:dyDescent="0.25">
      <c r="B5126" s="4">
        <v>5121</v>
      </c>
      <c r="C5126" s="4">
        <v>272.55601922293494</v>
      </c>
      <c r="D5126" s="45"/>
    </row>
    <row r="5127" spans="2:4" ht="16" thickBot="1" x14ac:dyDescent="0.25">
      <c r="B5127" s="5">
        <v>5122</v>
      </c>
      <c r="C5127" s="5">
        <v>127.31153658668836</v>
      </c>
      <c r="D5127" s="45"/>
    </row>
    <row r="5128" spans="2:4" ht="16" thickBot="1" x14ac:dyDescent="0.25">
      <c r="B5128" s="4">
        <v>5123</v>
      </c>
      <c r="C5128" s="4">
        <v>198.06444872420226</v>
      </c>
      <c r="D5128" s="45"/>
    </row>
    <row r="5129" spans="2:4" ht="16" thickBot="1" x14ac:dyDescent="0.25">
      <c r="B5129" s="5">
        <v>5124</v>
      </c>
      <c r="C5129" s="5">
        <v>359.67758611032099</v>
      </c>
      <c r="D5129" s="45"/>
    </row>
    <row r="5130" spans="2:4" ht="16" thickBot="1" x14ac:dyDescent="0.25">
      <c r="B5130" s="4">
        <v>5125</v>
      </c>
      <c r="C5130" s="4">
        <v>157.98087619776879</v>
      </c>
      <c r="D5130" s="45"/>
    </row>
    <row r="5131" spans="2:4" ht="16" thickBot="1" x14ac:dyDescent="0.25">
      <c r="B5131" s="5">
        <v>5126</v>
      </c>
      <c r="C5131" s="5">
        <v>166.80310537170939</v>
      </c>
      <c r="D5131" s="45"/>
    </row>
    <row r="5132" spans="2:4" ht="16" thickBot="1" x14ac:dyDescent="0.25">
      <c r="B5132" s="4">
        <v>5127</v>
      </c>
      <c r="C5132" s="4">
        <v>70.480862970999084</v>
      </c>
      <c r="D5132" s="45"/>
    </row>
    <row r="5133" spans="2:4" ht="16" thickBot="1" x14ac:dyDescent="0.25">
      <c r="B5133" s="5">
        <v>5128</v>
      </c>
      <c r="C5133" s="5">
        <v>71.210017709848955</v>
      </c>
      <c r="D5133" s="45"/>
    </row>
    <row r="5134" spans="2:4" ht="16" thickBot="1" x14ac:dyDescent="0.25">
      <c r="B5134" s="4">
        <v>5129</v>
      </c>
      <c r="C5134" s="4">
        <v>150.74962722033351</v>
      </c>
      <c r="D5134" s="45"/>
    </row>
    <row r="5135" spans="2:4" ht="16" thickBot="1" x14ac:dyDescent="0.25">
      <c r="B5135" s="5">
        <v>5130</v>
      </c>
      <c r="C5135" s="5">
        <v>111.70475011630596</v>
      </c>
      <c r="D5135" s="45"/>
    </row>
    <row r="5136" spans="2:4" ht="16" thickBot="1" x14ac:dyDescent="0.25">
      <c r="B5136" s="4">
        <v>5131</v>
      </c>
      <c r="C5136" s="4">
        <v>172.03186109717475</v>
      </c>
      <c r="D5136" s="45"/>
    </row>
    <row r="5137" spans="2:4" ht="16" thickBot="1" x14ac:dyDescent="0.25">
      <c r="B5137" s="5">
        <v>5132</v>
      </c>
      <c r="C5137" s="5">
        <v>194.94610112555088</v>
      </c>
      <c r="D5137" s="45"/>
    </row>
    <row r="5138" spans="2:4" ht="16" thickBot="1" x14ac:dyDescent="0.25">
      <c r="B5138" s="4">
        <v>5133</v>
      </c>
      <c r="C5138" s="4">
        <v>110.51486779474349</v>
      </c>
      <c r="D5138" s="45"/>
    </row>
    <row r="5139" spans="2:4" ht="16" thickBot="1" x14ac:dyDescent="0.25">
      <c r="B5139" s="5">
        <v>5134</v>
      </c>
      <c r="C5139" s="5">
        <v>178.65607369046825</v>
      </c>
      <c r="D5139" s="45"/>
    </row>
    <row r="5140" spans="2:4" ht="16" thickBot="1" x14ac:dyDescent="0.25">
      <c r="B5140" s="4">
        <v>5135</v>
      </c>
      <c r="C5140" s="4">
        <v>130.28117739778892</v>
      </c>
      <c r="D5140" s="45"/>
    </row>
    <row r="5141" spans="2:4" ht="16" thickBot="1" x14ac:dyDescent="0.25">
      <c r="B5141" s="5">
        <v>5136</v>
      </c>
      <c r="C5141" s="5">
        <v>227.85549315116219</v>
      </c>
      <c r="D5141" s="45"/>
    </row>
    <row r="5142" spans="2:4" ht="16" thickBot="1" x14ac:dyDescent="0.25">
      <c r="B5142" s="4">
        <v>5137</v>
      </c>
      <c r="C5142" s="4">
        <v>194.22399084688107</v>
      </c>
      <c r="D5142" s="45"/>
    </row>
    <row r="5143" spans="2:4" ht="16" thickBot="1" x14ac:dyDescent="0.25">
      <c r="B5143" s="5">
        <v>5138</v>
      </c>
      <c r="C5143" s="5">
        <v>209.97348704059414</v>
      </c>
      <c r="D5143" s="45"/>
    </row>
    <row r="5144" spans="2:4" ht="16" thickBot="1" x14ac:dyDescent="0.25">
      <c r="B5144" s="4">
        <v>5139</v>
      </c>
      <c r="C5144" s="4">
        <v>269.90153078916893</v>
      </c>
      <c r="D5144" s="45"/>
    </row>
    <row r="5145" spans="2:4" ht="16" thickBot="1" x14ac:dyDescent="0.25">
      <c r="B5145" s="5">
        <v>5140</v>
      </c>
      <c r="C5145" s="5">
        <v>144.07474566517044</v>
      </c>
      <c r="D5145" s="45"/>
    </row>
    <row r="5146" spans="2:4" ht="16" thickBot="1" x14ac:dyDescent="0.25">
      <c r="B5146" s="4">
        <v>5141</v>
      </c>
      <c r="C5146" s="4">
        <v>132.5832679144593</v>
      </c>
      <c r="D5146" s="45"/>
    </row>
    <row r="5147" spans="2:4" ht="16" thickBot="1" x14ac:dyDescent="0.25">
      <c r="B5147" s="5">
        <v>5142</v>
      </c>
      <c r="C5147" s="5">
        <v>223.05204187664737</v>
      </c>
      <c r="D5147" s="45"/>
    </row>
    <row r="5148" spans="2:4" ht="16" thickBot="1" x14ac:dyDescent="0.25">
      <c r="B5148" s="4">
        <v>5143</v>
      </c>
      <c r="C5148" s="4">
        <v>169.5028364259756</v>
      </c>
      <c r="D5148" s="45"/>
    </row>
    <row r="5149" spans="2:4" ht="16" thickBot="1" x14ac:dyDescent="0.25">
      <c r="B5149" s="5">
        <v>5144</v>
      </c>
      <c r="C5149" s="5">
        <v>193.35921395339199</v>
      </c>
      <c r="D5149" s="45"/>
    </row>
    <row r="5150" spans="2:4" ht="16" thickBot="1" x14ac:dyDescent="0.25">
      <c r="B5150" s="4">
        <v>5145</v>
      </c>
      <c r="C5150" s="4">
        <v>89.26130984145324</v>
      </c>
      <c r="D5150" s="45"/>
    </row>
    <row r="5151" spans="2:4" ht="16" thickBot="1" x14ac:dyDescent="0.25">
      <c r="B5151" s="5">
        <v>5146</v>
      </c>
      <c r="C5151" s="5">
        <v>226.8459703991233</v>
      </c>
      <c r="D5151" s="45"/>
    </row>
    <row r="5152" spans="2:4" ht="16" thickBot="1" x14ac:dyDescent="0.25">
      <c r="B5152" s="4">
        <v>5147</v>
      </c>
      <c r="C5152" s="4">
        <v>98.288084936110408</v>
      </c>
      <c r="D5152" s="45"/>
    </row>
    <row r="5153" spans="2:4" ht="16" thickBot="1" x14ac:dyDescent="0.25">
      <c r="B5153" s="5">
        <v>5148</v>
      </c>
      <c r="C5153" s="5">
        <v>198.51172271662566</v>
      </c>
      <c r="D5153" s="45"/>
    </row>
    <row r="5154" spans="2:4" ht="16" thickBot="1" x14ac:dyDescent="0.25">
      <c r="B5154" s="4">
        <v>5149</v>
      </c>
      <c r="C5154" s="4">
        <v>273.16940081320024</v>
      </c>
      <c r="D5154" s="45"/>
    </row>
    <row r="5155" spans="2:4" ht="16" thickBot="1" x14ac:dyDescent="0.25">
      <c r="B5155" s="5">
        <v>5150</v>
      </c>
      <c r="C5155" s="5">
        <v>132.30229137731541</v>
      </c>
      <c r="D5155" s="45"/>
    </row>
    <row r="5156" spans="2:4" ht="16" thickBot="1" x14ac:dyDescent="0.25">
      <c r="B5156" s="4">
        <v>5151</v>
      </c>
      <c r="C5156" s="4">
        <v>109.28750438408288</v>
      </c>
      <c r="D5156" s="45"/>
    </row>
    <row r="5157" spans="2:4" ht="16" thickBot="1" x14ac:dyDescent="0.25">
      <c r="B5157" s="5">
        <v>5152</v>
      </c>
      <c r="C5157" s="5">
        <v>99.967592834944753</v>
      </c>
      <c r="D5157" s="45"/>
    </row>
    <row r="5158" spans="2:4" ht="16" thickBot="1" x14ac:dyDescent="0.25">
      <c r="B5158" s="4">
        <v>5153</v>
      </c>
      <c r="C5158" s="4">
        <v>156.214007166409</v>
      </c>
      <c r="D5158" s="45"/>
    </row>
    <row r="5159" spans="2:4" ht="16" thickBot="1" x14ac:dyDescent="0.25">
      <c r="B5159" s="5">
        <v>5154</v>
      </c>
      <c r="C5159" s="5">
        <v>315.33823202445598</v>
      </c>
      <c r="D5159" s="45"/>
    </row>
    <row r="5160" spans="2:4" ht="16" thickBot="1" x14ac:dyDescent="0.25">
      <c r="B5160" s="4">
        <v>5155</v>
      </c>
      <c r="C5160" s="4">
        <v>417.98599872721599</v>
      </c>
      <c r="D5160" s="45"/>
    </row>
    <row r="5161" spans="2:4" ht="16" thickBot="1" x14ac:dyDescent="0.25">
      <c r="B5161" s="5">
        <v>5156</v>
      </c>
      <c r="C5161" s="5">
        <v>94.249375976879151</v>
      </c>
      <c r="D5161" s="45"/>
    </row>
    <row r="5162" spans="2:4" ht="16" thickBot="1" x14ac:dyDescent="0.25">
      <c r="B5162" s="4">
        <v>5157</v>
      </c>
      <c r="C5162" s="4">
        <v>125.23641181549603</v>
      </c>
      <c r="D5162" s="45"/>
    </row>
    <row r="5163" spans="2:4" ht="16" thickBot="1" x14ac:dyDescent="0.25">
      <c r="B5163" s="5">
        <v>5158</v>
      </c>
      <c r="C5163" s="5">
        <v>182.62976940100629</v>
      </c>
      <c r="D5163" s="45"/>
    </row>
    <row r="5164" spans="2:4" ht="16" thickBot="1" x14ac:dyDescent="0.25">
      <c r="B5164" s="4">
        <v>5159</v>
      </c>
      <c r="C5164" s="4">
        <v>201.76583127695639</v>
      </c>
      <c r="D5164" s="45"/>
    </row>
    <row r="5165" spans="2:4" ht="16" thickBot="1" x14ac:dyDescent="0.25">
      <c r="B5165" s="5">
        <v>5160</v>
      </c>
      <c r="C5165" s="5">
        <v>233.70725157756974</v>
      </c>
      <c r="D5165" s="45"/>
    </row>
    <row r="5166" spans="2:4" ht="16" thickBot="1" x14ac:dyDescent="0.25">
      <c r="B5166" s="4">
        <v>5161</v>
      </c>
      <c r="C5166" s="4">
        <v>217.28780687869309</v>
      </c>
      <c r="D5166" s="45"/>
    </row>
    <row r="5167" spans="2:4" ht="16" thickBot="1" x14ac:dyDescent="0.25">
      <c r="B5167" s="5">
        <v>5162</v>
      </c>
      <c r="C5167" s="5">
        <v>104.43470016284626</v>
      </c>
      <c r="D5167" s="45"/>
    </row>
    <row r="5168" spans="2:4" ht="16" thickBot="1" x14ac:dyDescent="0.25">
      <c r="B5168" s="4">
        <v>5163</v>
      </c>
      <c r="C5168" s="4">
        <v>279.21890221423024</v>
      </c>
      <c r="D5168" s="45"/>
    </row>
    <row r="5169" spans="2:4" ht="16" thickBot="1" x14ac:dyDescent="0.25">
      <c r="B5169" s="5">
        <v>5164</v>
      </c>
      <c r="C5169" s="5">
        <v>166.77257373513319</v>
      </c>
      <c r="D5169" s="45"/>
    </row>
    <row r="5170" spans="2:4" ht="16" thickBot="1" x14ac:dyDescent="0.25">
      <c r="B5170" s="4">
        <v>5165</v>
      </c>
      <c r="C5170" s="4">
        <v>79.933033968118991</v>
      </c>
      <c r="D5170" s="45"/>
    </row>
    <row r="5171" spans="2:4" ht="16" thickBot="1" x14ac:dyDescent="0.25">
      <c r="B5171" s="5">
        <v>5166</v>
      </c>
      <c r="C5171" s="5">
        <v>119.02354231356708</v>
      </c>
      <c r="D5171" s="45"/>
    </row>
    <row r="5172" spans="2:4" ht="16" thickBot="1" x14ac:dyDescent="0.25">
      <c r="B5172" s="4">
        <v>5167</v>
      </c>
      <c r="C5172" s="4">
        <v>78.879325775353095</v>
      </c>
      <c r="D5172" s="45"/>
    </row>
    <row r="5173" spans="2:4" ht="16" thickBot="1" x14ac:dyDescent="0.25">
      <c r="B5173" s="5">
        <v>5168</v>
      </c>
      <c r="C5173" s="5">
        <v>119.29249899055841</v>
      </c>
      <c r="D5173" s="45"/>
    </row>
    <row r="5174" spans="2:4" ht="16" thickBot="1" x14ac:dyDescent="0.25">
      <c r="B5174" s="4">
        <v>5169</v>
      </c>
      <c r="C5174" s="4">
        <v>134.2510262528746</v>
      </c>
      <c r="D5174" s="45"/>
    </row>
    <row r="5175" spans="2:4" ht="16" thickBot="1" x14ac:dyDescent="0.25">
      <c r="B5175" s="5">
        <v>5170</v>
      </c>
      <c r="C5175" s="5">
        <v>215.38440402242412</v>
      </c>
      <c r="D5175" s="45"/>
    </row>
    <row r="5176" spans="2:4" ht="16" thickBot="1" x14ac:dyDescent="0.25">
      <c r="B5176" s="4">
        <v>5171</v>
      </c>
      <c r="C5176" s="4">
        <v>168.2921462406976</v>
      </c>
      <c r="D5176" s="45"/>
    </row>
    <row r="5177" spans="2:4" ht="16" thickBot="1" x14ac:dyDescent="0.25">
      <c r="B5177" s="5">
        <v>5172</v>
      </c>
      <c r="C5177" s="5">
        <v>115.28418055113765</v>
      </c>
      <c r="D5177" s="45"/>
    </row>
    <row r="5178" spans="2:4" ht="16" thickBot="1" x14ac:dyDescent="0.25">
      <c r="B5178" s="4">
        <v>5173</v>
      </c>
      <c r="C5178" s="4">
        <v>151.48507035625391</v>
      </c>
      <c r="D5178" s="45"/>
    </row>
    <row r="5179" spans="2:4" ht="16" thickBot="1" x14ac:dyDescent="0.25">
      <c r="B5179" s="5">
        <v>5174</v>
      </c>
      <c r="C5179" s="5">
        <v>234.29388835433897</v>
      </c>
      <c r="D5179" s="45"/>
    </row>
    <row r="5180" spans="2:4" ht="16" thickBot="1" x14ac:dyDescent="0.25">
      <c r="B5180" s="4">
        <v>5175</v>
      </c>
      <c r="C5180" s="4">
        <v>135.33971314135124</v>
      </c>
      <c r="D5180" s="45"/>
    </row>
    <row r="5181" spans="2:4" ht="16" thickBot="1" x14ac:dyDescent="0.25">
      <c r="B5181" s="5">
        <v>5176</v>
      </c>
      <c r="C5181" s="5">
        <v>108.88468643985703</v>
      </c>
      <c r="D5181" s="45"/>
    </row>
    <row r="5182" spans="2:4" ht="16" thickBot="1" x14ac:dyDescent="0.25">
      <c r="B5182" s="4">
        <v>5177</v>
      </c>
      <c r="C5182" s="4">
        <v>180.70804105850112</v>
      </c>
      <c r="D5182" s="45"/>
    </row>
    <row r="5183" spans="2:4" ht="16" thickBot="1" x14ac:dyDescent="0.25">
      <c r="B5183" s="5">
        <v>5178</v>
      </c>
      <c r="C5183" s="5">
        <v>145.99698740497945</v>
      </c>
      <c r="D5183" s="45"/>
    </row>
    <row r="5184" spans="2:4" ht="16" thickBot="1" x14ac:dyDescent="0.25">
      <c r="B5184" s="4">
        <v>5179</v>
      </c>
      <c r="C5184" s="4">
        <v>134.06939647368156</v>
      </c>
      <c r="D5184" s="45"/>
    </row>
    <row r="5185" spans="2:4" ht="16" thickBot="1" x14ac:dyDescent="0.25">
      <c r="B5185" s="5">
        <v>5180</v>
      </c>
      <c r="C5185" s="5">
        <v>247.81376751759979</v>
      </c>
      <c r="D5185" s="45"/>
    </row>
    <row r="5186" spans="2:4" ht="16" thickBot="1" x14ac:dyDescent="0.25">
      <c r="B5186" s="4">
        <v>5181</v>
      </c>
      <c r="C5186" s="4">
        <v>51.728577586996295</v>
      </c>
      <c r="D5186" s="45"/>
    </row>
    <row r="5187" spans="2:4" ht="16" thickBot="1" x14ac:dyDescent="0.25">
      <c r="B5187" s="5">
        <v>5182</v>
      </c>
      <c r="C5187" s="5">
        <v>153.57947484425409</v>
      </c>
      <c r="D5187" s="45"/>
    </row>
    <row r="5188" spans="2:4" ht="16" thickBot="1" x14ac:dyDescent="0.25">
      <c r="B5188" s="4">
        <v>5183</v>
      </c>
      <c r="C5188" s="4">
        <v>93.452832110584737</v>
      </c>
      <c r="D5188" s="45"/>
    </row>
    <row r="5189" spans="2:4" ht="16" thickBot="1" x14ac:dyDescent="0.25">
      <c r="B5189" s="5">
        <v>5184</v>
      </c>
      <c r="C5189" s="5">
        <v>256.87438320800607</v>
      </c>
      <c r="D5189" s="45"/>
    </row>
    <row r="5190" spans="2:4" ht="16" thickBot="1" x14ac:dyDescent="0.25">
      <c r="B5190" s="4">
        <v>5185</v>
      </c>
      <c r="C5190" s="4">
        <v>224.09308304398721</v>
      </c>
      <c r="D5190" s="45"/>
    </row>
    <row r="5191" spans="2:4" ht="16" thickBot="1" x14ac:dyDescent="0.25">
      <c r="B5191" s="5">
        <v>5186</v>
      </c>
      <c r="C5191" s="5">
        <v>190.5450150646486</v>
      </c>
      <c r="D5191" s="45"/>
    </row>
    <row r="5192" spans="2:4" ht="16" thickBot="1" x14ac:dyDescent="0.25">
      <c r="B5192" s="4">
        <v>5187</v>
      </c>
      <c r="C5192" s="4">
        <v>147.44530756532555</v>
      </c>
      <c r="D5192" s="45"/>
    </row>
    <row r="5193" spans="2:4" ht="16" thickBot="1" x14ac:dyDescent="0.25">
      <c r="B5193" s="5">
        <v>5188</v>
      </c>
      <c r="C5193" s="5">
        <v>140.19834202577871</v>
      </c>
      <c r="D5193" s="45"/>
    </row>
    <row r="5194" spans="2:4" ht="16" thickBot="1" x14ac:dyDescent="0.25">
      <c r="B5194" s="4">
        <v>5189</v>
      </c>
      <c r="C5194" s="4">
        <v>216.8140173422012</v>
      </c>
      <c r="D5194" s="45"/>
    </row>
    <row r="5195" spans="2:4" ht="16" thickBot="1" x14ac:dyDescent="0.25">
      <c r="B5195" s="5">
        <v>5190</v>
      </c>
      <c r="C5195" s="5">
        <v>128.32348554795314</v>
      </c>
      <c r="D5195" s="45"/>
    </row>
    <row r="5196" spans="2:4" ht="16" thickBot="1" x14ac:dyDescent="0.25">
      <c r="B5196" s="4">
        <v>5191</v>
      </c>
      <c r="C5196" s="4">
        <v>103.13497685855965</v>
      </c>
      <c r="D5196" s="45"/>
    </row>
    <row r="5197" spans="2:4" ht="16" thickBot="1" x14ac:dyDescent="0.25">
      <c r="B5197" s="5">
        <v>5192</v>
      </c>
      <c r="C5197" s="5">
        <v>112.78320048343352</v>
      </c>
      <c r="D5197" s="45"/>
    </row>
    <row r="5198" spans="2:4" ht="16" thickBot="1" x14ac:dyDescent="0.25">
      <c r="B5198" s="4">
        <v>5193</v>
      </c>
      <c r="C5198" s="4">
        <v>174.92012191831643</v>
      </c>
      <c r="D5198" s="45"/>
    </row>
    <row r="5199" spans="2:4" ht="16" thickBot="1" x14ac:dyDescent="0.25">
      <c r="B5199" s="5">
        <v>5194</v>
      </c>
      <c r="C5199" s="5">
        <v>82.047629270465251</v>
      </c>
      <c r="D5199" s="45"/>
    </row>
    <row r="5200" spans="2:4" ht="16" thickBot="1" x14ac:dyDescent="0.25">
      <c r="B5200" s="4">
        <v>5195</v>
      </c>
      <c r="C5200" s="4">
        <v>79.051417118661618</v>
      </c>
      <c r="D5200" s="45"/>
    </row>
    <row r="5201" spans="2:4" ht="16" thickBot="1" x14ac:dyDescent="0.25">
      <c r="B5201" s="5">
        <v>5196</v>
      </c>
      <c r="C5201" s="5">
        <v>348.61885508221951</v>
      </c>
      <c r="D5201" s="45"/>
    </row>
    <row r="5202" spans="2:4" ht="16" thickBot="1" x14ac:dyDescent="0.25">
      <c r="B5202" s="4">
        <v>5197</v>
      </c>
      <c r="C5202" s="4">
        <v>88.076919448454561</v>
      </c>
      <c r="D5202" s="45"/>
    </row>
    <row r="5203" spans="2:4" ht="16" thickBot="1" x14ac:dyDescent="0.25">
      <c r="B5203" s="5">
        <v>5198</v>
      </c>
      <c r="C5203" s="5">
        <v>54.58490355211098</v>
      </c>
      <c r="D5203" s="45"/>
    </row>
    <row r="5204" spans="2:4" ht="16" thickBot="1" x14ac:dyDescent="0.25">
      <c r="B5204" s="4">
        <v>5199</v>
      </c>
      <c r="C5204" s="4">
        <v>223.54929112021816</v>
      </c>
      <c r="D5204" s="45"/>
    </row>
    <row r="5205" spans="2:4" ht="16" thickBot="1" x14ac:dyDescent="0.25">
      <c r="B5205" s="5">
        <v>5200</v>
      </c>
      <c r="C5205" s="5">
        <v>91.490091941731492</v>
      </c>
      <c r="D5205" s="45"/>
    </row>
    <row r="5206" spans="2:4" ht="16" thickBot="1" x14ac:dyDescent="0.25">
      <c r="B5206" s="4">
        <v>5201</v>
      </c>
      <c r="C5206" s="4">
        <v>91.707590912677247</v>
      </c>
      <c r="D5206" s="45"/>
    </row>
    <row r="5207" spans="2:4" ht="16" thickBot="1" x14ac:dyDescent="0.25">
      <c r="B5207" s="5">
        <v>5202</v>
      </c>
      <c r="C5207" s="5">
        <v>243.65664279811344</v>
      </c>
      <c r="D5207" s="45"/>
    </row>
    <row r="5208" spans="2:4" ht="16" thickBot="1" x14ac:dyDescent="0.25">
      <c r="B5208" s="4">
        <v>5203</v>
      </c>
      <c r="C5208" s="4">
        <v>93.257677460986798</v>
      </c>
      <c r="D5208" s="45"/>
    </row>
    <row r="5209" spans="2:4" ht="16" thickBot="1" x14ac:dyDescent="0.25">
      <c r="B5209" s="5">
        <v>5204</v>
      </c>
      <c r="C5209" s="5">
        <v>393.83186286511125</v>
      </c>
      <c r="D5209" s="45"/>
    </row>
    <row r="5210" spans="2:4" ht="16" thickBot="1" x14ac:dyDescent="0.25">
      <c r="B5210" s="4">
        <v>5205</v>
      </c>
      <c r="C5210" s="4">
        <v>373.6730212402345</v>
      </c>
      <c r="D5210" s="45"/>
    </row>
    <row r="5211" spans="2:4" ht="16" thickBot="1" x14ac:dyDescent="0.25">
      <c r="B5211" s="5">
        <v>5206</v>
      </c>
      <c r="C5211" s="5">
        <v>331.99425844390947</v>
      </c>
      <c r="D5211" s="45"/>
    </row>
    <row r="5212" spans="2:4" ht="16" thickBot="1" x14ac:dyDescent="0.25">
      <c r="B5212" s="4">
        <v>5207</v>
      </c>
      <c r="C5212" s="4">
        <v>94.895682296271801</v>
      </c>
      <c r="D5212" s="45"/>
    </row>
    <row r="5213" spans="2:4" ht="16" thickBot="1" x14ac:dyDescent="0.25">
      <c r="B5213" s="5">
        <v>5208</v>
      </c>
      <c r="C5213" s="5">
        <v>119.44769267855541</v>
      </c>
      <c r="D5213" s="45"/>
    </row>
    <row r="5214" spans="2:4" ht="16" thickBot="1" x14ac:dyDescent="0.25">
      <c r="B5214" s="4">
        <v>5209</v>
      </c>
      <c r="C5214" s="4">
        <v>138.40601537635015</v>
      </c>
      <c r="D5214" s="45"/>
    </row>
    <row r="5215" spans="2:4" ht="16" thickBot="1" x14ac:dyDescent="0.25">
      <c r="B5215" s="5">
        <v>5210</v>
      </c>
      <c r="C5215" s="5">
        <v>126.73047367035568</v>
      </c>
      <c r="D5215" s="45"/>
    </row>
    <row r="5216" spans="2:4" ht="16" thickBot="1" x14ac:dyDescent="0.25">
      <c r="B5216" s="4">
        <v>5211</v>
      </c>
      <c r="C5216" s="4">
        <v>141.64511675934594</v>
      </c>
      <c r="D5216" s="45"/>
    </row>
    <row r="5217" spans="2:4" ht="16" thickBot="1" x14ac:dyDescent="0.25">
      <c r="B5217" s="5">
        <v>5212</v>
      </c>
      <c r="C5217" s="5">
        <v>88.593051081095055</v>
      </c>
      <c r="D5217" s="45"/>
    </row>
    <row r="5218" spans="2:4" ht="16" thickBot="1" x14ac:dyDescent="0.25">
      <c r="B5218" s="4">
        <v>5213</v>
      </c>
      <c r="C5218" s="4">
        <v>157.71025814696642</v>
      </c>
      <c r="D5218" s="45"/>
    </row>
    <row r="5219" spans="2:4" ht="16" thickBot="1" x14ac:dyDescent="0.25">
      <c r="B5219" s="5">
        <v>5214</v>
      </c>
      <c r="C5219" s="5">
        <v>148.10608500982013</v>
      </c>
      <c r="D5219" s="45"/>
    </row>
    <row r="5220" spans="2:4" ht="16" thickBot="1" x14ac:dyDescent="0.25">
      <c r="B5220" s="4">
        <v>5215</v>
      </c>
      <c r="C5220" s="4">
        <v>327.97135250127036</v>
      </c>
      <c r="D5220" s="45"/>
    </row>
    <row r="5221" spans="2:4" ht="16" thickBot="1" x14ac:dyDescent="0.25">
      <c r="B5221" s="5">
        <v>5216</v>
      </c>
      <c r="C5221" s="5">
        <v>126.0976842123966</v>
      </c>
      <c r="D5221" s="45"/>
    </row>
    <row r="5222" spans="2:4" ht="16" thickBot="1" x14ac:dyDescent="0.25">
      <c r="B5222" s="4">
        <v>5217</v>
      </c>
      <c r="C5222" s="4">
        <v>116.64528520194997</v>
      </c>
      <c r="D5222" s="45"/>
    </row>
    <row r="5223" spans="2:4" ht="16" thickBot="1" x14ac:dyDescent="0.25">
      <c r="B5223" s="5">
        <v>5218</v>
      </c>
      <c r="C5223" s="5">
        <v>346.86486797817292</v>
      </c>
      <c r="D5223" s="45"/>
    </row>
    <row r="5224" spans="2:4" ht="16" thickBot="1" x14ac:dyDescent="0.25">
      <c r="B5224" s="4">
        <v>5219</v>
      </c>
      <c r="C5224" s="4">
        <v>144.24030868157141</v>
      </c>
      <c r="D5224" s="45"/>
    </row>
    <row r="5225" spans="2:4" ht="16" thickBot="1" x14ac:dyDescent="0.25">
      <c r="B5225" s="5">
        <v>5220</v>
      </c>
      <c r="C5225" s="5">
        <v>153.29360185163242</v>
      </c>
      <c r="D5225" s="45"/>
    </row>
    <row r="5226" spans="2:4" ht="16" thickBot="1" x14ac:dyDescent="0.25">
      <c r="B5226" s="4">
        <v>5221</v>
      </c>
      <c r="C5226" s="4">
        <v>92.572633845033764</v>
      </c>
      <c r="D5226" s="45"/>
    </row>
    <row r="5227" spans="2:4" ht="16" thickBot="1" x14ac:dyDescent="0.25">
      <c r="B5227" s="5">
        <v>5222</v>
      </c>
      <c r="C5227" s="5">
        <v>161.27323321584257</v>
      </c>
      <c r="D5227" s="45"/>
    </row>
    <row r="5228" spans="2:4" ht="16" thickBot="1" x14ac:dyDescent="0.25">
      <c r="B5228" s="4">
        <v>5223</v>
      </c>
      <c r="C5228" s="4">
        <v>171.88493720879049</v>
      </c>
      <c r="D5228" s="45"/>
    </row>
    <row r="5229" spans="2:4" ht="16" thickBot="1" x14ac:dyDescent="0.25">
      <c r="B5229" s="5">
        <v>5224</v>
      </c>
      <c r="C5229" s="5">
        <v>275.49978344603676</v>
      </c>
      <c r="D5229" s="45"/>
    </row>
    <row r="5230" spans="2:4" ht="16" thickBot="1" x14ac:dyDescent="0.25">
      <c r="B5230" s="4">
        <v>5225</v>
      </c>
      <c r="C5230" s="4">
        <v>213.82601911768299</v>
      </c>
      <c r="D5230" s="45"/>
    </row>
    <row r="5231" spans="2:4" ht="16" thickBot="1" x14ac:dyDescent="0.25">
      <c r="B5231" s="5">
        <v>5226</v>
      </c>
      <c r="C5231" s="5">
        <v>157.01052222736072</v>
      </c>
      <c r="D5231" s="45"/>
    </row>
    <row r="5232" spans="2:4" ht="16" thickBot="1" x14ac:dyDescent="0.25">
      <c r="B5232" s="4">
        <v>5227</v>
      </c>
      <c r="C5232" s="4">
        <v>142.93138755293378</v>
      </c>
      <c r="D5232" s="45"/>
    </row>
    <row r="5233" spans="2:4" ht="16" thickBot="1" x14ac:dyDescent="0.25">
      <c r="B5233" s="5">
        <v>5228</v>
      </c>
      <c r="C5233" s="5">
        <v>93.022832469009472</v>
      </c>
      <c r="D5233" s="45"/>
    </row>
    <row r="5234" spans="2:4" ht="16" thickBot="1" x14ac:dyDescent="0.25">
      <c r="B5234" s="4">
        <v>5229</v>
      </c>
      <c r="C5234" s="4">
        <v>42.341671261415613</v>
      </c>
      <c r="D5234" s="45"/>
    </row>
    <row r="5235" spans="2:4" ht="16" thickBot="1" x14ac:dyDescent="0.25">
      <c r="B5235" s="5">
        <v>5230</v>
      </c>
      <c r="C5235" s="5">
        <v>97.896015961361741</v>
      </c>
      <c r="D5235" s="45"/>
    </row>
    <row r="5236" spans="2:4" ht="16" thickBot="1" x14ac:dyDescent="0.25">
      <c r="B5236" s="4">
        <v>5231</v>
      </c>
      <c r="C5236" s="4">
        <v>116.85752023648048</v>
      </c>
      <c r="D5236" s="45"/>
    </row>
    <row r="5237" spans="2:4" ht="16" thickBot="1" x14ac:dyDescent="0.25">
      <c r="B5237" s="5">
        <v>5232</v>
      </c>
      <c r="C5237" s="5">
        <v>116.25909233146534</v>
      </c>
      <c r="D5237" s="45"/>
    </row>
    <row r="5238" spans="2:4" ht="16" thickBot="1" x14ac:dyDescent="0.25">
      <c r="B5238" s="4">
        <v>5233</v>
      </c>
      <c r="C5238" s="4">
        <v>66.100813189126143</v>
      </c>
      <c r="D5238" s="45"/>
    </row>
    <row r="5239" spans="2:4" ht="16" thickBot="1" x14ac:dyDescent="0.25">
      <c r="B5239" s="5">
        <v>5234</v>
      </c>
      <c r="C5239" s="5">
        <v>53.451893445324338</v>
      </c>
      <c r="D5239" s="45"/>
    </row>
    <row r="5240" spans="2:4" ht="16" thickBot="1" x14ac:dyDescent="0.25">
      <c r="B5240" s="4">
        <v>5235</v>
      </c>
      <c r="C5240" s="4">
        <v>76.906373705567177</v>
      </c>
      <c r="D5240" s="45"/>
    </row>
    <row r="5241" spans="2:4" ht="16" thickBot="1" x14ac:dyDescent="0.25">
      <c r="B5241" s="5">
        <v>5236</v>
      </c>
      <c r="C5241" s="5">
        <v>191.44974351364181</v>
      </c>
      <c r="D5241" s="45"/>
    </row>
    <row r="5242" spans="2:4" ht="16" thickBot="1" x14ac:dyDescent="0.25">
      <c r="B5242" s="4">
        <v>5237</v>
      </c>
      <c r="C5242" s="4">
        <v>206.46626047622382</v>
      </c>
      <c r="D5242" s="45"/>
    </row>
    <row r="5243" spans="2:4" ht="16" thickBot="1" x14ac:dyDescent="0.25">
      <c r="B5243" s="5">
        <v>5238</v>
      </c>
      <c r="C5243" s="5">
        <v>223.89980963360429</v>
      </c>
      <c r="D5243" s="45"/>
    </row>
    <row r="5244" spans="2:4" ht="16" thickBot="1" x14ac:dyDescent="0.25">
      <c r="B5244" s="4">
        <v>5239</v>
      </c>
      <c r="C5244" s="4">
        <v>328.20702363705857</v>
      </c>
      <c r="D5244" s="45"/>
    </row>
    <row r="5245" spans="2:4" ht="16" thickBot="1" x14ac:dyDescent="0.25">
      <c r="B5245" s="5">
        <v>5240</v>
      </c>
      <c r="C5245" s="5">
        <v>112.16796170542403</v>
      </c>
      <c r="D5245" s="45"/>
    </row>
    <row r="5246" spans="2:4" ht="16" thickBot="1" x14ac:dyDescent="0.25">
      <c r="B5246" s="4">
        <v>5241</v>
      </c>
      <c r="C5246" s="4">
        <v>162.03119138507657</v>
      </c>
      <c r="D5246" s="45"/>
    </row>
    <row r="5247" spans="2:4" ht="16" thickBot="1" x14ac:dyDescent="0.25">
      <c r="B5247" s="5">
        <v>5242</v>
      </c>
      <c r="C5247" s="5">
        <v>171.71824144033167</v>
      </c>
      <c r="D5247" s="45"/>
    </row>
    <row r="5248" spans="2:4" ht="16" thickBot="1" x14ac:dyDescent="0.25">
      <c r="B5248" s="4">
        <v>5243</v>
      </c>
      <c r="C5248" s="4">
        <v>161.17239027631561</v>
      </c>
      <c r="D5248" s="45"/>
    </row>
    <row r="5249" spans="2:4" ht="16" thickBot="1" x14ac:dyDescent="0.25">
      <c r="B5249" s="5">
        <v>5244</v>
      </c>
      <c r="C5249" s="5">
        <v>88.49686589447559</v>
      </c>
      <c r="D5249" s="45"/>
    </row>
    <row r="5250" spans="2:4" ht="16" thickBot="1" x14ac:dyDescent="0.25">
      <c r="B5250" s="4">
        <v>5245</v>
      </c>
      <c r="C5250" s="4">
        <v>82.831531050228264</v>
      </c>
      <c r="D5250" s="45"/>
    </row>
    <row r="5251" spans="2:4" ht="16" thickBot="1" x14ac:dyDescent="0.25">
      <c r="B5251" s="5">
        <v>5246</v>
      </c>
      <c r="C5251" s="5">
        <v>78.189418215409603</v>
      </c>
      <c r="D5251" s="45"/>
    </row>
    <row r="5252" spans="2:4" ht="16" thickBot="1" x14ac:dyDescent="0.25">
      <c r="B5252" s="4">
        <v>5247</v>
      </c>
      <c r="C5252" s="4">
        <v>149.09528386206384</v>
      </c>
      <c r="D5252" s="45"/>
    </row>
    <row r="5253" spans="2:4" ht="16" thickBot="1" x14ac:dyDescent="0.25">
      <c r="B5253" s="5">
        <v>5248</v>
      </c>
      <c r="C5253" s="5">
        <v>185.82102007481021</v>
      </c>
      <c r="D5253" s="45"/>
    </row>
    <row r="5254" spans="2:4" ht="16" thickBot="1" x14ac:dyDescent="0.25">
      <c r="B5254" s="4">
        <v>5249</v>
      </c>
      <c r="C5254" s="4">
        <v>88.672823200565006</v>
      </c>
      <c r="D5254" s="45"/>
    </row>
    <row r="5255" spans="2:4" ht="16" thickBot="1" x14ac:dyDescent="0.25">
      <c r="B5255" s="5">
        <v>5250</v>
      </c>
      <c r="C5255" s="5">
        <v>88.063690210678047</v>
      </c>
      <c r="D5255" s="45"/>
    </row>
    <row r="5256" spans="2:4" ht="16" thickBot="1" x14ac:dyDescent="0.25">
      <c r="B5256" s="4">
        <v>5251</v>
      </c>
      <c r="C5256" s="4">
        <v>170.61925220722546</v>
      </c>
      <c r="D5256" s="45"/>
    </row>
    <row r="5257" spans="2:4" ht="16" thickBot="1" x14ac:dyDescent="0.25">
      <c r="B5257" s="5">
        <v>5252</v>
      </c>
      <c r="C5257" s="5">
        <v>260.96529332071157</v>
      </c>
      <c r="D5257" s="45"/>
    </row>
    <row r="5258" spans="2:4" ht="16" thickBot="1" x14ac:dyDescent="0.25">
      <c r="B5258" s="4">
        <v>5253</v>
      </c>
      <c r="C5258" s="4">
        <v>126.60050751324709</v>
      </c>
      <c r="D5258" s="45"/>
    </row>
    <row r="5259" spans="2:4" ht="16" thickBot="1" x14ac:dyDescent="0.25">
      <c r="B5259" s="5">
        <v>5254</v>
      </c>
      <c r="C5259" s="5">
        <v>228.70871880603372</v>
      </c>
      <c r="D5259" s="45"/>
    </row>
    <row r="5260" spans="2:4" ht="16" thickBot="1" x14ac:dyDescent="0.25">
      <c r="B5260" s="4">
        <v>5255</v>
      </c>
      <c r="C5260" s="4">
        <v>134.78428315861802</v>
      </c>
      <c r="D5260" s="45"/>
    </row>
    <row r="5261" spans="2:4" ht="16" thickBot="1" x14ac:dyDescent="0.25">
      <c r="B5261" s="5">
        <v>5256</v>
      </c>
      <c r="C5261" s="5">
        <v>337.78725401186352</v>
      </c>
      <c r="D5261" s="45"/>
    </row>
    <row r="5262" spans="2:4" ht="16" thickBot="1" x14ac:dyDescent="0.25">
      <c r="B5262" s="4">
        <v>5257</v>
      </c>
      <c r="C5262" s="4">
        <v>75.781387048864062</v>
      </c>
      <c r="D5262" s="45"/>
    </row>
    <row r="5263" spans="2:4" ht="16" thickBot="1" x14ac:dyDescent="0.25">
      <c r="B5263" s="5">
        <v>5258</v>
      </c>
      <c r="C5263" s="5">
        <v>291.30569319981288</v>
      </c>
      <c r="D5263" s="45"/>
    </row>
    <row r="5264" spans="2:4" ht="16" thickBot="1" x14ac:dyDescent="0.25">
      <c r="B5264" s="4">
        <v>5259</v>
      </c>
      <c r="C5264" s="4">
        <v>180.5696035226274</v>
      </c>
      <c r="D5264" s="45"/>
    </row>
    <row r="5265" spans="2:4" ht="16" thickBot="1" x14ac:dyDescent="0.25">
      <c r="B5265" s="5">
        <v>5260</v>
      </c>
      <c r="C5265" s="5">
        <v>144.10946554210179</v>
      </c>
      <c r="D5265" s="45"/>
    </row>
    <row r="5266" spans="2:4" ht="16" thickBot="1" x14ac:dyDescent="0.25">
      <c r="B5266" s="4">
        <v>5261</v>
      </c>
      <c r="C5266" s="4">
        <v>141.7339590111466</v>
      </c>
      <c r="D5266" s="45"/>
    </row>
    <row r="5267" spans="2:4" ht="16" thickBot="1" x14ac:dyDescent="0.25">
      <c r="B5267" s="5">
        <v>5262</v>
      </c>
      <c r="C5267" s="5">
        <v>307.75716990174482</v>
      </c>
      <c r="D5267" s="45"/>
    </row>
    <row r="5268" spans="2:4" ht="16" thickBot="1" x14ac:dyDescent="0.25">
      <c r="B5268" s="4">
        <v>5263</v>
      </c>
      <c r="C5268" s="4">
        <v>181.52395778284261</v>
      </c>
      <c r="D5268" s="45"/>
    </row>
    <row r="5269" spans="2:4" ht="16" thickBot="1" x14ac:dyDescent="0.25">
      <c r="B5269" s="5">
        <v>5264</v>
      </c>
      <c r="C5269" s="5">
        <v>94.327991953900337</v>
      </c>
      <c r="D5269" s="45"/>
    </row>
    <row r="5270" spans="2:4" ht="16" thickBot="1" x14ac:dyDescent="0.25">
      <c r="B5270" s="4">
        <v>5265</v>
      </c>
      <c r="C5270" s="4">
        <v>177.93738167432855</v>
      </c>
      <c r="D5270" s="45"/>
    </row>
    <row r="5271" spans="2:4" ht="16" thickBot="1" x14ac:dyDescent="0.25">
      <c r="B5271" s="5">
        <v>5266</v>
      </c>
      <c r="C5271" s="5">
        <v>264.82586104159122</v>
      </c>
      <c r="D5271" s="45"/>
    </row>
    <row r="5272" spans="2:4" ht="16" thickBot="1" x14ac:dyDescent="0.25">
      <c r="B5272" s="4">
        <v>5267</v>
      </c>
      <c r="C5272" s="4">
        <v>166.01917130439278</v>
      </c>
      <c r="D5272" s="45"/>
    </row>
    <row r="5273" spans="2:4" ht="16" thickBot="1" x14ac:dyDescent="0.25">
      <c r="B5273" s="5">
        <v>5268</v>
      </c>
      <c r="C5273" s="5">
        <v>186.40301955089413</v>
      </c>
      <c r="D5273" s="45"/>
    </row>
    <row r="5274" spans="2:4" ht="16" thickBot="1" x14ac:dyDescent="0.25">
      <c r="B5274" s="4">
        <v>5269</v>
      </c>
      <c r="C5274" s="4">
        <v>203.30372433303998</v>
      </c>
      <c r="D5274" s="45"/>
    </row>
    <row r="5275" spans="2:4" ht="16" thickBot="1" x14ac:dyDescent="0.25">
      <c r="B5275" s="5">
        <v>5270</v>
      </c>
      <c r="C5275" s="5">
        <v>134.96793883124667</v>
      </c>
      <c r="D5275" s="45"/>
    </row>
    <row r="5276" spans="2:4" ht="16" thickBot="1" x14ac:dyDescent="0.25">
      <c r="B5276" s="4">
        <v>5271</v>
      </c>
      <c r="C5276" s="4">
        <v>234.95264920272163</v>
      </c>
      <c r="D5276" s="45"/>
    </row>
    <row r="5277" spans="2:4" ht="16" thickBot="1" x14ac:dyDescent="0.25">
      <c r="B5277" s="5">
        <v>5272</v>
      </c>
      <c r="C5277" s="5">
        <v>197.9302433284235</v>
      </c>
      <c r="D5277" s="45"/>
    </row>
    <row r="5278" spans="2:4" ht="16" thickBot="1" x14ac:dyDescent="0.25">
      <c r="B5278" s="4">
        <v>5273</v>
      </c>
      <c r="C5278" s="4">
        <v>165.27837924107587</v>
      </c>
      <c r="D5278" s="45"/>
    </row>
    <row r="5279" spans="2:4" ht="16" thickBot="1" x14ac:dyDescent="0.25">
      <c r="B5279" s="5">
        <v>5274</v>
      </c>
      <c r="C5279" s="5">
        <v>124.09257210971406</v>
      </c>
      <c r="D5279" s="45"/>
    </row>
    <row r="5280" spans="2:4" ht="16" thickBot="1" x14ac:dyDescent="0.25">
      <c r="B5280" s="4">
        <v>5275</v>
      </c>
      <c r="C5280" s="4">
        <v>113.84497728237098</v>
      </c>
      <c r="D5280" s="45"/>
    </row>
    <row r="5281" spans="2:4" ht="16" thickBot="1" x14ac:dyDescent="0.25">
      <c r="B5281" s="5">
        <v>5276</v>
      </c>
      <c r="C5281" s="5">
        <v>260.32826170114822</v>
      </c>
      <c r="D5281" s="45"/>
    </row>
    <row r="5282" spans="2:4" ht="16" thickBot="1" x14ac:dyDescent="0.25">
      <c r="B5282" s="4">
        <v>5277</v>
      </c>
      <c r="C5282" s="4">
        <v>194.48406383080942</v>
      </c>
      <c r="D5282" s="45"/>
    </row>
    <row r="5283" spans="2:4" ht="16" thickBot="1" x14ac:dyDescent="0.25">
      <c r="B5283" s="5">
        <v>5278</v>
      </c>
      <c r="C5283" s="5">
        <v>174.8863768519746</v>
      </c>
      <c r="D5283" s="45"/>
    </row>
    <row r="5284" spans="2:4" ht="16" thickBot="1" x14ac:dyDescent="0.25">
      <c r="B5284" s="4">
        <v>5279</v>
      </c>
      <c r="C5284" s="4">
        <v>203.35130163636305</v>
      </c>
      <c r="D5284" s="45"/>
    </row>
    <row r="5285" spans="2:4" ht="16" thickBot="1" x14ac:dyDescent="0.25">
      <c r="B5285" s="5">
        <v>5280</v>
      </c>
      <c r="C5285" s="5">
        <v>310.25650821820363</v>
      </c>
      <c r="D5285" s="45"/>
    </row>
    <row r="5286" spans="2:4" ht="16" thickBot="1" x14ac:dyDescent="0.25">
      <c r="B5286" s="4">
        <v>5281</v>
      </c>
      <c r="C5286" s="4">
        <v>149.44772152618324</v>
      </c>
      <c r="D5286" s="45"/>
    </row>
    <row r="5287" spans="2:4" ht="16" thickBot="1" x14ac:dyDescent="0.25">
      <c r="B5287" s="5">
        <v>5282</v>
      </c>
      <c r="C5287" s="5">
        <v>232.07867758587037</v>
      </c>
      <c r="D5287" s="45"/>
    </row>
    <row r="5288" spans="2:4" ht="16" thickBot="1" x14ac:dyDescent="0.25">
      <c r="B5288" s="4">
        <v>5283</v>
      </c>
      <c r="C5288" s="4">
        <v>122.5771910853812</v>
      </c>
      <c r="D5288" s="45"/>
    </row>
    <row r="5289" spans="2:4" ht="16" thickBot="1" x14ac:dyDescent="0.25">
      <c r="B5289" s="5">
        <v>5284</v>
      </c>
      <c r="C5289" s="5">
        <v>118.16880979508652</v>
      </c>
      <c r="D5289" s="45"/>
    </row>
    <row r="5290" spans="2:4" ht="16" thickBot="1" x14ac:dyDescent="0.25">
      <c r="B5290" s="4">
        <v>5285</v>
      </c>
      <c r="C5290" s="4">
        <v>162.70058449430019</v>
      </c>
      <c r="D5290" s="45"/>
    </row>
    <row r="5291" spans="2:4" ht="16" thickBot="1" x14ac:dyDescent="0.25">
      <c r="B5291" s="5">
        <v>5286</v>
      </c>
      <c r="C5291" s="5">
        <v>198.09049045515394</v>
      </c>
      <c r="D5291" s="45"/>
    </row>
    <row r="5292" spans="2:4" ht="16" thickBot="1" x14ac:dyDescent="0.25">
      <c r="B5292" s="4">
        <v>5287</v>
      </c>
      <c r="C5292" s="4">
        <v>112.94344511500985</v>
      </c>
      <c r="D5292" s="45"/>
    </row>
    <row r="5293" spans="2:4" ht="16" thickBot="1" x14ac:dyDescent="0.25">
      <c r="B5293" s="5">
        <v>5288</v>
      </c>
      <c r="C5293" s="5">
        <v>224.90546501596361</v>
      </c>
      <c r="D5293" s="45"/>
    </row>
    <row r="5294" spans="2:4" ht="16" thickBot="1" x14ac:dyDescent="0.25">
      <c r="B5294" s="4">
        <v>5289</v>
      </c>
      <c r="C5294" s="4">
        <v>107.99611081625915</v>
      </c>
      <c r="D5294" s="45"/>
    </row>
    <row r="5295" spans="2:4" ht="16" thickBot="1" x14ac:dyDescent="0.25">
      <c r="B5295" s="5">
        <v>5290</v>
      </c>
      <c r="C5295" s="5">
        <v>105.55456186918403</v>
      </c>
      <c r="D5295" s="45"/>
    </row>
    <row r="5296" spans="2:4" ht="16" thickBot="1" x14ac:dyDescent="0.25">
      <c r="B5296" s="4">
        <v>5291</v>
      </c>
      <c r="C5296" s="4">
        <v>92.563871987942193</v>
      </c>
      <c r="D5296" s="45"/>
    </row>
    <row r="5297" spans="2:4" ht="16" thickBot="1" x14ac:dyDescent="0.25">
      <c r="B5297" s="5">
        <v>5292</v>
      </c>
      <c r="C5297" s="5">
        <v>191.54160741594774</v>
      </c>
      <c r="D5297" s="45"/>
    </row>
    <row r="5298" spans="2:4" ht="16" thickBot="1" x14ac:dyDescent="0.25">
      <c r="B5298" s="4">
        <v>5293</v>
      </c>
      <c r="C5298" s="4">
        <v>232.53212162270393</v>
      </c>
      <c r="D5298" s="45"/>
    </row>
    <row r="5299" spans="2:4" ht="16" thickBot="1" x14ac:dyDescent="0.25">
      <c r="B5299" s="5">
        <v>5294</v>
      </c>
      <c r="C5299" s="5">
        <v>294.14004265486358</v>
      </c>
      <c r="D5299" s="45"/>
    </row>
    <row r="5300" spans="2:4" ht="16" thickBot="1" x14ac:dyDescent="0.25">
      <c r="B5300" s="4">
        <v>5295</v>
      </c>
      <c r="C5300" s="4">
        <v>308.6988848209495</v>
      </c>
      <c r="D5300" s="45"/>
    </row>
    <row r="5301" spans="2:4" ht="16" thickBot="1" x14ac:dyDescent="0.25">
      <c r="B5301" s="5">
        <v>5296</v>
      </c>
      <c r="C5301" s="5">
        <v>160.9353037197952</v>
      </c>
      <c r="D5301" s="45"/>
    </row>
    <row r="5302" spans="2:4" ht="16" thickBot="1" x14ac:dyDescent="0.25">
      <c r="B5302" s="4">
        <v>5297</v>
      </c>
      <c r="C5302" s="4">
        <v>222.98078144324734</v>
      </c>
      <c r="D5302" s="45"/>
    </row>
    <row r="5303" spans="2:4" ht="16" thickBot="1" x14ac:dyDescent="0.25">
      <c r="B5303" s="5">
        <v>5298</v>
      </c>
      <c r="C5303" s="5">
        <v>27.93639338994296</v>
      </c>
      <c r="D5303" s="45"/>
    </row>
    <row r="5304" spans="2:4" ht="16" thickBot="1" x14ac:dyDescent="0.25">
      <c r="B5304" s="4">
        <v>5299</v>
      </c>
      <c r="C5304" s="4">
        <v>110.65619691372154</v>
      </c>
      <c r="D5304" s="45"/>
    </row>
    <row r="5305" spans="2:4" ht="16" thickBot="1" x14ac:dyDescent="0.25">
      <c r="B5305" s="5">
        <v>5300</v>
      </c>
      <c r="C5305" s="5">
        <v>102.8395949025788</v>
      </c>
      <c r="D5305" s="45"/>
    </row>
    <row r="5306" spans="2:4" ht="16" thickBot="1" x14ac:dyDescent="0.25">
      <c r="B5306" s="4">
        <v>5301</v>
      </c>
      <c r="C5306" s="4">
        <v>154.12418774098106</v>
      </c>
      <c r="D5306" s="45"/>
    </row>
    <row r="5307" spans="2:4" ht="16" thickBot="1" x14ac:dyDescent="0.25">
      <c r="B5307" s="5">
        <v>5302</v>
      </c>
      <c r="C5307" s="5">
        <v>116.70517400502342</v>
      </c>
      <c r="D5307" s="45"/>
    </row>
    <row r="5308" spans="2:4" ht="16" thickBot="1" x14ac:dyDescent="0.25">
      <c r="B5308" s="4">
        <v>5303</v>
      </c>
      <c r="C5308" s="4">
        <v>229.78585756981397</v>
      </c>
      <c r="D5308" s="45"/>
    </row>
    <row r="5309" spans="2:4" ht="16" thickBot="1" x14ac:dyDescent="0.25">
      <c r="B5309" s="5">
        <v>5304</v>
      </c>
      <c r="C5309" s="5">
        <v>190.83433415525829</v>
      </c>
      <c r="D5309" s="45"/>
    </row>
    <row r="5310" spans="2:4" ht="16" thickBot="1" x14ac:dyDescent="0.25">
      <c r="B5310" s="4">
        <v>5305</v>
      </c>
      <c r="C5310" s="4">
        <v>196.4467594065716</v>
      </c>
      <c r="D5310" s="45"/>
    </row>
    <row r="5311" spans="2:4" ht="16" thickBot="1" x14ac:dyDescent="0.25">
      <c r="B5311" s="5">
        <v>5306</v>
      </c>
      <c r="C5311" s="5">
        <v>224.93106675876319</v>
      </c>
      <c r="D5311" s="45"/>
    </row>
    <row r="5312" spans="2:4" ht="16" thickBot="1" x14ac:dyDescent="0.25">
      <c r="B5312" s="4">
        <v>5307</v>
      </c>
      <c r="C5312" s="4">
        <v>227.57933101569611</v>
      </c>
      <c r="D5312" s="45"/>
    </row>
    <row r="5313" spans="2:4" ht="16" thickBot="1" x14ac:dyDescent="0.25">
      <c r="B5313" s="5">
        <v>5308</v>
      </c>
      <c r="C5313" s="5">
        <v>123.31171644996783</v>
      </c>
      <c r="D5313" s="45"/>
    </row>
    <row r="5314" spans="2:4" ht="16" thickBot="1" x14ac:dyDescent="0.25">
      <c r="B5314" s="4">
        <v>5309</v>
      </c>
      <c r="C5314" s="4">
        <v>105.36104640787123</v>
      </c>
      <c r="D5314" s="45"/>
    </row>
    <row r="5315" spans="2:4" ht="16" thickBot="1" x14ac:dyDescent="0.25">
      <c r="B5315" s="5">
        <v>5310</v>
      </c>
      <c r="C5315" s="5">
        <v>171.46628080047918</v>
      </c>
      <c r="D5315" s="45"/>
    </row>
    <row r="5316" spans="2:4" ht="16" thickBot="1" x14ac:dyDescent="0.25">
      <c r="B5316" s="4">
        <v>5311</v>
      </c>
      <c r="C5316" s="4">
        <v>108.20872468985843</v>
      </c>
      <c r="D5316" s="45"/>
    </row>
    <row r="5317" spans="2:4" ht="16" thickBot="1" x14ac:dyDescent="0.25">
      <c r="B5317" s="5">
        <v>5312</v>
      </c>
      <c r="C5317" s="5">
        <v>110.35798591691115</v>
      </c>
      <c r="D5317" s="45"/>
    </row>
    <row r="5318" spans="2:4" ht="16" thickBot="1" x14ac:dyDescent="0.25">
      <c r="B5318" s="4">
        <v>5313</v>
      </c>
      <c r="C5318" s="4">
        <v>215.5652238331356</v>
      </c>
      <c r="D5318" s="45"/>
    </row>
    <row r="5319" spans="2:4" ht="16" thickBot="1" x14ac:dyDescent="0.25">
      <c r="B5319" s="5">
        <v>5314</v>
      </c>
      <c r="C5319" s="5">
        <v>189.84410364175841</v>
      </c>
      <c r="D5319" s="45"/>
    </row>
    <row r="5320" spans="2:4" ht="16" thickBot="1" x14ac:dyDescent="0.25">
      <c r="B5320" s="4">
        <v>5315</v>
      </c>
      <c r="C5320" s="4">
        <v>107.16884448477431</v>
      </c>
      <c r="D5320" s="45"/>
    </row>
    <row r="5321" spans="2:4" ht="16" thickBot="1" x14ac:dyDescent="0.25">
      <c r="B5321" s="5">
        <v>5316</v>
      </c>
      <c r="C5321" s="5">
        <v>175.42445453845147</v>
      </c>
      <c r="D5321" s="45"/>
    </row>
    <row r="5322" spans="2:4" ht="16" thickBot="1" x14ac:dyDescent="0.25">
      <c r="B5322" s="4">
        <v>5317</v>
      </c>
      <c r="C5322" s="4">
        <v>133.61861816335266</v>
      </c>
      <c r="D5322" s="45"/>
    </row>
    <row r="5323" spans="2:4" ht="16" thickBot="1" x14ac:dyDescent="0.25">
      <c r="B5323" s="5">
        <v>5318</v>
      </c>
      <c r="C5323" s="5">
        <v>73.510275705161078</v>
      </c>
      <c r="D5323" s="45"/>
    </row>
    <row r="5324" spans="2:4" ht="16" thickBot="1" x14ac:dyDescent="0.25">
      <c r="B5324" s="4">
        <v>5319</v>
      </c>
      <c r="C5324" s="4">
        <v>129.93497407828653</v>
      </c>
      <c r="D5324" s="45"/>
    </row>
    <row r="5325" spans="2:4" ht="16" thickBot="1" x14ac:dyDescent="0.25">
      <c r="B5325" s="5">
        <v>5320</v>
      </c>
      <c r="C5325" s="5">
        <v>239.05365395769738</v>
      </c>
      <c r="D5325" s="45"/>
    </row>
    <row r="5326" spans="2:4" ht="16" thickBot="1" x14ac:dyDescent="0.25">
      <c r="B5326" s="4">
        <v>5321</v>
      </c>
      <c r="C5326" s="4">
        <v>108.11508681355562</v>
      </c>
      <c r="D5326" s="45"/>
    </row>
    <row r="5327" spans="2:4" ht="16" thickBot="1" x14ac:dyDescent="0.25">
      <c r="B5327" s="5">
        <v>5322</v>
      </c>
      <c r="C5327" s="5">
        <v>111.01426605847955</v>
      </c>
      <c r="D5327" s="45"/>
    </row>
    <row r="5328" spans="2:4" ht="16" thickBot="1" x14ac:dyDescent="0.25">
      <c r="B5328" s="4">
        <v>5323</v>
      </c>
      <c r="C5328" s="4">
        <v>79.101547945993858</v>
      </c>
      <c r="D5328" s="45"/>
    </row>
    <row r="5329" spans="2:4" ht="16" thickBot="1" x14ac:dyDescent="0.25">
      <c r="B5329" s="5">
        <v>5324</v>
      </c>
      <c r="C5329" s="5">
        <v>51.594549136236097</v>
      </c>
      <c r="D5329" s="45"/>
    </row>
    <row r="5330" spans="2:4" ht="16" thickBot="1" x14ac:dyDescent="0.25">
      <c r="B5330" s="4">
        <v>5325</v>
      </c>
      <c r="C5330" s="4">
        <v>147.38724572943076</v>
      </c>
      <c r="D5330" s="45"/>
    </row>
    <row r="5331" spans="2:4" ht="16" thickBot="1" x14ac:dyDescent="0.25">
      <c r="B5331" s="5">
        <v>5326</v>
      </c>
      <c r="C5331" s="5">
        <v>130.24091433584334</v>
      </c>
      <c r="D5331" s="45"/>
    </row>
    <row r="5332" spans="2:4" ht="16" thickBot="1" x14ac:dyDescent="0.25">
      <c r="B5332" s="4">
        <v>5327</v>
      </c>
      <c r="C5332" s="4">
        <v>113.42671149795335</v>
      </c>
      <c r="D5332" s="45"/>
    </row>
    <row r="5333" spans="2:4" ht="16" thickBot="1" x14ac:dyDescent="0.25">
      <c r="B5333" s="5">
        <v>5328</v>
      </c>
      <c r="C5333" s="5">
        <v>234.38531502080681</v>
      </c>
      <c r="D5333" s="45"/>
    </row>
    <row r="5334" spans="2:4" ht="16" thickBot="1" x14ac:dyDescent="0.25">
      <c r="B5334" s="4">
        <v>5329</v>
      </c>
      <c r="C5334" s="4">
        <v>147.06029388246105</v>
      </c>
      <c r="D5334" s="45"/>
    </row>
    <row r="5335" spans="2:4" ht="16" thickBot="1" x14ac:dyDescent="0.25">
      <c r="B5335" s="5">
        <v>5330</v>
      </c>
      <c r="C5335" s="5">
        <v>164.42629899116909</v>
      </c>
      <c r="D5335" s="45"/>
    </row>
    <row r="5336" spans="2:4" ht="16" thickBot="1" x14ac:dyDescent="0.25">
      <c r="B5336" s="4">
        <v>5331</v>
      </c>
      <c r="C5336" s="4">
        <v>92.193542250870024</v>
      </c>
      <c r="D5336" s="45"/>
    </row>
    <row r="5337" spans="2:4" ht="16" thickBot="1" x14ac:dyDescent="0.25">
      <c r="B5337" s="5">
        <v>5332</v>
      </c>
      <c r="C5337" s="5">
        <v>49.95073858485398</v>
      </c>
      <c r="D5337" s="45"/>
    </row>
    <row r="5338" spans="2:4" ht="16" thickBot="1" x14ac:dyDescent="0.25">
      <c r="B5338" s="4">
        <v>5333</v>
      </c>
      <c r="C5338" s="4">
        <v>231.8156145529978</v>
      </c>
      <c r="D5338" s="45"/>
    </row>
    <row r="5339" spans="2:4" ht="16" thickBot="1" x14ac:dyDescent="0.25">
      <c r="B5339" s="5">
        <v>5334</v>
      </c>
      <c r="C5339" s="5">
        <v>64.90481488795723</v>
      </c>
      <c r="D5339" s="45"/>
    </row>
    <row r="5340" spans="2:4" ht="16" thickBot="1" x14ac:dyDescent="0.25">
      <c r="B5340" s="4">
        <v>5335</v>
      </c>
      <c r="C5340" s="4">
        <v>418.5849808411682</v>
      </c>
      <c r="D5340" s="45"/>
    </row>
    <row r="5341" spans="2:4" ht="16" thickBot="1" x14ac:dyDescent="0.25">
      <c r="B5341" s="5">
        <v>5336</v>
      </c>
      <c r="C5341" s="5">
        <v>114.28561452064154</v>
      </c>
      <c r="D5341" s="45"/>
    </row>
    <row r="5342" spans="2:4" ht="16" thickBot="1" x14ac:dyDescent="0.25">
      <c r="B5342" s="4">
        <v>5337</v>
      </c>
      <c r="C5342" s="4">
        <v>165.07627146735237</v>
      </c>
      <c r="D5342" s="45"/>
    </row>
    <row r="5343" spans="2:4" ht="16" thickBot="1" x14ac:dyDescent="0.25">
      <c r="B5343" s="5">
        <v>5338</v>
      </c>
      <c r="C5343" s="5">
        <v>252.73681647707357</v>
      </c>
      <c r="D5343" s="45"/>
    </row>
    <row r="5344" spans="2:4" ht="16" thickBot="1" x14ac:dyDescent="0.25">
      <c r="B5344" s="4">
        <v>5339</v>
      </c>
      <c r="C5344" s="4">
        <v>148.61601576986754</v>
      </c>
      <c r="D5344" s="45"/>
    </row>
    <row r="5345" spans="2:4" ht="16" thickBot="1" x14ac:dyDescent="0.25">
      <c r="B5345" s="5">
        <v>5340</v>
      </c>
      <c r="C5345" s="5">
        <v>91.373738560610917</v>
      </c>
      <c r="D5345" s="45"/>
    </row>
    <row r="5346" spans="2:4" ht="16" thickBot="1" x14ac:dyDescent="0.25">
      <c r="B5346" s="4">
        <v>5341</v>
      </c>
      <c r="C5346" s="4">
        <v>237.80878608617419</v>
      </c>
      <c r="D5346" s="45"/>
    </row>
    <row r="5347" spans="2:4" ht="16" thickBot="1" x14ac:dyDescent="0.25">
      <c r="B5347" s="5">
        <v>5342</v>
      </c>
      <c r="C5347" s="5">
        <v>99.18597590398781</v>
      </c>
      <c r="D5347" s="45"/>
    </row>
    <row r="5348" spans="2:4" ht="16" thickBot="1" x14ac:dyDescent="0.25">
      <c r="B5348" s="4">
        <v>5343</v>
      </c>
      <c r="C5348" s="4">
        <v>121.67524439081582</v>
      </c>
      <c r="D5348" s="45"/>
    </row>
    <row r="5349" spans="2:4" ht="16" thickBot="1" x14ac:dyDescent="0.25">
      <c r="B5349" s="5">
        <v>5344</v>
      </c>
      <c r="C5349" s="5">
        <v>152.12988844114793</v>
      </c>
      <c r="D5349" s="45"/>
    </row>
    <row r="5350" spans="2:4" ht="16" thickBot="1" x14ac:dyDescent="0.25">
      <c r="B5350" s="4">
        <v>5345</v>
      </c>
      <c r="C5350" s="4">
        <v>117.03023429783013</v>
      </c>
      <c r="D5350" s="45"/>
    </row>
    <row r="5351" spans="2:4" ht="16" thickBot="1" x14ac:dyDescent="0.25">
      <c r="B5351" s="5">
        <v>5346</v>
      </c>
      <c r="C5351" s="5">
        <v>202.22558629996095</v>
      </c>
      <c r="D5351" s="45"/>
    </row>
    <row r="5352" spans="2:4" ht="16" thickBot="1" x14ac:dyDescent="0.25">
      <c r="B5352" s="4">
        <v>5347</v>
      </c>
      <c r="C5352" s="4">
        <v>320.32567893654573</v>
      </c>
      <c r="D5352" s="45"/>
    </row>
    <row r="5353" spans="2:4" ht="16" thickBot="1" x14ac:dyDescent="0.25">
      <c r="B5353" s="5">
        <v>5348</v>
      </c>
      <c r="C5353" s="5">
        <v>284.98209470801407</v>
      </c>
      <c r="D5353" s="45"/>
    </row>
    <row r="5354" spans="2:4" ht="16" thickBot="1" x14ac:dyDescent="0.25">
      <c r="B5354" s="4">
        <v>5349</v>
      </c>
      <c r="C5354" s="4">
        <v>326.83325425162184</v>
      </c>
      <c r="D5354" s="45"/>
    </row>
    <row r="5355" spans="2:4" ht="16" thickBot="1" x14ac:dyDescent="0.25">
      <c r="B5355" s="5">
        <v>5350</v>
      </c>
      <c r="C5355" s="5">
        <v>87.879570382023331</v>
      </c>
      <c r="D5355" s="45"/>
    </row>
    <row r="5356" spans="2:4" ht="16" thickBot="1" x14ac:dyDescent="0.25">
      <c r="B5356" s="4">
        <v>5351</v>
      </c>
      <c r="C5356" s="4">
        <v>86.93991096934333</v>
      </c>
      <c r="D5356" s="45"/>
    </row>
    <row r="5357" spans="2:4" ht="16" thickBot="1" x14ac:dyDescent="0.25">
      <c r="B5357" s="5">
        <v>5352</v>
      </c>
      <c r="C5357" s="5">
        <v>335.79029395436737</v>
      </c>
      <c r="D5357" s="45"/>
    </row>
    <row r="5358" spans="2:4" ht="16" thickBot="1" x14ac:dyDescent="0.25">
      <c r="B5358" s="4">
        <v>5353</v>
      </c>
      <c r="C5358" s="4">
        <v>98.518131170914231</v>
      </c>
      <c r="D5358" s="45"/>
    </row>
    <row r="5359" spans="2:4" ht="16" thickBot="1" x14ac:dyDescent="0.25">
      <c r="B5359" s="5">
        <v>5354</v>
      </c>
      <c r="C5359" s="5">
        <v>101.80579426594304</v>
      </c>
      <c r="D5359" s="45"/>
    </row>
    <row r="5360" spans="2:4" ht="16" thickBot="1" x14ac:dyDescent="0.25">
      <c r="B5360" s="4">
        <v>5355</v>
      </c>
      <c r="C5360" s="4">
        <v>154.90013976447872</v>
      </c>
      <c r="D5360" s="45"/>
    </row>
    <row r="5361" spans="2:4" ht="16" thickBot="1" x14ac:dyDescent="0.25">
      <c r="B5361" s="5">
        <v>5356</v>
      </c>
      <c r="C5361" s="5">
        <v>192.2831929708789</v>
      </c>
      <c r="D5361" s="45"/>
    </row>
    <row r="5362" spans="2:4" ht="16" thickBot="1" x14ac:dyDescent="0.25">
      <c r="B5362" s="4">
        <v>5357</v>
      </c>
      <c r="C5362" s="4">
        <v>320.29227607290068</v>
      </c>
      <c r="D5362" s="45"/>
    </row>
    <row r="5363" spans="2:4" ht="16" thickBot="1" x14ac:dyDescent="0.25">
      <c r="B5363" s="5">
        <v>5358</v>
      </c>
      <c r="C5363" s="5">
        <v>130.28646264550986</v>
      </c>
      <c r="D5363" s="45"/>
    </row>
    <row r="5364" spans="2:4" ht="16" thickBot="1" x14ac:dyDescent="0.25">
      <c r="B5364" s="4">
        <v>5359</v>
      </c>
      <c r="C5364" s="4">
        <v>149.05559721839862</v>
      </c>
      <c r="D5364" s="45"/>
    </row>
    <row r="5365" spans="2:4" ht="16" thickBot="1" x14ac:dyDescent="0.25">
      <c r="B5365" s="5">
        <v>5360</v>
      </c>
      <c r="C5365" s="5">
        <v>113.43415012113459</v>
      </c>
      <c r="D5365" s="45"/>
    </row>
    <row r="5366" spans="2:4" ht="16" thickBot="1" x14ac:dyDescent="0.25">
      <c r="B5366" s="4">
        <v>5361</v>
      </c>
      <c r="C5366" s="4">
        <v>75.050834196811579</v>
      </c>
      <c r="D5366" s="45"/>
    </row>
    <row r="5367" spans="2:4" ht="16" thickBot="1" x14ac:dyDescent="0.25">
      <c r="B5367" s="5">
        <v>5362</v>
      </c>
      <c r="C5367" s="5">
        <v>150.62478826669141</v>
      </c>
      <c r="D5367" s="45"/>
    </row>
    <row r="5368" spans="2:4" ht="16" thickBot="1" x14ac:dyDescent="0.25">
      <c r="B5368" s="4">
        <v>5363</v>
      </c>
      <c r="C5368" s="4">
        <v>145.83987377324956</v>
      </c>
      <c r="D5368" s="45"/>
    </row>
    <row r="5369" spans="2:4" ht="16" thickBot="1" x14ac:dyDescent="0.25">
      <c r="B5369" s="5">
        <v>5364</v>
      </c>
      <c r="C5369" s="5">
        <v>247.87418171490316</v>
      </c>
      <c r="D5369" s="45"/>
    </row>
    <row r="5370" spans="2:4" ht="16" thickBot="1" x14ac:dyDescent="0.25">
      <c r="B5370" s="4">
        <v>5365</v>
      </c>
      <c r="C5370" s="4">
        <v>265.2618217327439</v>
      </c>
      <c r="D5370" s="45"/>
    </row>
    <row r="5371" spans="2:4" ht="16" thickBot="1" x14ac:dyDescent="0.25">
      <c r="B5371" s="5">
        <v>5366</v>
      </c>
      <c r="C5371" s="5">
        <v>92.283396143411977</v>
      </c>
      <c r="D5371" s="45"/>
    </row>
    <row r="5372" spans="2:4" ht="16" thickBot="1" x14ac:dyDescent="0.25">
      <c r="B5372" s="4">
        <v>5367</v>
      </c>
      <c r="C5372" s="4">
        <v>127.0283786734463</v>
      </c>
      <c r="D5372" s="45"/>
    </row>
    <row r="5373" spans="2:4" ht="16" thickBot="1" x14ac:dyDescent="0.25">
      <c r="B5373" s="5">
        <v>5368</v>
      </c>
      <c r="C5373" s="5">
        <v>47.431692081753702</v>
      </c>
      <c r="D5373" s="45"/>
    </row>
    <row r="5374" spans="2:4" ht="16" thickBot="1" x14ac:dyDescent="0.25">
      <c r="B5374" s="4">
        <v>5369</v>
      </c>
      <c r="C5374" s="4">
        <v>318.76221954398386</v>
      </c>
      <c r="D5374" s="45"/>
    </row>
    <row r="5375" spans="2:4" ht="16" thickBot="1" x14ac:dyDescent="0.25">
      <c r="B5375" s="5">
        <v>5370</v>
      </c>
      <c r="C5375" s="5">
        <v>211.39919510289747</v>
      </c>
      <c r="D5375" s="45"/>
    </row>
    <row r="5376" spans="2:4" ht="16" thickBot="1" x14ac:dyDescent="0.25">
      <c r="B5376" s="4">
        <v>5371</v>
      </c>
      <c r="C5376" s="4">
        <v>240.53239205241397</v>
      </c>
      <c r="D5376" s="45"/>
    </row>
    <row r="5377" spans="2:4" ht="16" thickBot="1" x14ac:dyDescent="0.25">
      <c r="B5377" s="5">
        <v>5372</v>
      </c>
      <c r="C5377" s="5">
        <v>48.749982557937436</v>
      </c>
      <c r="D5377" s="45"/>
    </row>
    <row r="5378" spans="2:4" ht="16" thickBot="1" x14ac:dyDescent="0.25">
      <c r="B5378" s="4">
        <v>5373</v>
      </c>
      <c r="C5378" s="4">
        <v>150.89936665443386</v>
      </c>
      <c r="D5378" s="45"/>
    </row>
    <row r="5379" spans="2:4" ht="16" thickBot="1" x14ac:dyDescent="0.25">
      <c r="B5379" s="5">
        <v>5374</v>
      </c>
      <c r="C5379" s="5">
        <v>92.492357564440837</v>
      </c>
      <c r="D5379" s="45"/>
    </row>
    <row r="5380" spans="2:4" ht="16" thickBot="1" x14ac:dyDescent="0.25">
      <c r="B5380" s="4">
        <v>5375</v>
      </c>
      <c r="C5380" s="4">
        <v>147.42393149968433</v>
      </c>
      <c r="D5380" s="45"/>
    </row>
    <row r="5381" spans="2:4" ht="16" thickBot="1" x14ac:dyDescent="0.25">
      <c r="B5381" s="5">
        <v>5376</v>
      </c>
      <c r="C5381" s="5">
        <v>142.83039991120222</v>
      </c>
      <c r="D5381" s="45"/>
    </row>
    <row r="5382" spans="2:4" ht="16" thickBot="1" x14ac:dyDescent="0.25">
      <c r="B5382" s="4">
        <v>5377</v>
      </c>
      <c r="C5382" s="4">
        <v>211.96591464004209</v>
      </c>
      <c r="D5382" s="45"/>
    </row>
    <row r="5383" spans="2:4" ht="16" thickBot="1" x14ac:dyDescent="0.25">
      <c r="B5383" s="5">
        <v>5378</v>
      </c>
      <c r="C5383" s="5">
        <v>230.26334122355917</v>
      </c>
      <c r="D5383" s="45"/>
    </row>
    <row r="5384" spans="2:4" ht="16" thickBot="1" x14ac:dyDescent="0.25">
      <c r="B5384" s="4">
        <v>5379</v>
      </c>
      <c r="C5384" s="4">
        <v>102.3506000803458</v>
      </c>
      <c r="D5384" s="45"/>
    </row>
    <row r="5385" spans="2:4" ht="16" thickBot="1" x14ac:dyDescent="0.25">
      <c r="B5385" s="5">
        <v>5380</v>
      </c>
      <c r="C5385" s="5">
        <v>63.406808135939031</v>
      </c>
      <c r="D5385" s="45"/>
    </row>
    <row r="5386" spans="2:4" ht="16" thickBot="1" x14ac:dyDescent="0.25">
      <c r="B5386" s="4">
        <v>5381</v>
      </c>
      <c r="C5386" s="4">
        <v>81.473426739446339</v>
      </c>
      <c r="D5386" s="45"/>
    </row>
    <row r="5387" spans="2:4" ht="16" thickBot="1" x14ac:dyDescent="0.25">
      <c r="B5387" s="5">
        <v>5382</v>
      </c>
      <c r="C5387" s="5">
        <v>92.19276691927206</v>
      </c>
      <c r="D5387" s="45"/>
    </row>
    <row r="5388" spans="2:4" ht="16" thickBot="1" x14ac:dyDescent="0.25">
      <c r="B5388" s="4">
        <v>5383</v>
      </c>
      <c r="C5388" s="4">
        <v>205.88512480871569</v>
      </c>
      <c r="D5388" s="45"/>
    </row>
    <row r="5389" spans="2:4" ht="16" thickBot="1" x14ac:dyDescent="0.25">
      <c r="B5389" s="5">
        <v>5384</v>
      </c>
      <c r="C5389" s="5">
        <v>45.14654696747666</v>
      </c>
      <c r="D5389" s="45"/>
    </row>
    <row r="5390" spans="2:4" ht="16" thickBot="1" x14ac:dyDescent="0.25">
      <c r="B5390" s="4">
        <v>5385</v>
      </c>
      <c r="C5390" s="4">
        <v>91.230064634550743</v>
      </c>
      <c r="D5390" s="45"/>
    </row>
    <row r="5391" spans="2:4" ht="16" thickBot="1" x14ac:dyDescent="0.25">
      <c r="B5391" s="5">
        <v>5386</v>
      </c>
      <c r="C5391" s="5">
        <v>82.430024168325815</v>
      </c>
      <c r="D5391" s="45"/>
    </row>
    <row r="5392" spans="2:4" ht="16" thickBot="1" x14ac:dyDescent="0.25">
      <c r="B5392" s="4">
        <v>5387</v>
      </c>
      <c r="C5392" s="4">
        <v>144.03742429268934</v>
      </c>
      <c r="D5392" s="45"/>
    </row>
    <row r="5393" spans="2:4" ht="16" thickBot="1" x14ac:dyDescent="0.25">
      <c r="B5393" s="5">
        <v>5388</v>
      </c>
      <c r="C5393" s="5">
        <v>267.28926713627294</v>
      </c>
      <c r="D5393" s="45"/>
    </row>
    <row r="5394" spans="2:4" ht="16" thickBot="1" x14ac:dyDescent="0.25">
      <c r="B5394" s="4">
        <v>5389</v>
      </c>
      <c r="C5394" s="4">
        <v>222.62903528301916</v>
      </c>
      <c r="D5394" s="45"/>
    </row>
    <row r="5395" spans="2:4" ht="16" thickBot="1" x14ac:dyDescent="0.25">
      <c r="B5395" s="5">
        <v>5390</v>
      </c>
      <c r="C5395" s="5">
        <v>41.830886193378404</v>
      </c>
      <c r="D5395" s="45"/>
    </row>
    <row r="5396" spans="2:4" ht="16" thickBot="1" x14ac:dyDescent="0.25">
      <c r="B5396" s="4">
        <v>5391</v>
      </c>
      <c r="C5396" s="4">
        <v>134.33616925516</v>
      </c>
      <c r="D5396" s="45"/>
    </row>
    <row r="5397" spans="2:4" ht="16" thickBot="1" x14ac:dyDescent="0.25">
      <c r="B5397" s="5">
        <v>5392</v>
      </c>
      <c r="C5397" s="5">
        <v>161.42943922110311</v>
      </c>
      <c r="D5397" s="45"/>
    </row>
    <row r="5398" spans="2:4" ht="16" thickBot="1" x14ac:dyDescent="0.25">
      <c r="B5398" s="4">
        <v>5393</v>
      </c>
      <c r="C5398" s="4">
        <v>244.23848464164652</v>
      </c>
      <c r="D5398" s="45"/>
    </row>
    <row r="5399" spans="2:4" ht="16" thickBot="1" x14ac:dyDescent="0.25">
      <c r="B5399" s="5">
        <v>5394</v>
      </c>
      <c r="C5399" s="5">
        <v>134.6206991220821</v>
      </c>
      <c r="D5399" s="45"/>
    </row>
    <row r="5400" spans="2:4" ht="16" thickBot="1" x14ac:dyDescent="0.25">
      <c r="B5400" s="4">
        <v>5395</v>
      </c>
      <c r="C5400" s="4">
        <v>162.20352965574105</v>
      </c>
      <c r="D5400" s="45"/>
    </row>
    <row r="5401" spans="2:4" ht="16" thickBot="1" x14ac:dyDescent="0.25">
      <c r="B5401" s="5">
        <v>5396</v>
      </c>
      <c r="C5401" s="5">
        <v>165.13898790724446</v>
      </c>
      <c r="D5401" s="45"/>
    </row>
    <row r="5402" spans="2:4" ht="16" thickBot="1" x14ac:dyDescent="0.25">
      <c r="B5402" s="4">
        <v>5397</v>
      </c>
      <c r="C5402" s="4">
        <v>101.4454156312224</v>
      </c>
      <c r="D5402" s="45"/>
    </row>
    <row r="5403" spans="2:4" ht="16" thickBot="1" x14ac:dyDescent="0.25">
      <c r="B5403" s="5">
        <v>5398</v>
      </c>
      <c r="C5403" s="5">
        <v>123.73720362849075</v>
      </c>
      <c r="D5403" s="45"/>
    </row>
    <row r="5404" spans="2:4" ht="16" thickBot="1" x14ac:dyDescent="0.25">
      <c r="B5404" s="4">
        <v>5399</v>
      </c>
      <c r="C5404" s="4">
        <v>111.61391164301402</v>
      </c>
      <c r="D5404" s="45"/>
    </row>
    <row r="5405" spans="2:4" ht="16" thickBot="1" x14ac:dyDescent="0.25">
      <c r="B5405" s="5">
        <v>5400</v>
      </c>
      <c r="C5405" s="5">
        <v>147.53088826505007</v>
      </c>
      <c r="D5405" s="45"/>
    </row>
    <row r="5406" spans="2:4" ht="16" thickBot="1" x14ac:dyDescent="0.25">
      <c r="B5406" s="4">
        <v>5401</v>
      </c>
      <c r="C5406" s="4">
        <v>122.60349223727356</v>
      </c>
      <c r="D5406" s="45"/>
    </row>
    <row r="5407" spans="2:4" ht="16" thickBot="1" x14ac:dyDescent="0.25">
      <c r="B5407" s="5">
        <v>5402</v>
      </c>
      <c r="C5407" s="5">
        <v>232.47260686892295</v>
      </c>
      <c r="D5407" s="45"/>
    </row>
    <row r="5408" spans="2:4" ht="16" thickBot="1" x14ac:dyDescent="0.25">
      <c r="B5408" s="4">
        <v>5403</v>
      </c>
      <c r="C5408" s="4">
        <v>186.87602675396147</v>
      </c>
      <c r="D5408" s="45"/>
    </row>
    <row r="5409" spans="2:4" ht="16" thickBot="1" x14ac:dyDescent="0.25">
      <c r="B5409" s="5">
        <v>5404</v>
      </c>
      <c r="C5409" s="5">
        <v>70.728085260532168</v>
      </c>
      <c r="D5409" s="45"/>
    </row>
    <row r="5410" spans="2:4" ht="16" thickBot="1" x14ac:dyDescent="0.25">
      <c r="B5410" s="4">
        <v>5405</v>
      </c>
      <c r="C5410" s="4">
        <v>153.32895814381675</v>
      </c>
      <c r="D5410" s="45"/>
    </row>
    <row r="5411" spans="2:4" ht="16" thickBot="1" x14ac:dyDescent="0.25">
      <c r="B5411" s="5">
        <v>5406</v>
      </c>
      <c r="C5411" s="5">
        <v>171.91650426686149</v>
      </c>
      <c r="D5411" s="45"/>
    </row>
    <row r="5412" spans="2:4" ht="16" thickBot="1" x14ac:dyDescent="0.25">
      <c r="B5412" s="4">
        <v>5407</v>
      </c>
      <c r="C5412" s="4">
        <v>120.21065498368465</v>
      </c>
      <c r="D5412" s="45"/>
    </row>
    <row r="5413" spans="2:4" ht="16" thickBot="1" x14ac:dyDescent="0.25">
      <c r="B5413" s="5">
        <v>5408</v>
      </c>
      <c r="C5413" s="5">
        <v>191.38912198280545</v>
      </c>
      <c r="D5413" s="45"/>
    </row>
    <row r="5414" spans="2:4" ht="16" thickBot="1" x14ac:dyDescent="0.25">
      <c r="B5414" s="4">
        <v>5409</v>
      </c>
      <c r="C5414" s="4">
        <v>103.98068535988527</v>
      </c>
      <c r="D5414" s="45"/>
    </row>
    <row r="5415" spans="2:4" ht="16" thickBot="1" x14ac:dyDescent="0.25">
      <c r="B5415" s="5">
        <v>5410</v>
      </c>
      <c r="C5415" s="5">
        <v>178.85315757179259</v>
      </c>
      <c r="D5415" s="45"/>
    </row>
    <row r="5416" spans="2:4" ht="16" thickBot="1" x14ac:dyDescent="0.25">
      <c r="B5416" s="4">
        <v>5411</v>
      </c>
      <c r="C5416" s="4">
        <v>308.54254089011937</v>
      </c>
      <c r="D5416" s="45"/>
    </row>
    <row r="5417" spans="2:4" ht="16" thickBot="1" x14ac:dyDescent="0.25">
      <c r="B5417" s="5">
        <v>5412</v>
      </c>
      <c r="C5417" s="5">
        <v>189.62156613570323</v>
      </c>
      <c r="D5417" s="45"/>
    </row>
    <row r="5418" spans="2:4" ht="16" thickBot="1" x14ac:dyDescent="0.25">
      <c r="B5418" s="4">
        <v>5413</v>
      </c>
      <c r="C5418" s="4">
        <v>215.14550908930366</v>
      </c>
      <c r="D5418" s="45"/>
    </row>
    <row r="5419" spans="2:4" ht="16" thickBot="1" x14ac:dyDescent="0.25">
      <c r="B5419" s="5">
        <v>5414</v>
      </c>
      <c r="C5419" s="5">
        <v>109.39663338782726</v>
      </c>
      <c r="D5419" s="45"/>
    </row>
    <row r="5420" spans="2:4" ht="16" thickBot="1" x14ac:dyDescent="0.25">
      <c r="B5420" s="4">
        <v>5415</v>
      </c>
      <c r="C5420" s="4">
        <v>109.04594864261466</v>
      </c>
      <c r="D5420" s="45"/>
    </row>
    <row r="5421" spans="2:4" ht="16" thickBot="1" x14ac:dyDescent="0.25">
      <c r="B5421" s="5">
        <v>5416</v>
      </c>
      <c r="C5421" s="5">
        <v>202.75484066292339</v>
      </c>
      <c r="D5421" s="45"/>
    </row>
    <row r="5422" spans="2:4" ht="16" thickBot="1" x14ac:dyDescent="0.25">
      <c r="B5422" s="4">
        <v>5417</v>
      </c>
      <c r="C5422" s="4">
        <v>133.36696688936243</v>
      </c>
      <c r="D5422" s="45"/>
    </row>
    <row r="5423" spans="2:4" ht="16" thickBot="1" x14ac:dyDescent="0.25">
      <c r="B5423" s="5">
        <v>5418</v>
      </c>
      <c r="C5423" s="5">
        <v>99.064946134437349</v>
      </c>
      <c r="D5423" s="45"/>
    </row>
    <row r="5424" spans="2:4" ht="16" thickBot="1" x14ac:dyDescent="0.25">
      <c r="B5424" s="4">
        <v>5419</v>
      </c>
      <c r="C5424" s="4">
        <v>92.662422825408072</v>
      </c>
      <c r="D5424" s="45"/>
    </row>
    <row r="5425" spans="2:4" ht="16" thickBot="1" x14ac:dyDescent="0.25">
      <c r="B5425" s="5">
        <v>5420</v>
      </c>
      <c r="C5425" s="5">
        <v>265.37471210568509</v>
      </c>
      <c r="D5425" s="45"/>
    </row>
    <row r="5426" spans="2:4" ht="16" thickBot="1" x14ac:dyDescent="0.25">
      <c r="B5426" s="4">
        <v>5421</v>
      </c>
      <c r="C5426" s="4">
        <v>181.11290825882418</v>
      </c>
      <c r="D5426" s="45"/>
    </row>
    <row r="5427" spans="2:4" ht="16" thickBot="1" x14ac:dyDescent="0.25">
      <c r="B5427" s="5">
        <v>5422</v>
      </c>
      <c r="C5427" s="5">
        <v>148.11677645454492</v>
      </c>
      <c r="D5427" s="45"/>
    </row>
    <row r="5428" spans="2:4" ht="16" thickBot="1" x14ac:dyDescent="0.25">
      <c r="B5428" s="4">
        <v>5423</v>
      </c>
      <c r="C5428" s="4">
        <v>48.121747438933788</v>
      </c>
      <c r="D5428" s="45"/>
    </row>
    <row r="5429" spans="2:4" ht="16" thickBot="1" x14ac:dyDescent="0.25">
      <c r="B5429" s="5">
        <v>5424</v>
      </c>
      <c r="C5429" s="5">
        <v>140.38286600869645</v>
      </c>
      <c r="D5429" s="45"/>
    </row>
    <row r="5430" spans="2:4" ht="16" thickBot="1" x14ac:dyDescent="0.25">
      <c r="B5430" s="4">
        <v>5425</v>
      </c>
      <c r="C5430" s="4">
        <v>213.21517509620639</v>
      </c>
      <c r="D5430" s="45"/>
    </row>
    <row r="5431" spans="2:4" ht="16" thickBot="1" x14ac:dyDescent="0.25">
      <c r="B5431" s="5">
        <v>5426</v>
      </c>
      <c r="C5431" s="5">
        <v>85.672404460973297</v>
      </c>
      <c r="D5431" s="45"/>
    </row>
    <row r="5432" spans="2:4" ht="16" thickBot="1" x14ac:dyDescent="0.25">
      <c r="B5432" s="4">
        <v>5427</v>
      </c>
      <c r="C5432" s="4">
        <v>186.29648737330186</v>
      </c>
      <c r="D5432" s="45"/>
    </row>
    <row r="5433" spans="2:4" ht="16" thickBot="1" x14ac:dyDescent="0.25">
      <c r="B5433" s="5">
        <v>5428</v>
      </c>
      <c r="C5433" s="5">
        <v>215.89506261071895</v>
      </c>
      <c r="D5433" s="45"/>
    </row>
    <row r="5434" spans="2:4" ht="16" thickBot="1" x14ac:dyDescent="0.25">
      <c r="B5434" s="4">
        <v>5429</v>
      </c>
      <c r="C5434" s="4">
        <v>95.707382127419692</v>
      </c>
      <c r="D5434" s="45"/>
    </row>
    <row r="5435" spans="2:4" ht="16" thickBot="1" x14ac:dyDescent="0.25">
      <c r="B5435" s="5">
        <v>5430</v>
      </c>
      <c r="C5435" s="5">
        <v>160.82819651173713</v>
      </c>
      <c r="D5435" s="45"/>
    </row>
    <row r="5436" spans="2:4" ht="16" thickBot="1" x14ac:dyDescent="0.25">
      <c r="B5436" s="4">
        <v>5431</v>
      </c>
      <c r="C5436" s="4">
        <v>112.20532884290127</v>
      </c>
      <c r="D5436" s="45"/>
    </row>
    <row r="5437" spans="2:4" ht="16" thickBot="1" x14ac:dyDescent="0.25">
      <c r="B5437" s="5">
        <v>5432</v>
      </c>
      <c r="C5437" s="5">
        <v>299.00496477613831</v>
      </c>
      <c r="D5437" s="45"/>
    </row>
    <row r="5438" spans="2:4" ht="16" thickBot="1" x14ac:dyDescent="0.25">
      <c r="B5438" s="4">
        <v>5433</v>
      </c>
      <c r="C5438" s="4">
        <v>156.96658484983743</v>
      </c>
      <c r="D5438" s="45"/>
    </row>
    <row r="5439" spans="2:4" ht="16" thickBot="1" x14ac:dyDescent="0.25">
      <c r="B5439" s="5">
        <v>5434</v>
      </c>
      <c r="C5439" s="5">
        <v>214.73470593409579</v>
      </c>
      <c r="D5439" s="45"/>
    </row>
    <row r="5440" spans="2:4" ht="16" thickBot="1" x14ac:dyDescent="0.25">
      <c r="B5440" s="4">
        <v>5435</v>
      </c>
      <c r="C5440" s="4">
        <v>241.76947490677722</v>
      </c>
      <c r="D5440" s="45"/>
    </row>
    <row r="5441" spans="2:4" ht="16" thickBot="1" x14ac:dyDescent="0.25">
      <c r="B5441" s="5">
        <v>5436</v>
      </c>
      <c r="C5441" s="5">
        <v>107.96640798320297</v>
      </c>
      <c r="D5441" s="45"/>
    </row>
    <row r="5442" spans="2:4" ht="16" thickBot="1" x14ac:dyDescent="0.25">
      <c r="B5442" s="4">
        <v>5437</v>
      </c>
      <c r="C5442" s="4">
        <v>149.63256550884256</v>
      </c>
      <c r="D5442" s="45"/>
    </row>
    <row r="5443" spans="2:4" ht="16" thickBot="1" x14ac:dyDescent="0.25">
      <c r="B5443" s="5">
        <v>5438</v>
      </c>
      <c r="C5443" s="5">
        <v>196.41475998419696</v>
      </c>
      <c r="D5443" s="45"/>
    </row>
    <row r="5444" spans="2:4" ht="16" thickBot="1" x14ac:dyDescent="0.25">
      <c r="B5444" s="4">
        <v>5439</v>
      </c>
      <c r="C5444" s="4">
        <v>215.1510568323101</v>
      </c>
      <c r="D5444" s="45"/>
    </row>
    <row r="5445" spans="2:4" ht="16" thickBot="1" x14ac:dyDescent="0.25">
      <c r="B5445" s="5">
        <v>5440</v>
      </c>
      <c r="C5445" s="5">
        <v>269.51086732496697</v>
      </c>
      <c r="D5445" s="45"/>
    </row>
    <row r="5446" spans="2:4" ht="16" thickBot="1" x14ac:dyDescent="0.25">
      <c r="B5446" s="4">
        <v>5441</v>
      </c>
      <c r="C5446" s="4">
        <v>160.69501091311571</v>
      </c>
      <c r="D5446" s="45"/>
    </row>
    <row r="5447" spans="2:4" ht="16" thickBot="1" x14ac:dyDescent="0.25">
      <c r="B5447" s="5">
        <v>5442</v>
      </c>
      <c r="C5447" s="5">
        <v>168.28584216868708</v>
      </c>
      <c r="D5447" s="45"/>
    </row>
    <row r="5448" spans="2:4" ht="16" thickBot="1" x14ac:dyDescent="0.25">
      <c r="B5448" s="4">
        <v>5443</v>
      </c>
      <c r="C5448" s="4">
        <v>113.99067677645043</v>
      </c>
      <c r="D5448" s="45"/>
    </row>
    <row r="5449" spans="2:4" ht="16" thickBot="1" x14ac:dyDescent="0.25">
      <c r="B5449" s="5">
        <v>5444</v>
      </c>
      <c r="C5449" s="5">
        <v>105.54914708170044</v>
      </c>
      <c r="D5449" s="45"/>
    </row>
    <row r="5450" spans="2:4" ht="16" thickBot="1" x14ac:dyDescent="0.25">
      <c r="B5450" s="4">
        <v>5445</v>
      </c>
      <c r="C5450" s="4">
        <v>95.576225818106835</v>
      </c>
      <c r="D5450" s="45"/>
    </row>
    <row r="5451" spans="2:4" ht="16" thickBot="1" x14ac:dyDescent="0.25">
      <c r="B5451" s="5">
        <v>5446</v>
      </c>
      <c r="C5451" s="5">
        <v>141.08912551293892</v>
      </c>
      <c r="D5451" s="45"/>
    </row>
    <row r="5452" spans="2:4" ht="16" thickBot="1" x14ac:dyDescent="0.25">
      <c r="B5452" s="4">
        <v>5447</v>
      </c>
      <c r="C5452" s="4">
        <v>94.19463902234564</v>
      </c>
      <c r="D5452" s="45"/>
    </row>
    <row r="5453" spans="2:4" ht="16" thickBot="1" x14ac:dyDescent="0.25">
      <c r="B5453" s="5">
        <v>5448</v>
      </c>
      <c r="C5453" s="5">
        <v>344.38479162236297</v>
      </c>
      <c r="D5453" s="45"/>
    </row>
    <row r="5454" spans="2:4" ht="16" thickBot="1" x14ac:dyDescent="0.25">
      <c r="B5454" s="4">
        <v>5449</v>
      </c>
      <c r="C5454" s="4">
        <v>95.498866717555657</v>
      </c>
      <c r="D5454" s="45"/>
    </row>
    <row r="5455" spans="2:4" ht="16" thickBot="1" x14ac:dyDescent="0.25">
      <c r="B5455" s="5">
        <v>5450</v>
      </c>
      <c r="C5455" s="5">
        <v>458.38081905520357</v>
      </c>
      <c r="D5455" s="45"/>
    </row>
    <row r="5456" spans="2:4" ht="16" thickBot="1" x14ac:dyDescent="0.25">
      <c r="B5456" s="4">
        <v>5451</v>
      </c>
      <c r="C5456" s="4">
        <v>192.41102538806587</v>
      </c>
      <c r="D5456" s="45"/>
    </row>
    <row r="5457" spans="2:4" ht="16" thickBot="1" x14ac:dyDescent="0.25">
      <c r="B5457" s="5">
        <v>5452</v>
      </c>
      <c r="C5457" s="5">
        <v>175.22877880093176</v>
      </c>
      <c r="D5457" s="45"/>
    </row>
    <row r="5458" spans="2:4" ht="16" thickBot="1" x14ac:dyDescent="0.25">
      <c r="B5458" s="4">
        <v>5453</v>
      </c>
      <c r="C5458" s="4">
        <v>79.128706479916048</v>
      </c>
      <c r="D5458" s="45"/>
    </row>
    <row r="5459" spans="2:4" ht="16" thickBot="1" x14ac:dyDescent="0.25">
      <c r="B5459" s="5">
        <v>5454</v>
      </c>
      <c r="C5459" s="5">
        <v>204.85326019634454</v>
      </c>
      <c r="D5459" s="45"/>
    </row>
    <row r="5460" spans="2:4" ht="16" thickBot="1" x14ac:dyDescent="0.25">
      <c r="B5460" s="4">
        <v>5455</v>
      </c>
      <c r="C5460" s="4">
        <v>341.15654370215702</v>
      </c>
      <c r="D5460" s="45"/>
    </row>
    <row r="5461" spans="2:4" ht="16" thickBot="1" x14ac:dyDescent="0.25">
      <c r="B5461" s="5">
        <v>5456</v>
      </c>
      <c r="C5461" s="5">
        <v>221.40461943607633</v>
      </c>
      <c r="D5461" s="45"/>
    </row>
    <row r="5462" spans="2:4" ht="16" thickBot="1" x14ac:dyDescent="0.25">
      <c r="B5462" s="4">
        <v>5457</v>
      </c>
      <c r="C5462" s="4">
        <v>115.81602592081515</v>
      </c>
      <c r="D5462" s="45"/>
    </row>
    <row r="5463" spans="2:4" ht="16" thickBot="1" x14ac:dyDescent="0.25">
      <c r="B5463" s="5">
        <v>5458</v>
      </c>
      <c r="C5463" s="5">
        <v>225.62549323093444</v>
      </c>
      <c r="D5463" s="45"/>
    </row>
    <row r="5464" spans="2:4" ht="16" thickBot="1" x14ac:dyDescent="0.25">
      <c r="B5464" s="4">
        <v>5459</v>
      </c>
      <c r="C5464" s="4">
        <v>180.11064102053413</v>
      </c>
      <c r="D5464" s="45"/>
    </row>
    <row r="5465" spans="2:4" ht="16" thickBot="1" x14ac:dyDescent="0.25">
      <c r="B5465" s="5">
        <v>5460</v>
      </c>
      <c r="C5465" s="5">
        <v>29.365789744455064</v>
      </c>
      <c r="D5465" s="45"/>
    </row>
    <row r="5466" spans="2:4" ht="16" thickBot="1" x14ac:dyDescent="0.25">
      <c r="B5466" s="4">
        <v>5461</v>
      </c>
      <c r="C5466" s="4">
        <v>149.90040071116124</v>
      </c>
      <c r="D5466" s="45"/>
    </row>
    <row r="5467" spans="2:4" ht="16" thickBot="1" x14ac:dyDescent="0.25">
      <c r="B5467" s="5">
        <v>5462</v>
      </c>
      <c r="C5467" s="5">
        <v>182.51061319072943</v>
      </c>
      <c r="D5467" s="45"/>
    </row>
    <row r="5468" spans="2:4" ht="16" thickBot="1" x14ac:dyDescent="0.25">
      <c r="B5468" s="4">
        <v>5463</v>
      </c>
      <c r="C5468" s="4">
        <v>79.470285557835055</v>
      </c>
      <c r="D5468" s="45"/>
    </row>
    <row r="5469" spans="2:4" ht="16" thickBot="1" x14ac:dyDescent="0.25">
      <c r="B5469" s="5">
        <v>5464</v>
      </c>
      <c r="C5469" s="5">
        <v>130.09711094274414</v>
      </c>
      <c r="D5469" s="45"/>
    </row>
    <row r="5470" spans="2:4" ht="16" thickBot="1" x14ac:dyDescent="0.25">
      <c r="B5470" s="4">
        <v>5465</v>
      </c>
      <c r="C5470" s="4">
        <v>142.46949232610535</v>
      </c>
      <c r="D5470" s="45"/>
    </row>
    <row r="5471" spans="2:4" ht="16" thickBot="1" x14ac:dyDescent="0.25">
      <c r="B5471" s="5">
        <v>5466</v>
      </c>
      <c r="C5471" s="5">
        <v>222.33855259477625</v>
      </c>
      <c r="D5471" s="45"/>
    </row>
    <row r="5472" spans="2:4" ht="16" thickBot="1" x14ac:dyDescent="0.25">
      <c r="B5472" s="4">
        <v>5467</v>
      </c>
      <c r="C5472" s="4">
        <v>77.438626810718915</v>
      </c>
      <c r="D5472" s="45"/>
    </row>
    <row r="5473" spans="2:4" ht="16" thickBot="1" x14ac:dyDescent="0.25">
      <c r="B5473" s="5">
        <v>5468</v>
      </c>
      <c r="C5473" s="5">
        <v>142.9483172581597</v>
      </c>
      <c r="D5473" s="45"/>
    </row>
    <row r="5474" spans="2:4" ht="16" thickBot="1" x14ac:dyDescent="0.25">
      <c r="B5474" s="4">
        <v>5469</v>
      </c>
      <c r="C5474" s="4">
        <v>86.167202854398099</v>
      </c>
      <c r="D5474" s="45"/>
    </row>
    <row r="5475" spans="2:4" ht="16" thickBot="1" x14ac:dyDescent="0.25">
      <c r="B5475" s="5">
        <v>5470</v>
      </c>
      <c r="C5475" s="5">
        <v>222.1656673692855</v>
      </c>
      <c r="D5475" s="45"/>
    </row>
    <row r="5476" spans="2:4" ht="16" thickBot="1" x14ac:dyDescent="0.25">
      <c r="B5476" s="4">
        <v>5471</v>
      </c>
      <c r="C5476" s="4">
        <v>81.411015145230607</v>
      </c>
      <c r="D5476" s="45"/>
    </row>
    <row r="5477" spans="2:4" ht="16" thickBot="1" x14ac:dyDescent="0.25">
      <c r="B5477" s="5">
        <v>5472</v>
      </c>
      <c r="C5477" s="5">
        <v>78.248257887803405</v>
      </c>
      <c r="D5477" s="45"/>
    </row>
    <row r="5478" spans="2:4" ht="16" thickBot="1" x14ac:dyDescent="0.25">
      <c r="B5478" s="4">
        <v>5473</v>
      </c>
      <c r="C5478" s="4">
        <v>105.69357271294987</v>
      </c>
      <c r="D5478" s="45"/>
    </row>
    <row r="5479" spans="2:4" ht="16" thickBot="1" x14ac:dyDescent="0.25">
      <c r="B5479" s="5">
        <v>5474</v>
      </c>
      <c r="C5479" s="5">
        <v>337.31888147597243</v>
      </c>
      <c r="D5479" s="45"/>
    </row>
    <row r="5480" spans="2:4" ht="16" thickBot="1" x14ac:dyDescent="0.25">
      <c r="B5480" s="4">
        <v>5475</v>
      </c>
      <c r="C5480" s="4">
        <v>85.798493932815902</v>
      </c>
      <c r="D5480" s="45"/>
    </row>
    <row r="5481" spans="2:4" ht="16" thickBot="1" x14ac:dyDescent="0.25">
      <c r="B5481" s="5">
        <v>5476</v>
      </c>
      <c r="C5481" s="5">
        <v>95.674364331381341</v>
      </c>
      <c r="D5481" s="45"/>
    </row>
    <row r="5482" spans="2:4" ht="16" thickBot="1" x14ac:dyDescent="0.25">
      <c r="B5482" s="4">
        <v>5477</v>
      </c>
      <c r="C5482" s="4">
        <v>126.26281515640669</v>
      </c>
      <c r="D5482" s="45"/>
    </row>
    <row r="5483" spans="2:4" ht="16" thickBot="1" x14ac:dyDescent="0.25">
      <c r="B5483" s="5">
        <v>5478</v>
      </c>
      <c r="C5483" s="5">
        <v>57.317898313406772</v>
      </c>
      <c r="D5483" s="45"/>
    </row>
    <row r="5484" spans="2:4" ht="16" thickBot="1" x14ac:dyDescent="0.25">
      <c r="B5484" s="4">
        <v>5479</v>
      </c>
      <c r="C5484" s="4">
        <v>115.59335050041017</v>
      </c>
      <c r="D5484" s="45"/>
    </row>
    <row r="5485" spans="2:4" ht="16" thickBot="1" x14ac:dyDescent="0.25">
      <c r="B5485" s="5">
        <v>5480</v>
      </c>
      <c r="C5485" s="5">
        <v>82.861064480482653</v>
      </c>
      <c r="D5485" s="45"/>
    </row>
    <row r="5486" spans="2:4" ht="16" thickBot="1" x14ac:dyDescent="0.25">
      <c r="B5486" s="4">
        <v>5481</v>
      </c>
      <c r="C5486" s="4">
        <v>131.17078794179992</v>
      </c>
      <c r="D5486" s="45"/>
    </row>
    <row r="5487" spans="2:4" ht="16" thickBot="1" x14ac:dyDescent="0.25">
      <c r="B5487" s="5">
        <v>5482</v>
      </c>
      <c r="C5487" s="5">
        <v>139.87302091014098</v>
      </c>
      <c r="D5487" s="45"/>
    </row>
    <row r="5488" spans="2:4" ht="16" thickBot="1" x14ac:dyDescent="0.25">
      <c r="B5488" s="4">
        <v>5483</v>
      </c>
      <c r="C5488" s="4">
        <v>104.90162205092044</v>
      </c>
      <c r="D5488" s="45"/>
    </row>
    <row r="5489" spans="2:4" ht="16" thickBot="1" x14ac:dyDescent="0.25">
      <c r="B5489" s="5">
        <v>5484</v>
      </c>
      <c r="C5489" s="5">
        <v>114.31088841416124</v>
      </c>
      <c r="D5489" s="45"/>
    </row>
    <row r="5490" spans="2:4" ht="16" thickBot="1" x14ac:dyDescent="0.25">
      <c r="B5490" s="4">
        <v>5485</v>
      </c>
      <c r="C5490" s="4">
        <v>86.18336219425089</v>
      </c>
      <c r="D5490" s="45"/>
    </row>
    <row r="5491" spans="2:4" ht="16" thickBot="1" x14ac:dyDescent="0.25">
      <c r="B5491" s="5">
        <v>5486</v>
      </c>
      <c r="C5491" s="5">
        <v>100.14249772516115</v>
      </c>
      <c r="D5491" s="45"/>
    </row>
    <row r="5492" spans="2:4" ht="16" thickBot="1" x14ac:dyDescent="0.25">
      <c r="B5492" s="4">
        <v>5487</v>
      </c>
      <c r="C5492" s="4">
        <v>468.76866578616347</v>
      </c>
      <c r="D5492" s="45"/>
    </row>
    <row r="5493" spans="2:4" ht="16" thickBot="1" x14ac:dyDescent="0.25">
      <c r="B5493" s="5">
        <v>5488</v>
      </c>
      <c r="C5493" s="5">
        <v>94.947745828532931</v>
      </c>
      <c r="D5493" s="45"/>
    </row>
    <row r="5494" spans="2:4" ht="16" thickBot="1" x14ac:dyDescent="0.25">
      <c r="B5494" s="4">
        <v>5489</v>
      </c>
      <c r="C5494" s="4">
        <v>142.27120836173953</v>
      </c>
      <c r="D5494" s="45"/>
    </row>
    <row r="5495" spans="2:4" ht="16" thickBot="1" x14ac:dyDescent="0.25">
      <c r="B5495" s="5">
        <v>5490</v>
      </c>
      <c r="C5495" s="5">
        <v>115.78105126835752</v>
      </c>
      <c r="D5495" s="45"/>
    </row>
    <row r="5496" spans="2:4" ht="16" thickBot="1" x14ac:dyDescent="0.25">
      <c r="B5496" s="4">
        <v>5491</v>
      </c>
      <c r="C5496" s="4">
        <v>62.368782606807677</v>
      </c>
      <c r="D5496" s="45"/>
    </row>
    <row r="5497" spans="2:4" ht="16" thickBot="1" x14ac:dyDescent="0.25">
      <c r="B5497" s="5">
        <v>5492</v>
      </c>
      <c r="C5497" s="5">
        <v>88.055651975407756</v>
      </c>
      <c r="D5497" s="45"/>
    </row>
    <row r="5498" spans="2:4" ht="16" thickBot="1" x14ac:dyDescent="0.25">
      <c r="B5498" s="4">
        <v>5493</v>
      </c>
      <c r="C5498" s="4">
        <v>163.25718855461398</v>
      </c>
      <c r="D5498" s="45"/>
    </row>
    <row r="5499" spans="2:4" ht="16" thickBot="1" x14ac:dyDescent="0.25">
      <c r="B5499" s="5">
        <v>5494</v>
      </c>
      <c r="C5499" s="5">
        <v>164.78775449373637</v>
      </c>
      <c r="D5499" s="45"/>
    </row>
    <row r="5500" spans="2:4" ht="16" thickBot="1" x14ac:dyDescent="0.25">
      <c r="B5500" s="4">
        <v>5495</v>
      </c>
      <c r="C5500" s="4">
        <v>120.46689566081615</v>
      </c>
      <c r="D5500" s="45"/>
    </row>
    <row r="5501" spans="2:4" ht="16" thickBot="1" x14ac:dyDescent="0.25">
      <c r="B5501" s="5">
        <v>5496</v>
      </c>
      <c r="C5501" s="5">
        <v>204.24700454708389</v>
      </c>
      <c r="D5501" s="45"/>
    </row>
    <row r="5502" spans="2:4" ht="16" thickBot="1" x14ac:dyDescent="0.25">
      <c r="B5502" s="4">
        <v>5497</v>
      </c>
      <c r="C5502" s="4">
        <v>159.12818344020755</v>
      </c>
      <c r="D5502" s="45"/>
    </row>
    <row r="5503" spans="2:4" ht="16" thickBot="1" x14ac:dyDescent="0.25">
      <c r="B5503" s="5">
        <v>5498</v>
      </c>
      <c r="C5503" s="5">
        <v>68.76607785625194</v>
      </c>
      <c r="D5503" s="45"/>
    </row>
    <row r="5504" spans="2:4" ht="16" thickBot="1" x14ac:dyDescent="0.25">
      <c r="B5504" s="4">
        <v>5499</v>
      </c>
      <c r="C5504" s="4">
        <v>58.102041455353792</v>
      </c>
      <c r="D5504" s="45"/>
    </row>
    <row r="5505" spans="2:4" ht="16" thickBot="1" x14ac:dyDescent="0.25">
      <c r="B5505" s="5">
        <v>5500</v>
      </c>
      <c r="C5505" s="5">
        <v>122.5415909442543</v>
      </c>
      <c r="D5505" s="45"/>
    </row>
    <row r="5506" spans="2:4" ht="16" thickBot="1" x14ac:dyDescent="0.25">
      <c r="B5506" s="4">
        <v>5501</v>
      </c>
      <c r="C5506" s="4">
        <v>66.381856322722825</v>
      </c>
      <c r="D5506" s="45"/>
    </row>
    <row r="5507" spans="2:4" ht="16" thickBot="1" x14ac:dyDescent="0.25">
      <c r="B5507" s="5">
        <v>5502</v>
      </c>
      <c r="C5507" s="5">
        <v>167.24394049276702</v>
      </c>
      <c r="D5507" s="45"/>
    </row>
    <row r="5508" spans="2:4" ht="16" thickBot="1" x14ac:dyDescent="0.25">
      <c r="B5508" s="4">
        <v>5503</v>
      </c>
      <c r="C5508" s="4">
        <v>127.92058652010337</v>
      </c>
      <c r="D5508" s="45"/>
    </row>
    <row r="5509" spans="2:4" ht="16" thickBot="1" x14ac:dyDescent="0.25">
      <c r="B5509" s="5">
        <v>5504</v>
      </c>
      <c r="C5509" s="5">
        <v>286.58905484680008</v>
      </c>
      <c r="D5509" s="45"/>
    </row>
    <row r="5510" spans="2:4" ht="16" thickBot="1" x14ac:dyDescent="0.25">
      <c r="B5510" s="4">
        <v>5505</v>
      </c>
      <c r="C5510" s="4">
        <v>164.73721040631466</v>
      </c>
      <c r="D5510" s="45"/>
    </row>
    <row r="5511" spans="2:4" ht="16" thickBot="1" x14ac:dyDescent="0.25">
      <c r="B5511" s="5">
        <v>5506</v>
      </c>
      <c r="C5511" s="5">
        <v>103.66180325579221</v>
      </c>
      <c r="D5511" s="45"/>
    </row>
    <row r="5512" spans="2:4" ht="16" thickBot="1" x14ac:dyDescent="0.25">
      <c r="B5512" s="4">
        <v>5507</v>
      </c>
      <c r="C5512" s="4">
        <v>226.99546153431285</v>
      </c>
      <c r="D5512" s="45"/>
    </row>
    <row r="5513" spans="2:4" ht="16" thickBot="1" x14ac:dyDescent="0.25">
      <c r="B5513" s="5">
        <v>5508</v>
      </c>
      <c r="C5513" s="5">
        <v>62.140463572433298</v>
      </c>
      <c r="D5513" s="45"/>
    </row>
    <row r="5514" spans="2:4" ht="16" thickBot="1" x14ac:dyDescent="0.25">
      <c r="B5514" s="4">
        <v>5509</v>
      </c>
      <c r="C5514" s="4">
        <v>65.833263060567418</v>
      </c>
      <c r="D5514" s="45"/>
    </row>
    <row r="5515" spans="2:4" ht="16" thickBot="1" x14ac:dyDescent="0.25">
      <c r="B5515" s="5">
        <v>5510</v>
      </c>
      <c r="C5515" s="5">
        <v>81.27309158473291</v>
      </c>
      <c r="D5515" s="45"/>
    </row>
    <row r="5516" spans="2:4" ht="16" thickBot="1" x14ac:dyDescent="0.25">
      <c r="B5516" s="4">
        <v>5511</v>
      </c>
      <c r="C5516" s="4">
        <v>147.13722690566044</v>
      </c>
      <c r="D5516" s="45"/>
    </row>
    <row r="5517" spans="2:4" ht="16" thickBot="1" x14ac:dyDescent="0.25">
      <c r="B5517" s="5">
        <v>5512</v>
      </c>
      <c r="C5517" s="5">
        <v>224.733675473842</v>
      </c>
      <c r="D5517" s="45"/>
    </row>
    <row r="5518" spans="2:4" ht="16" thickBot="1" x14ac:dyDescent="0.25">
      <c r="B5518" s="4">
        <v>5513</v>
      </c>
      <c r="C5518" s="4">
        <v>185.50406864641946</v>
      </c>
      <c r="D5518" s="45"/>
    </row>
    <row r="5519" spans="2:4" ht="16" thickBot="1" x14ac:dyDescent="0.25">
      <c r="B5519" s="5">
        <v>5514</v>
      </c>
      <c r="C5519" s="5">
        <v>144.91860361566719</v>
      </c>
      <c r="D5519" s="45"/>
    </row>
    <row r="5520" spans="2:4" ht="16" thickBot="1" x14ac:dyDescent="0.25">
      <c r="B5520" s="4">
        <v>5515</v>
      </c>
      <c r="C5520" s="4">
        <v>173.81389591588584</v>
      </c>
      <c r="D5520" s="45"/>
    </row>
    <row r="5521" spans="2:4" ht="16" thickBot="1" x14ac:dyDescent="0.25">
      <c r="B5521" s="5">
        <v>5516</v>
      </c>
      <c r="C5521" s="5">
        <v>143.78461971990069</v>
      </c>
      <c r="D5521" s="45"/>
    </row>
    <row r="5522" spans="2:4" ht="16" thickBot="1" x14ac:dyDescent="0.25">
      <c r="B5522" s="4">
        <v>5517</v>
      </c>
      <c r="C5522" s="4">
        <v>90.217236327029994</v>
      </c>
      <c r="D5522" s="45"/>
    </row>
    <row r="5523" spans="2:4" ht="16" thickBot="1" x14ac:dyDescent="0.25">
      <c r="B5523" s="5">
        <v>5518</v>
      </c>
      <c r="C5523" s="5">
        <v>125.6426620937608</v>
      </c>
      <c r="D5523" s="45"/>
    </row>
    <row r="5524" spans="2:4" ht="16" thickBot="1" x14ac:dyDescent="0.25">
      <c r="B5524" s="4">
        <v>5519</v>
      </c>
      <c r="C5524" s="4">
        <v>138.49385131917143</v>
      </c>
      <c r="D5524" s="45"/>
    </row>
    <row r="5525" spans="2:4" ht="16" thickBot="1" x14ac:dyDescent="0.25">
      <c r="B5525" s="5">
        <v>5520</v>
      </c>
      <c r="C5525" s="5">
        <v>134.34223446801823</v>
      </c>
      <c r="D5525" s="45"/>
    </row>
    <row r="5526" spans="2:4" ht="16" thickBot="1" x14ac:dyDescent="0.25">
      <c r="B5526" s="4">
        <v>5521</v>
      </c>
      <c r="C5526" s="4">
        <v>54.849487819857075</v>
      </c>
      <c r="D5526" s="45"/>
    </row>
    <row r="5527" spans="2:4" ht="16" thickBot="1" x14ac:dyDescent="0.25">
      <c r="B5527" s="5">
        <v>5522</v>
      </c>
      <c r="C5527" s="5">
        <v>129.0292705462374</v>
      </c>
      <c r="D5527" s="45"/>
    </row>
    <row r="5528" spans="2:4" ht="16" thickBot="1" x14ac:dyDescent="0.25">
      <c r="B5528" s="4">
        <v>5523</v>
      </c>
      <c r="C5528" s="4">
        <v>154.14904926134301</v>
      </c>
      <c r="D5528" s="45"/>
    </row>
    <row r="5529" spans="2:4" ht="16" thickBot="1" x14ac:dyDescent="0.25">
      <c r="B5529" s="5">
        <v>5524</v>
      </c>
      <c r="C5529" s="5">
        <v>110.44619815033117</v>
      </c>
      <c r="D5529" s="45"/>
    </row>
    <row r="5530" spans="2:4" ht="16" thickBot="1" x14ac:dyDescent="0.25">
      <c r="B5530" s="4">
        <v>5525</v>
      </c>
      <c r="C5530" s="4">
        <v>171.34760312014225</v>
      </c>
      <c r="D5530" s="45"/>
    </row>
    <row r="5531" spans="2:4" ht="16" thickBot="1" x14ac:dyDescent="0.25">
      <c r="B5531" s="5">
        <v>5526</v>
      </c>
      <c r="C5531" s="5">
        <v>129.32883783841359</v>
      </c>
      <c r="D5531" s="45"/>
    </row>
    <row r="5532" spans="2:4" ht="16" thickBot="1" x14ac:dyDescent="0.25">
      <c r="B5532" s="4">
        <v>5527</v>
      </c>
      <c r="C5532" s="4">
        <v>128.60635523177064</v>
      </c>
      <c r="D5532" s="45"/>
    </row>
    <row r="5533" spans="2:4" ht="16" thickBot="1" x14ac:dyDescent="0.25">
      <c r="B5533" s="5">
        <v>5528</v>
      </c>
      <c r="C5533" s="5">
        <v>204.41977136276333</v>
      </c>
      <c r="D5533" s="45"/>
    </row>
    <row r="5534" spans="2:4" ht="16" thickBot="1" x14ac:dyDescent="0.25">
      <c r="B5534" s="4">
        <v>5529</v>
      </c>
      <c r="C5534" s="4">
        <v>33.661319807163004</v>
      </c>
      <c r="D5534" s="45"/>
    </row>
    <row r="5535" spans="2:4" ht="16" thickBot="1" x14ac:dyDescent="0.25">
      <c r="B5535" s="5">
        <v>5530</v>
      </c>
      <c r="C5535" s="5">
        <v>135.37897543138294</v>
      </c>
      <c r="D5535" s="45"/>
    </row>
    <row r="5536" spans="2:4" ht="16" thickBot="1" x14ac:dyDescent="0.25">
      <c r="B5536" s="4">
        <v>5531</v>
      </c>
      <c r="C5536" s="4">
        <v>170.78557478176549</v>
      </c>
      <c r="D5536" s="45"/>
    </row>
    <row r="5537" spans="2:4" ht="16" thickBot="1" x14ac:dyDescent="0.25">
      <c r="B5537" s="5">
        <v>5532</v>
      </c>
      <c r="C5537" s="5">
        <v>115.14956894921093</v>
      </c>
      <c r="D5537" s="45"/>
    </row>
    <row r="5538" spans="2:4" ht="16" thickBot="1" x14ac:dyDescent="0.25">
      <c r="B5538" s="4">
        <v>5533</v>
      </c>
      <c r="C5538" s="4">
        <v>298.9831490768388</v>
      </c>
      <c r="D5538" s="45"/>
    </row>
    <row r="5539" spans="2:4" ht="16" thickBot="1" x14ac:dyDescent="0.25">
      <c r="B5539" s="5">
        <v>5534</v>
      </c>
      <c r="C5539" s="5">
        <v>184.5458107521743</v>
      </c>
      <c r="D5539" s="45"/>
    </row>
    <row r="5540" spans="2:4" ht="16" thickBot="1" x14ac:dyDescent="0.25">
      <c r="B5540" s="4">
        <v>5535</v>
      </c>
      <c r="C5540" s="4">
        <v>87.669143081120154</v>
      </c>
      <c r="D5540" s="45"/>
    </row>
    <row r="5541" spans="2:4" ht="16" thickBot="1" x14ac:dyDescent="0.25">
      <c r="B5541" s="5">
        <v>5536</v>
      </c>
      <c r="C5541" s="5">
        <v>221.98323355852273</v>
      </c>
      <c r="D5541" s="45"/>
    </row>
    <row r="5542" spans="2:4" ht="16" thickBot="1" x14ac:dyDescent="0.25">
      <c r="B5542" s="4">
        <v>5537</v>
      </c>
      <c r="C5542" s="4">
        <v>188.80346795716576</v>
      </c>
      <c r="D5542" s="45"/>
    </row>
    <row r="5543" spans="2:4" ht="16" thickBot="1" x14ac:dyDescent="0.25">
      <c r="B5543" s="5">
        <v>5538</v>
      </c>
      <c r="C5543" s="5">
        <v>152.33598641117229</v>
      </c>
      <c r="D5543" s="45"/>
    </row>
    <row r="5544" spans="2:4" ht="16" thickBot="1" x14ac:dyDescent="0.25">
      <c r="B5544" s="4">
        <v>5539</v>
      </c>
      <c r="C5544" s="4">
        <v>80.439868322990108</v>
      </c>
      <c r="D5544" s="45"/>
    </row>
    <row r="5545" spans="2:4" ht="16" thickBot="1" x14ac:dyDescent="0.25">
      <c r="B5545" s="5">
        <v>5540</v>
      </c>
      <c r="C5545" s="5">
        <v>148.75018173513763</v>
      </c>
      <c r="D5545" s="45"/>
    </row>
    <row r="5546" spans="2:4" ht="16" thickBot="1" x14ac:dyDescent="0.25">
      <c r="B5546" s="4">
        <v>5541</v>
      </c>
      <c r="C5546" s="4">
        <v>87.634124010431151</v>
      </c>
      <c r="D5546" s="45"/>
    </row>
    <row r="5547" spans="2:4" ht="16" thickBot="1" x14ac:dyDescent="0.25">
      <c r="B5547" s="5">
        <v>5542</v>
      </c>
      <c r="C5547" s="5">
        <v>68.823457970676174</v>
      </c>
      <c r="D5547" s="45"/>
    </row>
    <row r="5548" spans="2:4" ht="16" thickBot="1" x14ac:dyDescent="0.25">
      <c r="B5548" s="4">
        <v>5543</v>
      </c>
      <c r="C5548" s="4">
        <v>82.184320013272981</v>
      </c>
      <c r="D5548" s="45"/>
    </row>
    <row r="5549" spans="2:4" ht="16" thickBot="1" x14ac:dyDescent="0.25">
      <c r="B5549" s="5">
        <v>5544</v>
      </c>
      <c r="C5549" s="5">
        <v>89.332450322247084</v>
      </c>
      <c r="D5549" s="45"/>
    </row>
    <row r="5550" spans="2:4" ht="16" thickBot="1" x14ac:dyDescent="0.25">
      <c r="B5550" s="4">
        <v>5545</v>
      </c>
      <c r="C5550" s="4">
        <v>133.181056603836</v>
      </c>
      <c r="D5550" s="45"/>
    </row>
    <row r="5551" spans="2:4" ht="16" thickBot="1" x14ac:dyDescent="0.25">
      <c r="B5551" s="5">
        <v>5546</v>
      </c>
      <c r="C5551" s="5">
        <v>110.54751183612059</v>
      </c>
      <c r="D5551" s="45"/>
    </row>
    <row r="5552" spans="2:4" ht="16" thickBot="1" x14ac:dyDescent="0.25">
      <c r="B5552" s="4">
        <v>5547</v>
      </c>
      <c r="C5552" s="4">
        <v>147.65655282113778</v>
      </c>
      <c r="D5552" s="45"/>
    </row>
    <row r="5553" spans="2:4" ht="16" thickBot="1" x14ac:dyDescent="0.25">
      <c r="B5553" s="5">
        <v>5548</v>
      </c>
      <c r="C5553" s="5">
        <v>118.0042234303769</v>
      </c>
      <c r="D5553" s="45"/>
    </row>
    <row r="5554" spans="2:4" ht="16" thickBot="1" x14ac:dyDescent="0.25">
      <c r="B5554" s="4">
        <v>5549</v>
      </c>
      <c r="C5554" s="4">
        <v>51.181570385109765</v>
      </c>
      <c r="D5554" s="45"/>
    </row>
    <row r="5555" spans="2:4" ht="16" thickBot="1" x14ac:dyDescent="0.25">
      <c r="B5555" s="5">
        <v>5550</v>
      </c>
      <c r="C5555" s="5">
        <v>187.60720471100393</v>
      </c>
      <c r="D5555" s="45"/>
    </row>
    <row r="5556" spans="2:4" ht="16" thickBot="1" x14ac:dyDescent="0.25">
      <c r="B5556" s="4">
        <v>5551</v>
      </c>
      <c r="C5556" s="4">
        <v>200.2595823569722</v>
      </c>
      <c r="D5556" s="45"/>
    </row>
    <row r="5557" spans="2:4" ht="16" thickBot="1" x14ac:dyDescent="0.25">
      <c r="B5557" s="5">
        <v>5552</v>
      </c>
      <c r="C5557" s="5">
        <v>102.62453115538254</v>
      </c>
      <c r="D5557" s="45"/>
    </row>
    <row r="5558" spans="2:4" ht="16" thickBot="1" x14ac:dyDescent="0.25">
      <c r="B5558" s="4">
        <v>5553</v>
      </c>
      <c r="C5558" s="4">
        <v>60.848665344582749</v>
      </c>
      <c r="D5558" s="45"/>
    </row>
    <row r="5559" spans="2:4" ht="16" thickBot="1" x14ac:dyDescent="0.25">
      <c r="B5559" s="5">
        <v>5554</v>
      </c>
      <c r="C5559" s="5">
        <v>334.5344732458226</v>
      </c>
      <c r="D5559" s="45"/>
    </row>
    <row r="5560" spans="2:4" ht="16" thickBot="1" x14ac:dyDescent="0.25">
      <c r="B5560" s="4">
        <v>5555</v>
      </c>
      <c r="C5560" s="4">
        <v>143.47251298780742</v>
      </c>
      <c r="D5560" s="45"/>
    </row>
    <row r="5561" spans="2:4" ht="16" thickBot="1" x14ac:dyDescent="0.25">
      <c r="B5561" s="5">
        <v>5556</v>
      </c>
      <c r="C5561" s="5">
        <v>167.6334999370869</v>
      </c>
      <c r="D5561" s="45"/>
    </row>
    <row r="5562" spans="2:4" ht="16" thickBot="1" x14ac:dyDescent="0.25">
      <c r="B5562" s="4">
        <v>5557</v>
      </c>
      <c r="C5562" s="4">
        <v>159.7936213540597</v>
      </c>
      <c r="D5562" s="45"/>
    </row>
    <row r="5563" spans="2:4" ht="16" thickBot="1" x14ac:dyDescent="0.25">
      <c r="B5563" s="5">
        <v>5558</v>
      </c>
      <c r="C5563" s="5">
        <v>102.63852184661204</v>
      </c>
      <c r="D5563" s="45"/>
    </row>
    <row r="5564" spans="2:4" ht="16" thickBot="1" x14ac:dyDescent="0.25">
      <c r="B5564" s="4">
        <v>5559</v>
      </c>
      <c r="C5564" s="4">
        <v>78.895480282144092</v>
      </c>
      <c r="D5564" s="45"/>
    </row>
    <row r="5565" spans="2:4" ht="16" thickBot="1" x14ac:dyDescent="0.25">
      <c r="B5565" s="5">
        <v>5560</v>
      </c>
      <c r="C5565" s="5">
        <v>138.85838086043512</v>
      </c>
      <c r="D5565" s="45"/>
    </row>
    <row r="5566" spans="2:4" ht="16" thickBot="1" x14ac:dyDescent="0.25">
      <c r="B5566" s="4">
        <v>5561</v>
      </c>
      <c r="C5566" s="4">
        <v>108.85536389968746</v>
      </c>
      <c r="D5566" s="45"/>
    </row>
    <row r="5567" spans="2:4" ht="16" thickBot="1" x14ac:dyDescent="0.25">
      <c r="B5567" s="5">
        <v>5562</v>
      </c>
      <c r="C5567" s="5">
        <v>307.68068973546588</v>
      </c>
      <c r="D5567" s="45"/>
    </row>
    <row r="5568" spans="2:4" ht="16" thickBot="1" x14ac:dyDescent="0.25">
      <c r="B5568" s="4">
        <v>5563</v>
      </c>
      <c r="C5568" s="4">
        <v>63.903060168548159</v>
      </c>
      <c r="D5568" s="45"/>
    </row>
    <row r="5569" spans="2:4" ht="16" thickBot="1" x14ac:dyDescent="0.25">
      <c r="B5569" s="5">
        <v>5564</v>
      </c>
      <c r="C5569" s="5">
        <v>164.08626705971039</v>
      </c>
      <c r="D5569" s="45"/>
    </row>
    <row r="5570" spans="2:4" ht="16" thickBot="1" x14ac:dyDescent="0.25">
      <c r="B5570" s="4">
        <v>5565</v>
      </c>
      <c r="C5570" s="4">
        <v>68.772941654724079</v>
      </c>
      <c r="D5570" s="45"/>
    </row>
    <row r="5571" spans="2:4" ht="16" thickBot="1" x14ac:dyDescent="0.25">
      <c r="B5571" s="5">
        <v>5566</v>
      </c>
      <c r="C5571" s="5">
        <v>168.01100935802086</v>
      </c>
      <c r="D5571" s="45"/>
    </row>
    <row r="5572" spans="2:4" ht="16" thickBot="1" x14ac:dyDescent="0.25">
      <c r="B5572" s="4">
        <v>5567</v>
      </c>
      <c r="C5572" s="4">
        <v>111.71870765555654</v>
      </c>
      <c r="D5572" s="45"/>
    </row>
    <row r="5573" spans="2:4" ht="16" thickBot="1" x14ac:dyDescent="0.25">
      <c r="B5573" s="5">
        <v>5568</v>
      </c>
      <c r="C5573" s="5">
        <v>107.77539712063563</v>
      </c>
      <c r="D5573" s="45"/>
    </row>
    <row r="5574" spans="2:4" ht="16" thickBot="1" x14ac:dyDescent="0.25">
      <c r="B5574" s="4">
        <v>5569</v>
      </c>
      <c r="C5574" s="4">
        <v>283.99104623699606</v>
      </c>
      <c r="D5574" s="45"/>
    </row>
    <row r="5575" spans="2:4" ht="16" thickBot="1" x14ac:dyDescent="0.25">
      <c r="B5575" s="5">
        <v>5570</v>
      </c>
      <c r="C5575" s="5">
        <v>182.95820356656216</v>
      </c>
      <c r="D5575" s="45"/>
    </row>
    <row r="5576" spans="2:4" ht="16" thickBot="1" x14ac:dyDescent="0.25">
      <c r="B5576" s="4">
        <v>5571</v>
      </c>
      <c r="C5576" s="4">
        <v>201.66532278515925</v>
      </c>
      <c r="D5576" s="45"/>
    </row>
    <row r="5577" spans="2:4" ht="16" thickBot="1" x14ac:dyDescent="0.25">
      <c r="B5577" s="5">
        <v>5572</v>
      </c>
      <c r="C5577" s="5">
        <v>146.30885758305706</v>
      </c>
      <c r="D5577" s="45"/>
    </row>
    <row r="5578" spans="2:4" ht="16" thickBot="1" x14ac:dyDescent="0.25">
      <c r="B5578" s="4">
        <v>5573</v>
      </c>
      <c r="C5578" s="4">
        <v>99.897491622168701</v>
      </c>
      <c r="D5578" s="45"/>
    </row>
    <row r="5579" spans="2:4" ht="16" thickBot="1" x14ac:dyDescent="0.25">
      <c r="B5579" s="5">
        <v>5574</v>
      </c>
      <c r="C5579" s="5">
        <v>175.99739117563826</v>
      </c>
      <c r="D5579" s="45"/>
    </row>
    <row r="5580" spans="2:4" ht="16" thickBot="1" x14ac:dyDescent="0.25">
      <c r="B5580" s="4">
        <v>5575</v>
      </c>
      <c r="C5580" s="4">
        <v>151.63704903171237</v>
      </c>
      <c r="D5580" s="45"/>
    </row>
    <row r="5581" spans="2:4" ht="16" thickBot="1" x14ac:dyDescent="0.25">
      <c r="B5581" s="5">
        <v>5576</v>
      </c>
      <c r="C5581" s="5">
        <v>281.23775374965942</v>
      </c>
      <c r="D5581" s="45"/>
    </row>
    <row r="5582" spans="2:4" ht="16" thickBot="1" x14ac:dyDescent="0.25">
      <c r="B5582" s="4">
        <v>5577</v>
      </c>
      <c r="C5582" s="4">
        <v>234.96008079046254</v>
      </c>
      <c r="D5582" s="45"/>
    </row>
    <row r="5583" spans="2:4" ht="16" thickBot="1" x14ac:dyDescent="0.25">
      <c r="B5583" s="5">
        <v>5578</v>
      </c>
      <c r="C5583" s="5">
        <v>91.765950788894187</v>
      </c>
      <c r="D5583" s="45"/>
    </row>
    <row r="5584" spans="2:4" ht="16" thickBot="1" x14ac:dyDescent="0.25">
      <c r="B5584" s="4">
        <v>5579</v>
      </c>
      <c r="C5584" s="4">
        <v>300.1719394405136</v>
      </c>
      <c r="D5584" s="45"/>
    </row>
    <row r="5585" spans="2:4" ht="16" thickBot="1" x14ac:dyDescent="0.25">
      <c r="B5585" s="5">
        <v>5580</v>
      </c>
      <c r="C5585" s="5">
        <v>84.772868869546414</v>
      </c>
      <c r="D5585" s="45"/>
    </row>
    <row r="5586" spans="2:4" ht="16" thickBot="1" x14ac:dyDescent="0.25">
      <c r="B5586" s="4">
        <v>5581</v>
      </c>
      <c r="C5586" s="4">
        <v>137.97258087994081</v>
      </c>
      <c r="D5586" s="45"/>
    </row>
    <row r="5587" spans="2:4" ht="16" thickBot="1" x14ac:dyDescent="0.25">
      <c r="B5587" s="5">
        <v>5582</v>
      </c>
      <c r="C5587" s="5">
        <v>266.85074060616989</v>
      </c>
      <c r="D5587" s="45"/>
    </row>
    <row r="5588" spans="2:4" ht="16" thickBot="1" x14ac:dyDescent="0.25">
      <c r="B5588" s="4">
        <v>5583</v>
      </c>
      <c r="C5588" s="4">
        <v>162.66253710424829</v>
      </c>
      <c r="D5588" s="45"/>
    </row>
    <row r="5589" spans="2:4" ht="16" thickBot="1" x14ac:dyDescent="0.25">
      <c r="B5589" s="5">
        <v>5584</v>
      </c>
      <c r="C5589" s="5">
        <v>172.00809016529965</v>
      </c>
      <c r="D5589" s="45"/>
    </row>
    <row r="5590" spans="2:4" ht="16" thickBot="1" x14ac:dyDescent="0.25">
      <c r="B5590" s="4">
        <v>5585</v>
      </c>
      <c r="C5590" s="4">
        <v>135.46888805220917</v>
      </c>
      <c r="D5590" s="45"/>
    </row>
    <row r="5591" spans="2:4" ht="16" thickBot="1" x14ac:dyDescent="0.25">
      <c r="B5591" s="5">
        <v>5586</v>
      </c>
      <c r="C5591" s="5">
        <v>265.23024084773635</v>
      </c>
      <c r="D5591" s="45"/>
    </row>
    <row r="5592" spans="2:4" ht="16" thickBot="1" x14ac:dyDescent="0.25">
      <c r="B5592" s="4">
        <v>5587</v>
      </c>
      <c r="C5592" s="4">
        <v>390.48135395171829</v>
      </c>
      <c r="D5592" s="45"/>
    </row>
    <row r="5593" spans="2:4" ht="16" thickBot="1" x14ac:dyDescent="0.25">
      <c r="B5593" s="5">
        <v>5588</v>
      </c>
      <c r="C5593" s="5">
        <v>236.35825351280735</v>
      </c>
      <c r="D5593" s="45"/>
    </row>
    <row r="5594" spans="2:4" ht="16" thickBot="1" x14ac:dyDescent="0.25">
      <c r="B5594" s="4">
        <v>5589</v>
      </c>
      <c r="C5594" s="4">
        <v>78.906586540974232</v>
      </c>
      <c r="D5594" s="45"/>
    </row>
    <row r="5595" spans="2:4" ht="16" thickBot="1" x14ac:dyDescent="0.25">
      <c r="B5595" s="5">
        <v>5590</v>
      </c>
      <c r="C5595" s="5">
        <v>526.57737709326466</v>
      </c>
      <c r="D5595" s="45"/>
    </row>
    <row r="5596" spans="2:4" ht="16" thickBot="1" x14ac:dyDescent="0.25">
      <c r="B5596" s="4">
        <v>5591</v>
      </c>
      <c r="C5596" s="4">
        <v>288.95538269080959</v>
      </c>
      <c r="D5596" s="45"/>
    </row>
    <row r="5597" spans="2:4" ht="16" thickBot="1" x14ac:dyDescent="0.25">
      <c r="B5597" s="5">
        <v>5592</v>
      </c>
      <c r="C5597" s="5">
        <v>325.20829428957637</v>
      </c>
      <c r="D5597" s="45"/>
    </row>
    <row r="5598" spans="2:4" ht="16" thickBot="1" x14ac:dyDescent="0.25">
      <c r="B5598" s="4">
        <v>5593</v>
      </c>
      <c r="C5598" s="4">
        <v>138.74440377437034</v>
      </c>
      <c r="D5598" s="45"/>
    </row>
    <row r="5599" spans="2:4" ht="16" thickBot="1" x14ac:dyDescent="0.25">
      <c r="B5599" s="5">
        <v>5594</v>
      </c>
      <c r="C5599" s="5">
        <v>216.33100803681586</v>
      </c>
      <c r="D5599" s="45"/>
    </row>
    <row r="5600" spans="2:4" ht="16" thickBot="1" x14ac:dyDescent="0.25">
      <c r="B5600" s="4">
        <v>5595</v>
      </c>
      <c r="C5600" s="4">
        <v>73.337566689014395</v>
      </c>
      <c r="D5600" s="45"/>
    </row>
    <row r="5601" spans="2:4" ht="16" thickBot="1" x14ac:dyDescent="0.25">
      <c r="B5601" s="5">
        <v>5596</v>
      </c>
      <c r="C5601" s="5">
        <v>221.07846600660056</v>
      </c>
      <c r="D5601" s="45"/>
    </row>
    <row r="5602" spans="2:4" ht="16" thickBot="1" x14ac:dyDescent="0.25">
      <c r="B5602" s="4">
        <v>5597</v>
      </c>
      <c r="C5602" s="4">
        <v>129.87492872003887</v>
      </c>
      <c r="D5602" s="45"/>
    </row>
    <row r="5603" spans="2:4" ht="16" thickBot="1" x14ac:dyDescent="0.25">
      <c r="B5603" s="5">
        <v>5598</v>
      </c>
      <c r="C5603" s="5">
        <v>124.49789375344906</v>
      </c>
      <c r="D5603" s="45"/>
    </row>
    <row r="5604" spans="2:4" ht="16" thickBot="1" x14ac:dyDescent="0.25">
      <c r="B5604" s="4">
        <v>5599</v>
      </c>
      <c r="C5604" s="4">
        <v>473.97406369242117</v>
      </c>
      <c r="D5604" s="45"/>
    </row>
    <row r="5605" spans="2:4" ht="16" thickBot="1" x14ac:dyDescent="0.25">
      <c r="B5605" s="5">
        <v>5600</v>
      </c>
      <c r="C5605" s="5">
        <v>107.8197049375145</v>
      </c>
      <c r="D5605" s="45"/>
    </row>
    <row r="5606" spans="2:4" ht="16" thickBot="1" x14ac:dyDescent="0.25">
      <c r="B5606" s="4">
        <v>5601</v>
      </c>
      <c r="C5606" s="4">
        <v>175.87610010744021</v>
      </c>
      <c r="D5606" s="45"/>
    </row>
    <row r="5607" spans="2:4" ht="16" thickBot="1" x14ac:dyDescent="0.25">
      <c r="B5607" s="5">
        <v>5602</v>
      </c>
      <c r="C5607" s="5">
        <v>137.63964096051271</v>
      </c>
      <c r="D5607" s="45"/>
    </row>
    <row r="5608" spans="2:4" ht="16" thickBot="1" x14ac:dyDescent="0.25">
      <c r="B5608" s="4">
        <v>5603</v>
      </c>
      <c r="C5608" s="4">
        <v>58.747346778481472</v>
      </c>
      <c r="D5608" s="45"/>
    </row>
    <row r="5609" spans="2:4" ht="16" thickBot="1" x14ac:dyDescent="0.25">
      <c r="B5609" s="5">
        <v>5604</v>
      </c>
      <c r="C5609" s="5">
        <v>68.341904537967864</v>
      </c>
      <c r="D5609" s="45"/>
    </row>
    <row r="5610" spans="2:4" ht="16" thickBot="1" x14ac:dyDescent="0.25">
      <c r="B5610" s="4">
        <v>5605</v>
      </c>
      <c r="C5610" s="4">
        <v>52.197181505493262</v>
      </c>
      <c r="D5610" s="45"/>
    </row>
    <row r="5611" spans="2:4" ht="16" thickBot="1" x14ac:dyDescent="0.25">
      <c r="B5611" s="5">
        <v>5606</v>
      </c>
      <c r="C5611" s="5">
        <v>147.81095030941893</v>
      </c>
      <c r="D5611" s="45"/>
    </row>
    <row r="5612" spans="2:4" ht="16" thickBot="1" x14ac:dyDescent="0.25">
      <c r="B5612" s="4">
        <v>5607</v>
      </c>
      <c r="C5612" s="4">
        <v>134.10688314684933</v>
      </c>
      <c r="D5612" s="45"/>
    </row>
    <row r="5613" spans="2:4" ht="16" thickBot="1" x14ac:dyDescent="0.25">
      <c r="B5613" s="5">
        <v>5608</v>
      </c>
      <c r="C5613" s="5">
        <v>72.881830422632504</v>
      </c>
      <c r="D5613" s="45"/>
    </row>
    <row r="5614" spans="2:4" ht="16" thickBot="1" x14ac:dyDescent="0.25">
      <c r="B5614" s="4">
        <v>5609</v>
      </c>
      <c r="C5614" s="4">
        <v>268.88269642313895</v>
      </c>
      <c r="D5614" s="45"/>
    </row>
    <row r="5615" spans="2:4" ht="16" thickBot="1" x14ac:dyDescent="0.25">
      <c r="B5615" s="5">
        <v>5610</v>
      </c>
      <c r="C5615" s="5">
        <v>149.31719967186211</v>
      </c>
      <c r="D5615" s="45"/>
    </row>
    <row r="5616" spans="2:4" ht="16" thickBot="1" x14ac:dyDescent="0.25">
      <c r="B5616" s="4">
        <v>5611</v>
      </c>
      <c r="C5616" s="4">
        <v>126.42992802574967</v>
      </c>
      <c r="D5616" s="45"/>
    </row>
    <row r="5617" spans="2:4" ht="16" thickBot="1" x14ac:dyDescent="0.25">
      <c r="B5617" s="5">
        <v>5612</v>
      </c>
      <c r="C5617" s="5">
        <v>129.199346057616</v>
      </c>
      <c r="D5617" s="45"/>
    </row>
    <row r="5618" spans="2:4" ht="16" thickBot="1" x14ac:dyDescent="0.25">
      <c r="B5618" s="4">
        <v>5613</v>
      </c>
      <c r="C5618" s="4">
        <v>104.0911675997388</v>
      </c>
      <c r="D5618" s="45"/>
    </row>
    <row r="5619" spans="2:4" ht="16" thickBot="1" x14ac:dyDescent="0.25">
      <c r="B5619" s="5">
        <v>5614</v>
      </c>
      <c r="C5619" s="5">
        <v>153.14220781503096</v>
      </c>
      <c r="D5619" s="45"/>
    </row>
    <row r="5620" spans="2:4" ht="16" thickBot="1" x14ac:dyDescent="0.25">
      <c r="B5620" s="4">
        <v>5615</v>
      </c>
      <c r="C5620" s="4">
        <v>162.96857044445906</v>
      </c>
      <c r="D5620" s="45"/>
    </row>
    <row r="5621" spans="2:4" ht="16" thickBot="1" x14ac:dyDescent="0.25">
      <c r="B5621" s="5">
        <v>5616</v>
      </c>
      <c r="C5621" s="5">
        <v>82.854362745634617</v>
      </c>
      <c r="D5621" s="45"/>
    </row>
    <row r="5622" spans="2:4" ht="16" thickBot="1" x14ac:dyDescent="0.25">
      <c r="B5622" s="4">
        <v>5617</v>
      </c>
      <c r="C5622" s="4">
        <v>180.41327302785069</v>
      </c>
      <c r="D5622" s="45"/>
    </row>
    <row r="5623" spans="2:4" ht="16" thickBot="1" x14ac:dyDescent="0.25">
      <c r="B5623" s="5">
        <v>5618</v>
      </c>
      <c r="C5623" s="5">
        <v>84.019820236768737</v>
      </c>
      <c r="D5623" s="45"/>
    </row>
    <row r="5624" spans="2:4" ht="16" thickBot="1" x14ac:dyDescent="0.25">
      <c r="B5624" s="4">
        <v>5619</v>
      </c>
      <c r="C5624" s="4">
        <v>114.71439679996467</v>
      </c>
      <c r="D5624" s="45"/>
    </row>
    <row r="5625" spans="2:4" ht="16" thickBot="1" x14ac:dyDescent="0.25">
      <c r="B5625" s="5">
        <v>5620</v>
      </c>
      <c r="C5625" s="5">
        <v>92.852400525427527</v>
      </c>
      <c r="D5625" s="45"/>
    </row>
    <row r="5626" spans="2:4" ht="16" thickBot="1" x14ac:dyDescent="0.25">
      <c r="B5626" s="4">
        <v>5621</v>
      </c>
      <c r="C5626" s="4">
        <v>206.13559294514215</v>
      </c>
      <c r="D5626" s="45"/>
    </row>
    <row r="5627" spans="2:4" ht="16" thickBot="1" x14ac:dyDescent="0.25">
      <c r="B5627" s="5">
        <v>5622</v>
      </c>
      <c r="C5627" s="5">
        <v>142.74653943309721</v>
      </c>
      <c r="D5627" s="45"/>
    </row>
    <row r="5628" spans="2:4" ht="16" thickBot="1" x14ac:dyDescent="0.25">
      <c r="B5628" s="4">
        <v>5623</v>
      </c>
      <c r="C5628" s="4">
        <v>152.02179392769011</v>
      </c>
      <c r="D5628" s="45"/>
    </row>
    <row r="5629" spans="2:4" ht="16" thickBot="1" x14ac:dyDescent="0.25">
      <c r="B5629" s="5">
        <v>5624</v>
      </c>
      <c r="C5629" s="5">
        <v>67.847297961290593</v>
      </c>
      <c r="D5629" s="45"/>
    </row>
    <row r="5630" spans="2:4" ht="16" thickBot="1" x14ac:dyDescent="0.25">
      <c r="B5630" s="4">
        <v>5625</v>
      </c>
      <c r="C5630" s="4">
        <v>155.22787903800125</v>
      </c>
      <c r="D5630" s="45"/>
    </row>
    <row r="5631" spans="2:4" ht="16" thickBot="1" x14ac:dyDescent="0.25">
      <c r="B5631" s="5">
        <v>5626</v>
      </c>
      <c r="C5631" s="5">
        <v>109.34249841468097</v>
      </c>
      <c r="D5631" s="45"/>
    </row>
    <row r="5632" spans="2:4" ht="16" thickBot="1" x14ac:dyDescent="0.25">
      <c r="B5632" s="4">
        <v>5627</v>
      </c>
      <c r="C5632" s="4">
        <v>86.113248580803017</v>
      </c>
      <c r="D5632" s="45"/>
    </row>
    <row r="5633" spans="2:4" ht="16" thickBot="1" x14ac:dyDescent="0.25">
      <c r="B5633" s="5">
        <v>5628</v>
      </c>
      <c r="C5633" s="5">
        <v>115.77437111739862</v>
      </c>
      <c r="D5633" s="45"/>
    </row>
    <row r="5634" spans="2:4" ht="16" thickBot="1" x14ac:dyDescent="0.25">
      <c r="B5634" s="4">
        <v>5629</v>
      </c>
      <c r="C5634" s="4">
        <v>173.00440843010369</v>
      </c>
      <c r="D5634" s="45"/>
    </row>
    <row r="5635" spans="2:4" ht="16" thickBot="1" x14ac:dyDescent="0.25">
      <c r="B5635" s="5">
        <v>5630</v>
      </c>
      <c r="C5635" s="5">
        <v>203.17760485787258</v>
      </c>
      <c r="D5635" s="45"/>
    </row>
    <row r="5636" spans="2:4" ht="16" thickBot="1" x14ac:dyDescent="0.25">
      <c r="B5636" s="4">
        <v>5631</v>
      </c>
      <c r="C5636" s="4">
        <v>282.03555524215227</v>
      </c>
      <c r="D5636" s="45"/>
    </row>
    <row r="5637" spans="2:4" ht="16" thickBot="1" x14ac:dyDescent="0.25">
      <c r="B5637" s="5">
        <v>5632</v>
      </c>
      <c r="C5637" s="5">
        <v>130.79056398646094</v>
      </c>
      <c r="D5637" s="45"/>
    </row>
    <row r="5638" spans="2:4" ht="16" thickBot="1" x14ac:dyDescent="0.25">
      <c r="B5638" s="4">
        <v>5633</v>
      </c>
      <c r="C5638" s="4">
        <v>121.05366630982125</v>
      </c>
      <c r="D5638" s="45"/>
    </row>
    <row r="5639" spans="2:4" ht="16" thickBot="1" x14ac:dyDescent="0.25">
      <c r="B5639" s="5">
        <v>5634</v>
      </c>
      <c r="C5639" s="5">
        <v>76.925990168572326</v>
      </c>
      <c r="D5639" s="45"/>
    </row>
    <row r="5640" spans="2:4" ht="16" thickBot="1" x14ac:dyDescent="0.25">
      <c r="B5640" s="4">
        <v>5635</v>
      </c>
      <c r="C5640" s="4">
        <v>113.33034033430624</v>
      </c>
      <c r="D5640" s="45"/>
    </row>
    <row r="5641" spans="2:4" ht="16" thickBot="1" x14ac:dyDescent="0.25">
      <c r="B5641" s="5">
        <v>5636</v>
      </c>
      <c r="C5641" s="5">
        <v>207.43490050981686</v>
      </c>
      <c r="D5641" s="45"/>
    </row>
    <row r="5642" spans="2:4" ht="16" thickBot="1" x14ac:dyDescent="0.25">
      <c r="B5642" s="4">
        <v>5637</v>
      </c>
      <c r="C5642" s="4">
        <v>350.02320974029328</v>
      </c>
      <c r="D5642" s="45"/>
    </row>
    <row r="5643" spans="2:4" ht="16" thickBot="1" x14ac:dyDescent="0.25">
      <c r="B5643" s="5">
        <v>5638</v>
      </c>
      <c r="C5643" s="5">
        <v>198.86932659294251</v>
      </c>
      <c r="D5643" s="45"/>
    </row>
    <row r="5644" spans="2:4" ht="16" thickBot="1" x14ac:dyDescent="0.25">
      <c r="B5644" s="4">
        <v>5639</v>
      </c>
      <c r="C5644" s="4">
        <v>169.23628060803429</v>
      </c>
      <c r="D5644" s="45"/>
    </row>
    <row r="5645" spans="2:4" ht="16" thickBot="1" x14ac:dyDescent="0.25">
      <c r="B5645" s="5">
        <v>5640</v>
      </c>
      <c r="C5645" s="5">
        <v>222.95792280461734</v>
      </c>
      <c r="D5645" s="45"/>
    </row>
    <row r="5646" spans="2:4" ht="16" thickBot="1" x14ac:dyDescent="0.25">
      <c r="B5646" s="4">
        <v>5641</v>
      </c>
      <c r="C5646" s="4">
        <v>242.03305228024976</v>
      </c>
      <c r="D5646" s="45"/>
    </row>
    <row r="5647" spans="2:4" ht="16" thickBot="1" x14ac:dyDescent="0.25">
      <c r="B5647" s="5">
        <v>5642</v>
      </c>
      <c r="C5647" s="5">
        <v>126.58314363602022</v>
      </c>
      <c r="D5647" s="45"/>
    </row>
    <row r="5648" spans="2:4" ht="16" thickBot="1" x14ac:dyDescent="0.25">
      <c r="B5648" s="4">
        <v>5643</v>
      </c>
      <c r="C5648" s="4">
        <v>138.41385769835094</v>
      </c>
      <c r="D5648" s="45"/>
    </row>
    <row r="5649" spans="2:4" ht="16" thickBot="1" x14ac:dyDescent="0.25">
      <c r="B5649" s="5">
        <v>5644</v>
      </c>
      <c r="C5649" s="5">
        <v>427.99932151438401</v>
      </c>
      <c r="D5649" s="45"/>
    </row>
    <row r="5650" spans="2:4" ht="16" thickBot="1" x14ac:dyDescent="0.25">
      <c r="B5650" s="4">
        <v>5645</v>
      </c>
      <c r="C5650" s="4">
        <v>67.356244286714556</v>
      </c>
      <c r="D5650" s="45"/>
    </row>
    <row r="5651" spans="2:4" ht="16" thickBot="1" x14ac:dyDescent="0.25">
      <c r="B5651" s="5">
        <v>5646</v>
      </c>
      <c r="C5651" s="5">
        <v>151.928858213853</v>
      </c>
      <c r="D5651" s="45"/>
    </row>
    <row r="5652" spans="2:4" ht="16" thickBot="1" x14ac:dyDescent="0.25">
      <c r="B5652" s="4">
        <v>5647</v>
      </c>
      <c r="C5652" s="4">
        <v>148.04305897505731</v>
      </c>
      <c r="D5652" s="45"/>
    </row>
    <row r="5653" spans="2:4" ht="16" thickBot="1" x14ac:dyDescent="0.25">
      <c r="B5653" s="5">
        <v>5648</v>
      </c>
      <c r="C5653" s="5">
        <v>151.11023383101335</v>
      </c>
      <c r="D5653" s="45"/>
    </row>
    <row r="5654" spans="2:4" ht="16" thickBot="1" x14ac:dyDescent="0.25">
      <c r="B5654" s="4">
        <v>5649</v>
      </c>
      <c r="C5654" s="4">
        <v>82.647653986057406</v>
      </c>
      <c r="D5654" s="45"/>
    </row>
    <row r="5655" spans="2:4" ht="16" thickBot="1" x14ac:dyDescent="0.25">
      <c r="B5655" s="5">
        <v>5650</v>
      </c>
      <c r="C5655" s="5">
        <v>438.90194583647889</v>
      </c>
      <c r="D5655" s="45"/>
    </row>
    <row r="5656" spans="2:4" ht="16" thickBot="1" x14ac:dyDescent="0.25">
      <c r="B5656" s="4">
        <v>5651</v>
      </c>
      <c r="C5656" s="4">
        <v>125.78445658812949</v>
      </c>
      <c r="D5656" s="45"/>
    </row>
    <row r="5657" spans="2:4" ht="16" thickBot="1" x14ac:dyDescent="0.25">
      <c r="B5657" s="5">
        <v>5652</v>
      </c>
      <c r="C5657" s="5">
        <v>120.52291809823879</v>
      </c>
      <c r="D5657" s="45"/>
    </row>
    <row r="5658" spans="2:4" ht="16" thickBot="1" x14ac:dyDescent="0.25">
      <c r="B5658" s="4">
        <v>5653</v>
      </c>
      <c r="C5658" s="4">
        <v>218.09656520755817</v>
      </c>
      <c r="D5658" s="45"/>
    </row>
    <row r="5659" spans="2:4" ht="16" thickBot="1" x14ac:dyDescent="0.25">
      <c r="B5659" s="5">
        <v>5654</v>
      </c>
      <c r="C5659" s="5">
        <v>100.69311850748234</v>
      </c>
      <c r="D5659" s="45"/>
    </row>
    <row r="5660" spans="2:4" ht="16" thickBot="1" x14ac:dyDescent="0.25">
      <c r="B5660" s="4">
        <v>5655</v>
      </c>
      <c r="C5660" s="4">
        <v>250.94380279741134</v>
      </c>
      <c r="D5660" s="45"/>
    </row>
    <row r="5661" spans="2:4" ht="16" thickBot="1" x14ac:dyDescent="0.25">
      <c r="B5661" s="5">
        <v>5656</v>
      </c>
      <c r="C5661" s="5">
        <v>149.93386787084543</v>
      </c>
      <c r="D5661" s="45"/>
    </row>
    <row r="5662" spans="2:4" ht="16" thickBot="1" x14ac:dyDescent="0.25">
      <c r="B5662" s="4">
        <v>5657</v>
      </c>
      <c r="C5662" s="4">
        <v>227.4428313474518</v>
      </c>
      <c r="D5662" s="45"/>
    </row>
    <row r="5663" spans="2:4" ht="16" thickBot="1" x14ac:dyDescent="0.25">
      <c r="B5663" s="5">
        <v>5658</v>
      </c>
      <c r="C5663" s="5">
        <v>217.26119078615932</v>
      </c>
      <c r="D5663" s="45"/>
    </row>
    <row r="5664" spans="2:4" ht="16" thickBot="1" x14ac:dyDescent="0.25">
      <c r="B5664" s="4">
        <v>5659</v>
      </c>
      <c r="C5664" s="4">
        <v>305.77836861758936</v>
      </c>
      <c r="D5664" s="45"/>
    </row>
    <row r="5665" spans="2:4" ht="16" thickBot="1" x14ac:dyDescent="0.25">
      <c r="B5665" s="5">
        <v>5660</v>
      </c>
      <c r="C5665" s="5">
        <v>97.203825300528294</v>
      </c>
      <c r="D5665" s="45"/>
    </row>
    <row r="5666" spans="2:4" ht="16" thickBot="1" x14ac:dyDescent="0.25">
      <c r="B5666" s="4">
        <v>5661</v>
      </c>
      <c r="C5666" s="4">
        <v>256.10860588737665</v>
      </c>
      <c r="D5666" s="45"/>
    </row>
    <row r="5667" spans="2:4" ht="16" thickBot="1" x14ac:dyDescent="0.25">
      <c r="B5667" s="5">
        <v>5662</v>
      </c>
      <c r="C5667" s="5">
        <v>287.12073016654165</v>
      </c>
      <c r="D5667" s="45"/>
    </row>
    <row r="5668" spans="2:4" ht="16" thickBot="1" x14ac:dyDescent="0.25">
      <c r="B5668" s="4">
        <v>5663</v>
      </c>
      <c r="C5668" s="4">
        <v>151.01236005221139</v>
      </c>
      <c r="D5668" s="45"/>
    </row>
    <row r="5669" spans="2:4" ht="16" thickBot="1" x14ac:dyDescent="0.25">
      <c r="B5669" s="5">
        <v>5664</v>
      </c>
      <c r="C5669" s="5">
        <v>140.49355554560285</v>
      </c>
      <c r="D5669" s="45"/>
    </row>
    <row r="5670" spans="2:4" ht="16" thickBot="1" x14ac:dyDescent="0.25">
      <c r="B5670" s="4">
        <v>5665</v>
      </c>
      <c r="C5670" s="4">
        <v>455.99112158241894</v>
      </c>
      <c r="D5670" s="45"/>
    </row>
    <row r="5671" spans="2:4" ht="16" thickBot="1" x14ac:dyDescent="0.25">
      <c r="B5671" s="5">
        <v>5666</v>
      </c>
      <c r="C5671" s="5">
        <v>161.20886351612518</v>
      </c>
      <c r="D5671" s="45"/>
    </row>
    <row r="5672" spans="2:4" ht="16" thickBot="1" x14ac:dyDescent="0.25">
      <c r="B5672" s="4">
        <v>5667</v>
      </c>
      <c r="C5672" s="4">
        <v>58.702329421907976</v>
      </c>
      <c r="D5672" s="45"/>
    </row>
    <row r="5673" spans="2:4" ht="16" thickBot="1" x14ac:dyDescent="0.25">
      <c r="B5673" s="5">
        <v>5668</v>
      </c>
      <c r="C5673" s="5">
        <v>271.33742330527002</v>
      </c>
      <c r="D5673" s="45"/>
    </row>
    <row r="5674" spans="2:4" ht="16" thickBot="1" x14ac:dyDescent="0.25">
      <c r="B5674" s="4">
        <v>5669</v>
      </c>
      <c r="C5674" s="4">
        <v>293.65792598114234</v>
      </c>
      <c r="D5674" s="45"/>
    </row>
    <row r="5675" spans="2:4" ht="16" thickBot="1" x14ac:dyDescent="0.25">
      <c r="B5675" s="5">
        <v>5670</v>
      </c>
      <c r="C5675" s="5">
        <v>272.76381705758695</v>
      </c>
      <c r="D5675" s="45"/>
    </row>
    <row r="5676" spans="2:4" ht="16" thickBot="1" x14ac:dyDescent="0.25">
      <c r="B5676" s="4">
        <v>5671</v>
      </c>
      <c r="C5676" s="4">
        <v>218.39638663691889</v>
      </c>
      <c r="D5676" s="45"/>
    </row>
    <row r="5677" spans="2:4" ht="16" thickBot="1" x14ac:dyDescent="0.25">
      <c r="B5677" s="5">
        <v>5672</v>
      </c>
      <c r="C5677" s="5">
        <v>179.67416586169841</v>
      </c>
      <c r="D5677" s="45"/>
    </row>
    <row r="5678" spans="2:4" ht="16" thickBot="1" x14ac:dyDescent="0.25">
      <c r="B5678" s="4">
        <v>5673</v>
      </c>
      <c r="C5678" s="4">
        <v>106.39377646478084</v>
      </c>
      <c r="D5678" s="45"/>
    </row>
    <row r="5679" spans="2:4" ht="16" thickBot="1" x14ac:dyDescent="0.25">
      <c r="B5679" s="5">
        <v>5674</v>
      </c>
      <c r="C5679" s="5">
        <v>191.91609012031006</v>
      </c>
      <c r="D5679" s="45"/>
    </row>
    <row r="5680" spans="2:4" ht="16" thickBot="1" x14ac:dyDescent="0.25">
      <c r="B5680" s="4">
        <v>5675</v>
      </c>
      <c r="C5680" s="4">
        <v>161.51019287092885</v>
      </c>
      <c r="D5680" s="45"/>
    </row>
    <row r="5681" spans="2:4" ht="16" thickBot="1" x14ac:dyDescent="0.25">
      <c r="B5681" s="5">
        <v>5676</v>
      </c>
      <c r="C5681" s="5">
        <v>182.04432865334192</v>
      </c>
      <c r="D5681" s="45"/>
    </row>
    <row r="5682" spans="2:4" ht="16" thickBot="1" x14ac:dyDescent="0.25">
      <c r="B5682" s="4">
        <v>5677</v>
      </c>
      <c r="C5682" s="4">
        <v>127.60100843536145</v>
      </c>
      <c r="D5682" s="45"/>
    </row>
    <row r="5683" spans="2:4" ht="16" thickBot="1" x14ac:dyDescent="0.25">
      <c r="B5683" s="5">
        <v>5678</v>
      </c>
      <c r="C5683" s="5">
        <v>140.79661101929486</v>
      </c>
      <c r="D5683" s="45"/>
    </row>
    <row r="5684" spans="2:4" ht="16" thickBot="1" x14ac:dyDescent="0.25">
      <c r="B5684" s="4">
        <v>5679</v>
      </c>
      <c r="C5684" s="4">
        <v>199.6838840111669</v>
      </c>
      <c r="D5684" s="45"/>
    </row>
    <row r="5685" spans="2:4" ht="16" thickBot="1" x14ac:dyDescent="0.25">
      <c r="B5685" s="5">
        <v>5680</v>
      </c>
      <c r="C5685" s="5">
        <v>79.518679030116814</v>
      </c>
      <c r="D5685" s="45"/>
    </row>
    <row r="5686" spans="2:4" ht="16" thickBot="1" x14ac:dyDescent="0.25">
      <c r="B5686" s="4">
        <v>5681</v>
      </c>
      <c r="C5686" s="4">
        <v>125.92029514336234</v>
      </c>
      <c r="D5686" s="45"/>
    </row>
    <row r="5687" spans="2:4" ht="16" thickBot="1" x14ac:dyDescent="0.25">
      <c r="B5687" s="5">
        <v>5682</v>
      </c>
      <c r="C5687" s="5">
        <v>96.041933647863758</v>
      </c>
      <c r="D5687" s="45"/>
    </row>
    <row r="5688" spans="2:4" ht="16" thickBot="1" x14ac:dyDescent="0.25">
      <c r="B5688" s="4">
        <v>5683</v>
      </c>
      <c r="C5688" s="4">
        <v>225.16294416799474</v>
      </c>
      <c r="D5688" s="45"/>
    </row>
    <row r="5689" spans="2:4" ht="16" thickBot="1" x14ac:dyDescent="0.25">
      <c r="B5689" s="5">
        <v>5684</v>
      </c>
      <c r="C5689" s="5">
        <v>198.5558027601441</v>
      </c>
      <c r="D5689" s="45"/>
    </row>
    <row r="5690" spans="2:4" ht="16" thickBot="1" x14ac:dyDescent="0.25">
      <c r="B5690" s="4">
        <v>5685</v>
      </c>
      <c r="C5690" s="4">
        <v>164.65327246775499</v>
      </c>
      <c r="D5690" s="45"/>
    </row>
    <row r="5691" spans="2:4" ht="16" thickBot="1" x14ac:dyDescent="0.25">
      <c r="B5691" s="5">
        <v>5686</v>
      </c>
      <c r="C5691" s="5">
        <v>186.28458195288715</v>
      </c>
      <c r="D5691" s="45"/>
    </row>
    <row r="5692" spans="2:4" ht="16" thickBot="1" x14ac:dyDescent="0.25">
      <c r="B5692" s="4">
        <v>5687</v>
      </c>
      <c r="C5692" s="4">
        <v>182.61889557376566</v>
      </c>
      <c r="D5692" s="45"/>
    </row>
    <row r="5693" spans="2:4" ht="16" thickBot="1" x14ac:dyDescent="0.25">
      <c r="B5693" s="5">
        <v>5688</v>
      </c>
      <c r="C5693" s="5">
        <v>105.09580419722793</v>
      </c>
      <c r="D5693" s="45"/>
    </row>
    <row r="5694" spans="2:4" ht="16" thickBot="1" x14ac:dyDescent="0.25">
      <c r="B5694" s="4">
        <v>5689</v>
      </c>
      <c r="C5694" s="4">
        <v>118.56879367253636</v>
      </c>
      <c r="D5694" s="45"/>
    </row>
    <row r="5695" spans="2:4" ht="16" thickBot="1" x14ac:dyDescent="0.25">
      <c r="B5695" s="5">
        <v>5690</v>
      </c>
      <c r="C5695" s="5">
        <v>300.88243160216331</v>
      </c>
      <c r="D5695" s="45"/>
    </row>
    <row r="5696" spans="2:4" ht="16" thickBot="1" x14ac:dyDescent="0.25">
      <c r="B5696" s="4">
        <v>5691</v>
      </c>
      <c r="C5696" s="4">
        <v>129.284153019896</v>
      </c>
      <c r="D5696" s="45"/>
    </row>
    <row r="5697" spans="2:4" ht="16" thickBot="1" x14ac:dyDescent="0.25">
      <c r="B5697" s="5">
        <v>5692</v>
      </c>
      <c r="C5697" s="5">
        <v>169.98066381868693</v>
      </c>
      <c r="D5697" s="45"/>
    </row>
    <row r="5698" spans="2:4" ht="16" thickBot="1" x14ac:dyDescent="0.25">
      <c r="B5698" s="4">
        <v>5693</v>
      </c>
      <c r="C5698" s="4">
        <v>94.803019914971429</v>
      </c>
      <c r="D5698" s="45"/>
    </row>
    <row r="5699" spans="2:4" ht="16" thickBot="1" x14ac:dyDescent="0.25">
      <c r="B5699" s="5">
        <v>5694</v>
      </c>
      <c r="C5699" s="5">
        <v>178.57988977760266</v>
      </c>
      <c r="D5699" s="45"/>
    </row>
    <row r="5700" spans="2:4" ht="16" thickBot="1" x14ac:dyDescent="0.25">
      <c r="B5700" s="4">
        <v>5695</v>
      </c>
      <c r="C5700" s="4">
        <v>168.5377510092471</v>
      </c>
      <c r="D5700" s="45"/>
    </row>
    <row r="5701" spans="2:4" ht="16" thickBot="1" x14ac:dyDescent="0.25">
      <c r="B5701" s="5">
        <v>5696</v>
      </c>
      <c r="C5701" s="5">
        <v>134.71308564504747</v>
      </c>
      <c r="D5701" s="45"/>
    </row>
    <row r="5702" spans="2:4" ht="16" thickBot="1" x14ac:dyDescent="0.25">
      <c r="B5702" s="4">
        <v>5697</v>
      </c>
      <c r="C5702" s="4">
        <v>156.51642249707544</v>
      </c>
      <c r="D5702" s="45"/>
    </row>
    <row r="5703" spans="2:4" ht="16" thickBot="1" x14ac:dyDescent="0.25">
      <c r="B5703" s="5">
        <v>5698</v>
      </c>
      <c r="C5703" s="5">
        <v>270.51831209603245</v>
      </c>
      <c r="D5703" s="45"/>
    </row>
    <row r="5704" spans="2:4" ht="16" thickBot="1" x14ac:dyDescent="0.25">
      <c r="B5704" s="4">
        <v>5699</v>
      </c>
      <c r="C5704" s="4">
        <v>98.797681604508313</v>
      </c>
      <c r="D5704" s="45"/>
    </row>
    <row r="5705" spans="2:4" ht="16" thickBot="1" x14ac:dyDescent="0.25">
      <c r="B5705" s="5">
        <v>5700</v>
      </c>
      <c r="C5705" s="5">
        <v>317.50293307300984</v>
      </c>
      <c r="D5705" s="45"/>
    </row>
    <row r="5706" spans="2:4" ht="16" thickBot="1" x14ac:dyDescent="0.25">
      <c r="B5706" s="4">
        <v>5701</v>
      </c>
      <c r="C5706" s="4">
        <v>194.82096302677971</v>
      </c>
      <c r="D5706" s="45"/>
    </row>
    <row r="5707" spans="2:4" ht="16" thickBot="1" x14ac:dyDescent="0.25">
      <c r="B5707" s="5">
        <v>5702</v>
      </c>
      <c r="C5707" s="5">
        <v>128.56583170307425</v>
      </c>
      <c r="D5707" s="45"/>
    </row>
    <row r="5708" spans="2:4" ht="16" thickBot="1" x14ac:dyDescent="0.25">
      <c r="B5708" s="4">
        <v>5703</v>
      </c>
      <c r="C5708" s="4">
        <v>159.90093591522302</v>
      </c>
      <c r="D5708" s="45"/>
    </row>
    <row r="5709" spans="2:4" ht="16" thickBot="1" x14ac:dyDescent="0.25">
      <c r="B5709" s="5">
        <v>5704</v>
      </c>
      <c r="C5709" s="5">
        <v>161.49427608934459</v>
      </c>
      <c r="D5709" s="45"/>
    </row>
    <row r="5710" spans="2:4" ht="16" thickBot="1" x14ac:dyDescent="0.25">
      <c r="B5710" s="4">
        <v>5705</v>
      </c>
      <c r="C5710" s="4">
        <v>329.91565217020036</v>
      </c>
      <c r="D5710" s="45"/>
    </row>
    <row r="5711" spans="2:4" ht="16" thickBot="1" x14ac:dyDescent="0.25">
      <c r="B5711" s="5">
        <v>5706</v>
      </c>
      <c r="C5711" s="5">
        <v>152.10589092507141</v>
      </c>
      <c r="D5711" s="45"/>
    </row>
    <row r="5712" spans="2:4" ht="16" thickBot="1" x14ac:dyDescent="0.25">
      <c r="B5712" s="4">
        <v>5707</v>
      </c>
      <c r="C5712" s="4">
        <v>171.32562793267198</v>
      </c>
      <c r="D5712" s="45"/>
    </row>
    <row r="5713" spans="2:4" ht="16" thickBot="1" x14ac:dyDescent="0.25">
      <c r="B5713" s="5">
        <v>5708</v>
      </c>
      <c r="C5713" s="5">
        <v>135.69821918683186</v>
      </c>
      <c r="D5713" s="45"/>
    </row>
    <row r="5714" spans="2:4" ht="16" thickBot="1" x14ac:dyDescent="0.25">
      <c r="B5714" s="4">
        <v>5709</v>
      </c>
      <c r="C5714" s="4">
        <v>231.09455080107435</v>
      </c>
      <c r="D5714" s="45"/>
    </row>
    <row r="5715" spans="2:4" ht="16" thickBot="1" x14ac:dyDescent="0.25">
      <c r="B5715" s="5">
        <v>5710</v>
      </c>
      <c r="C5715" s="5">
        <v>173.16954296080306</v>
      </c>
      <c r="D5715" s="45"/>
    </row>
    <row r="5716" spans="2:4" ht="16" thickBot="1" x14ac:dyDescent="0.25">
      <c r="B5716" s="4">
        <v>5711</v>
      </c>
      <c r="C5716" s="4">
        <v>296.56595290492766</v>
      </c>
      <c r="D5716" s="45"/>
    </row>
    <row r="5717" spans="2:4" ht="16" thickBot="1" x14ac:dyDescent="0.25">
      <c r="B5717" s="5">
        <v>5712</v>
      </c>
      <c r="C5717" s="5">
        <v>196.36991498301731</v>
      </c>
      <c r="D5717" s="45"/>
    </row>
    <row r="5718" spans="2:4" ht="16" thickBot="1" x14ac:dyDescent="0.25">
      <c r="B5718" s="4">
        <v>5713</v>
      </c>
      <c r="C5718" s="4">
        <v>169.18050581263552</v>
      </c>
      <c r="D5718" s="45"/>
    </row>
    <row r="5719" spans="2:4" ht="16" thickBot="1" x14ac:dyDescent="0.25">
      <c r="B5719" s="5">
        <v>5714</v>
      </c>
      <c r="C5719" s="5">
        <v>197.598925842033</v>
      </c>
      <c r="D5719" s="45"/>
    </row>
    <row r="5720" spans="2:4" ht="16" thickBot="1" x14ac:dyDescent="0.25">
      <c r="B5720" s="4">
        <v>5715</v>
      </c>
      <c r="C5720" s="4">
        <v>108.19731613793266</v>
      </c>
      <c r="D5720" s="45"/>
    </row>
    <row r="5721" spans="2:4" ht="16" thickBot="1" x14ac:dyDescent="0.25">
      <c r="B5721" s="5">
        <v>5716</v>
      </c>
      <c r="C5721" s="5">
        <v>145.3410957842957</v>
      </c>
      <c r="D5721" s="45"/>
    </row>
    <row r="5722" spans="2:4" ht="16" thickBot="1" x14ac:dyDescent="0.25">
      <c r="B5722" s="4">
        <v>5717</v>
      </c>
      <c r="C5722" s="4">
        <v>466.47792183948411</v>
      </c>
      <c r="D5722" s="45"/>
    </row>
    <row r="5723" spans="2:4" ht="16" thickBot="1" x14ac:dyDescent="0.25">
      <c r="B5723" s="5">
        <v>5718</v>
      </c>
      <c r="C5723" s="5">
        <v>247.36954289861572</v>
      </c>
      <c r="D5723" s="45"/>
    </row>
    <row r="5724" spans="2:4" ht="16" thickBot="1" x14ac:dyDescent="0.25">
      <c r="B5724" s="4">
        <v>5719</v>
      </c>
      <c r="C5724" s="4">
        <v>94.744837609349489</v>
      </c>
      <c r="D5724" s="45"/>
    </row>
    <row r="5725" spans="2:4" ht="16" thickBot="1" x14ac:dyDescent="0.25">
      <c r="B5725" s="5">
        <v>5720</v>
      </c>
      <c r="C5725" s="5">
        <v>121.19102736432362</v>
      </c>
      <c r="D5725" s="45"/>
    </row>
    <row r="5726" spans="2:4" ht="16" thickBot="1" x14ac:dyDescent="0.25">
      <c r="B5726" s="4">
        <v>5721</v>
      </c>
      <c r="C5726" s="4">
        <v>260.15058001190334</v>
      </c>
      <c r="D5726" s="45"/>
    </row>
    <row r="5727" spans="2:4" ht="16" thickBot="1" x14ac:dyDescent="0.25">
      <c r="B5727" s="5">
        <v>5722</v>
      </c>
      <c r="C5727" s="5">
        <v>289.68766745179164</v>
      </c>
      <c r="D5727" s="45"/>
    </row>
    <row r="5728" spans="2:4" ht="16" thickBot="1" x14ac:dyDescent="0.25">
      <c r="B5728" s="4">
        <v>5723</v>
      </c>
      <c r="C5728" s="4">
        <v>205.93602807810132</v>
      </c>
      <c r="D5728" s="45"/>
    </row>
    <row r="5729" spans="2:4" ht="16" thickBot="1" x14ac:dyDescent="0.25">
      <c r="B5729" s="5">
        <v>5724</v>
      </c>
      <c r="C5729" s="5">
        <v>181.47138365682289</v>
      </c>
      <c r="D5729" s="45"/>
    </row>
    <row r="5730" spans="2:4" ht="16" thickBot="1" x14ac:dyDescent="0.25">
      <c r="B5730" s="4">
        <v>5725</v>
      </c>
      <c r="C5730" s="4">
        <v>261.28408349987711</v>
      </c>
      <c r="D5730" s="45"/>
    </row>
    <row r="5731" spans="2:4" ht="16" thickBot="1" x14ac:dyDescent="0.25">
      <c r="B5731" s="5">
        <v>5726</v>
      </c>
      <c r="C5731" s="5">
        <v>292.04229203627477</v>
      </c>
      <c r="D5731" s="45"/>
    </row>
    <row r="5732" spans="2:4" ht="16" thickBot="1" x14ac:dyDescent="0.25">
      <c r="B5732" s="4">
        <v>5727</v>
      </c>
      <c r="C5732" s="4">
        <v>95.000953435795566</v>
      </c>
      <c r="D5732" s="45"/>
    </row>
    <row r="5733" spans="2:4" ht="16" thickBot="1" x14ac:dyDescent="0.25">
      <c r="B5733" s="5">
        <v>5728</v>
      </c>
      <c r="C5733" s="5">
        <v>155.59032149292921</v>
      </c>
      <c r="D5733" s="45"/>
    </row>
    <row r="5734" spans="2:4" ht="16" thickBot="1" x14ac:dyDescent="0.25">
      <c r="B5734" s="4">
        <v>5729</v>
      </c>
      <c r="C5734" s="4">
        <v>134.89198998485588</v>
      </c>
      <c r="D5734" s="45"/>
    </row>
    <row r="5735" spans="2:4" ht="16" thickBot="1" x14ac:dyDescent="0.25">
      <c r="B5735" s="5">
        <v>5730</v>
      </c>
      <c r="C5735" s="5">
        <v>141.96502479840774</v>
      </c>
      <c r="D5735" s="45"/>
    </row>
    <row r="5736" spans="2:4" ht="16" thickBot="1" x14ac:dyDescent="0.25">
      <c r="B5736" s="4">
        <v>5731</v>
      </c>
      <c r="C5736" s="4">
        <v>198.00346113642638</v>
      </c>
      <c r="D5736" s="45"/>
    </row>
    <row r="5737" spans="2:4" ht="16" thickBot="1" x14ac:dyDescent="0.25">
      <c r="B5737" s="5">
        <v>5732</v>
      </c>
      <c r="C5737" s="5">
        <v>112.00880483961382</v>
      </c>
      <c r="D5737" s="45"/>
    </row>
    <row r="5738" spans="2:4" ht="16" thickBot="1" x14ac:dyDescent="0.25">
      <c r="B5738" s="4">
        <v>5733</v>
      </c>
      <c r="C5738" s="4">
        <v>620.20594522535885</v>
      </c>
      <c r="D5738" s="45"/>
    </row>
    <row r="5739" spans="2:4" ht="16" thickBot="1" x14ac:dyDescent="0.25">
      <c r="B5739" s="5">
        <v>5734</v>
      </c>
      <c r="C5739" s="5">
        <v>230.61649786032453</v>
      </c>
      <c r="D5739" s="45"/>
    </row>
    <row r="5740" spans="2:4" ht="16" thickBot="1" x14ac:dyDescent="0.25">
      <c r="B5740" s="4">
        <v>5735</v>
      </c>
      <c r="C5740" s="4">
        <v>398.90309688022973</v>
      </c>
      <c r="D5740" s="45"/>
    </row>
    <row r="5741" spans="2:4" ht="16" thickBot="1" x14ac:dyDescent="0.25">
      <c r="B5741" s="5">
        <v>5736</v>
      </c>
      <c r="C5741" s="5">
        <v>103.89836960919834</v>
      </c>
      <c r="D5741" s="45"/>
    </row>
    <row r="5742" spans="2:4" ht="16" thickBot="1" x14ac:dyDescent="0.25">
      <c r="B5742" s="4">
        <v>5737</v>
      </c>
      <c r="C5742" s="4">
        <v>114.93137279256058</v>
      </c>
      <c r="D5742" s="45"/>
    </row>
    <row r="5743" spans="2:4" ht="16" thickBot="1" x14ac:dyDescent="0.25">
      <c r="B5743" s="5">
        <v>5738</v>
      </c>
      <c r="C5743" s="5">
        <v>106.4254617793312</v>
      </c>
      <c r="D5743" s="45"/>
    </row>
    <row r="5744" spans="2:4" ht="16" thickBot="1" x14ac:dyDescent="0.25">
      <c r="B5744" s="4">
        <v>5739</v>
      </c>
      <c r="C5744" s="4">
        <v>176.11463060861234</v>
      </c>
      <c r="D5744" s="45"/>
    </row>
    <row r="5745" spans="2:4" ht="16" thickBot="1" x14ac:dyDescent="0.25">
      <c r="B5745" s="5">
        <v>5740</v>
      </c>
      <c r="C5745" s="5">
        <v>227.06091447572567</v>
      </c>
      <c r="D5745" s="45"/>
    </row>
    <row r="5746" spans="2:4" ht="16" thickBot="1" x14ac:dyDescent="0.25">
      <c r="B5746" s="4">
        <v>5741</v>
      </c>
      <c r="C5746" s="4">
        <v>56.596698546605026</v>
      </c>
      <c r="D5746" s="45"/>
    </row>
    <row r="5747" spans="2:4" ht="16" thickBot="1" x14ac:dyDescent="0.25">
      <c r="B5747" s="5">
        <v>5742</v>
      </c>
      <c r="C5747" s="5">
        <v>265.80645657414971</v>
      </c>
      <c r="D5747" s="45"/>
    </row>
    <row r="5748" spans="2:4" ht="16" thickBot="1" x14ac:dyDescent="0.25">
      <c r="B5748" s="4">
        <v>5743</v>
      </c>
      <c r="C5748" s="4">
        <v>119.66491398116577</v>
      </c>
      <c r="D5748" s="45"/>
    </row>
    <row r="5749" spans="2:4" ht="16" thickBot="1" x14ac:dyDescent="0.25">
      <c r="B5749" s="5">
        <v>5744</v>
      </c>
      <c r="C5749" s="5">
        <v>199.10326496597585</v>
      </c>
      <c r="D5749" s="45"/>
    </row>
    <row r="5750" spans="2:4" ht="16" thickBot="1" x14ac:dyDescent="0.25">
      <c r="B5750" s="4">
        <v>5745</v>
      </c>
      <c r="C5750" s="4">
        <v>177.14853942010876</v>
      </c>
      <c r="D5750" s="45"/>
    </row>
    <row r="5751" spans="2:4" ht="16" thickBot="1" x14ac:dyDescent="0.25">
      <c r="B5751" s="5">
        <v>5746</v>
      </c>
      <c r="C5751" s="5">
        <v>254.94807619002708</v>
      </c>
      <c r="D5751" s="45"/>
    </row>
    <row r="5752" spans="2:4" ht="16" thickBot="1" x14ac:dyDescent="0.25">
      <c r="B5752" s="4">
        <v>5747</v>
      </c>
      <c r="C5752" s="4">
        <v>219.7213975345818</v>
      </c>
      <c r="D5752" s="45"/>
    </row>
    <row r="5753" spans="2:4" ht="16" thickBot="1" x14ac:dyDescent="0.25">
      <c r="B5753" s="5">
        <v>5748</v>
      </c>
      <c r="C5753" s="5">
        <v>224.00168711492518</v>
      </c>
      <c r="D5753" s="45"/>
    </row>
    <row r="5754" spans="2:4" ht="16" thickBot="1" x14ac:dyDescent="0.25">
      <c r="B5754" s="4">
        <v>5749</v>
      </c>
      <c r="C5754" s="4">
        <v>141.27113610263072</v>
      </c>
      <c r="D5754" s="45"/>
    </row>
    <row r="5755" spans="2:4" ht="16" thickBot="1" x14ac:dyDescent="0.25">
      <c r="B5755" s="5">
        <v>5750</v>
      </c>
      <c r="C5755" s="5">
        <v>131.91871312973481</v>
      </c>
      <c r="D5755" s="45"/>
    </row>
    <row r="5756" spans="2:4" ht="16" thickBot="1" x14ac:dyDescent="0.25">
      <c r="B5756" s="4">
        <v>5751</v>
      </c>
      <c r="C5756" s="4">
        <v>131.49830250705315</v>
      </c>
      <c r="D5756" s="45"/>
    </row>
    <row r="5757" spans="2:4" ht="16" thickBot="1" x14ac:dyDescent="0.25">
      <c r="B5757" s="5">
        <v>5752</v>
      </c>
      <c r="C5757" s="5">
        <v>169.06366858999635</v>
      </c>
      <c r="D5757" s="45"/>
    </row>
    <row r="5758" spans="2:4" ht="16" thickBot="1" x14ac:dyDescent="0.25">
      <c r="B5758" s="4">
        <v>5753</v>
      </c>
      <c r="C5758" s="4">
        <v>177.9700940011958</v>
      </c>
      <c r="D5758" s="45"/>
    </row>
    <row r="5759" spans="2:4" ht="16" thickBot="1" x14ac:dyDescent="0.25">
      <c r="B5759" s="5">
        <v>5754</v>
      </c>
      <c r="C5759" s="5">
        <v>182.30524706189962</v>
      </c>
      <c r="D5759" s="45"/>
    </row>
    <row r="5760" spans="2:4" ht="16" thickBot="1" x14ac:dyDescent="0.25">
      <c r="B5760" s="4">
        <v>5755</v>
      </c>
      <c r="C5760" s="4">
        <v>77.754050385874265</v>
      </c>
      <c r="D5760" s="45"/>
    </row>
    <row r="5761" spans="2:4" ht="16" thickBot="1" x14ac:dyDescent="0.25">
      <c r="B5761" s="5">
        <v>5756</v>
      </c>
      <c r="C5761" s="5">
        <v>30.655904321095569</v>
      </c>
      <c r="D5761" s="45"/>
    </row>
    <row r="5762" spans="2:4" ht="16" thickBot="1" x14ac:dyDescent="0.25">
      <c r="B5762" s="4">
        <v>5757</v>
      </c>
      <c r="C5762" s="4">
        <v>278.79907498216977</v>
      </c>
      <c r="D5762" s="45"/>
    </row>
    <row r="5763" spans="2:4" ht="16" thickBot="1" x14ac:dyDescent="0.25">
      <c r="B5763" s="5">
        <v>5758</v>
      </c>
      <c r="C5763" s="5">
        <v>126.0233906655442</v>
      </c>
      <c r="D5763" s="45"/>
    </row>
    <row r="5764" spans="2:4" ht="16" thickBot="1" x14ac:dyDescent="0.25">
      <c r="B5764" s="4">
        <v>5759</v>
      </c>
      <c r="C5764" s="4">
        <v>190.83734656798444</v>
      </c>
      <c r="D5764" s="45"/>
    </row>
    <row r="5765" spans="2:4" ht="16" thickBot="1" x14ac:dyDescent="0.25">
      <c r="B5765" s="5">
        <v>5760</v>
      </c>
      <c r="C5765" s="5">
        <v>228.01516158716137</v>
      </c>
      <c r="D5765" s="45"/>
    </row>
    <row r="5766" spans="2:4" ht="16" thickBot="1" x14ac:dyDescent="0.25">
      <c r="B5766" s="4">
        <v>5761</v>
      </c>
      <c r="C5766" s="4">
        <v>112.66524236032537</v>
      </c>
      <c r="D5766" s="45"/>
    </row>
    <row r="5767" spans="2:4" ht="16" thickBot="1" x14ac:dyDescent="0.25">
      <c r="B5767" s="5">
        <v>5762</v>
      </c>
      <c r="C5767" s="5">
        <v>226.49721365631663</v>
      </c>
      <c r="D5767" s="45"/>
    </row>
    <row r="5768" spans="2:4" ht="16" thickBot="1" x14ac:dyDescent="0.25">
      <c r="B5768" s="4">
        <v>5763</v>
      </c>
      <c r="C5768" s="4">
        <v>202.28445479940839</v>
      </c>
      <c r="D5768" s="45"/>
    </row>
    <row r="5769" spans="2:4" ht="16" thickBot="1" x14ac:dyDescent="0.25">
      <c r="B5769" s="5">
        <v>5764</v>
      </c>
      <c r="C5769" s="5">
        <v>368.11020679663721</v>
      </c>
      <c r="D5769" s="45"/>
    </row>
    <row r="5770" spans="2:4" ht="16" thickBot="1" x14ac:dyDescent="0.25">
      <c r="B5770" s="4">
        <v>5765</v>
      </c>
      <c r="C5770" s="4">
        <v>226.12187981011471</v>
      </c>
      <c r="D5770" s="45"/>
    </row>
    <row r="5771" spans="2:4" ht="16" thickBot="1" x14ac:dyDescent="0.25">
      <c r="B5771" s="5">
        <v>5766</v>
      </c>
      <c r="C5771" s="5">
        <v>138.13374060374221</v>
      </c>
      <c r="D5771" s="45"/>
    </row>
    <row r="5772" spans="2:4" ht="16" thickBot="1" x14ac:dyDescent="0.25">
      <c r="B5772" s="4">
        <v>5767</v>
      </c>
      <c r="C5772" s="4">
        <v>105.3141854604474</v>
      </c>
      <c r="D5772" s="45"/>
    </row>
    <row r="5773" spans="2:4" ht="16" thickBot="1" x14ac:dyDescent="0.25">
      <c r="B5773" s="5">
        <v>5768</v>
      </c>
      <c r="C5773" s="5">
        <v>171.43215027476262</v>
      </c>
      <c r="D5773" s="45"/>
    </row>
    <row r="5774" spans="2:4" ht="16" thickBot="1" x14ac:dyDescent="0.25">
      <c r="B5774" s="4">
        <v>5769</v>
      </c>
      <c r="C5774" s="4">
        <v>202.79229137805726</v>
      </c>
      <c r="D5774" s="45"/>
    </row>
    <row r="5775" spans="2:4" ht="16" thickBot="1" x14ac:dyDescent="0.25">
      <c r="B5775" s="5">
        <v>5770</v>
      </c>
      <c r="C5775" s="5">
        <v>102.42775455878471</v>
      </c>
      <c r="D5775" s="45"/>
    </row>
    <row r="5776" spans="2:4" ht="16" thickBot="1" x14ac:dyDescent="0.25">
      <c r="B5776" s="4">
        <v>5771</v>
      </c>
      <c r="C5776" s="4">
        <v>445.99132043680009</v>
      </c>
      <c r="D5776" s="45"/>
    </row>
    <row r="5777" spans="2:4" ht="16" thickBot="1" x14ac:dyDescent="0.25">
      <c r="B5777" s="5">
        <v>5772</v>
      </c>
      <c r="C5777" s="5">
        <v>157.35014448240631</v>
      </c>
      <c r="D5777" s="45"/>
    </row>
    <row r="5778" spans="2:4" ht="16" thickBot="1" x14ac:dyDescent="0.25">
      <c r="B5778" s="4">
        <v>5773</v>
      </c>
      <c r="C5778" s="4">
        <v>84.100722164593535</v>
      </c>
      <c r="D5778" s="45"/>
    </row>
    <row r="5779" spans="2:4" ht="16" thickBot="1" x14ac:dyDescent="0.25">
      <c r="B5779" s="5">
        <v>5774</v>
      </c>
      <c r="C5779" s="5">
        <v>252.14952676906847</v>
      </c>
      <c r="D5779" s="45"/>
    </row>
    <row r="5780" spans="2:4" ht="16" thickBot="1" x14ac:dyDescent="0.25">
      <c r="B5780" s="4">
        <v>5775</v>
      </c>
      <c r="C5780" s="4">
        <v>141.00547652058754</v>
      </c>
      <c r="D5780" s="45"/>
    </row>
    <row r="5781" spans="2:4" ht="16" thickBot="1" x14ac:dyDescent="0.25">
      <c r="B5781" s="5">
        <v>5776</v>
      </c>
      <c r="C5781" s="5">
        <v>202.69449921231788</v>
      </c>
      <c r="D5781" s="45"/>
    </row>
    <row r="5782" spans="2:4" ht="16" thickBot="1" x14ac:dyDescent="0.25">
      <c r="B5782" s="4">
        <v>5777</v>
      </c>
      <c r="C5782" s="4">
        <v>237.43248717695084</v>
      </c>
      <c r="D5782" s="45"/>
    </row>
    <row r="5783" spans="2:4" ht="16" thickBot="1" x14ac:dyDescent="0.25">
      <c r="B5783" s="5">
        <v>5778</v>
      </c>
      <c r="C5783" s="5">
        <v>105.04782765896768</v>
      </c>
      <c r="D5783" s="45"/>
    </row>
    <row r="5784" spans="2:4" ht="16" thickBot="1" x14ac:dyDescent="0.25">
      <c r="B5784" s="4">
        <v>5779</v>
      </c>
      <c r="C5784" s="4">
        <v>78.89053003367961</v>
      </c>
      <c r="D5784" s="45"/>
    </row>
    <row r="5785" spans="2:4" ht="16" thickBot="1" x14ac:dyDescent="0.25">
      <c r="B5785" s="5">
        <v>5780</v>
      </c>
      <c r="C5785" s="5">
        <v>106.93103375544133</v>
      </c>
      <c r="D5785" s="45"/>
    </row>
    <row r="5786" spans="2:4" ht="16" thickBot="1" x14ac:dyDescent="0.25">
      <c r="B5786" s="4">
        <v>5781</v>
      </c>
      <c r="C5786" s="4">
        <v>176.50348475531931</v>
      </c>
      <c r="D5786" s="45"/>
    </row>
    <row r="5787" spans="2:4" ht="16" thickBot="1" x14ac:dyDescent="0.25">
      <c r="B5787" s="5">
        <v>5782</v>
      </c>
      <c r="C5787" s="5">
        <v>299.63640571831775</v>
      </c>
      <c r="D5787" s="45"/>
    </row>
    <row r="5788" spans="2:4" ht="16" thickBot="1" x14ac:dyDescent="0.25">
      <c r="B5788" s="4">
        <v>5783</v>
      </c>
      <c r="C5788" s="4">
        <v>141.74752240479535</v>
      </c>
      <c r="D5788" s="45"/>
    </row>
    <row r="5789" spans="2:4" ht="16" thickBot="1" x14ac:dyDescent="0.25">
      <c r="B5789" s="5">
        <v>5784</v>
      </c>
      <c r="C5789" s="5">
        <v>264.16412789571092</v>
      </c>
      <c r="D5789" s="45"/>
    </row>
    <row r="5790" spans="2:4" ht="16" thickBot="1" x14ac:dyDescent="0.25">
      <c r="B5790" s="4">
        <v>5785</v>
      </c>
      <c r="C5790" s="4">
        <v>135.30824025548614</v>
      </c>
      <c r="D5790" s="45"/>
    </row>
    <row r="5791" spans="2:4" ht="16" thickBot="1" x14ac:dyDescent="0.25">
      <c r="B5791" s="5">
        <v>5786</v>
      </c>
      <c r="C5791" s="5">
        <v>166.58224872572814</v>
      </c>
      <c r="D5791" s="45"/>
    </row>
    <row r="5792" spans="2:4" ht="16" thickBot="1" x14ac:dyDescent="0.25">
      <c r="B5792" s="4">
        <v>5787</v>
      </c>
      <c r="C5792" s="4">
        <v>164.50391669527863</v>
      </c>
      <c r="D5792" s="45"/>
    </row>
    <row r="5793" spans="2:4" ht="16" thickBot="1" x14ac:dyDescent="0.25">
      <c r="B5793" s="5">
        <v>5788</v>
      </c>
      <c r="C5793" s="5">
        <v>285.1592303458969</v>
      </c>
      <c r="D5793" s="45"/>
    </row>
    <row r="5794" spans="2:4" ht="16" thickBot="1" x14ac:dyDescent="0.25">
      <c r="B5794" s="4">
        <v>5789</v>
      </c>
      <c r="C5794" s="4">
        <v>276.94273761440536</v>
      </c>
      <c r="D5794" s="45"/>
    </row>
    <row r="5795" spans="2:4" ht="16" thickBot="1" x14ac:dyDescent="0.25">
      <c r="B5795" s="5">
        <v>5790</v>
      </c>
      <c r="C5795" s="5">
        <v>122.03167654337125</v>
      </c>
      <c r="D5795" s="45"/>
    </row>
    <row r="5796" spans="2:4" ht="16" thickBot="1" x14ac:dyDescent="0.25">
      <c r="B5796" s="4">
        <v>5791</v>
      </c>
      <c r="C5796" s="4">
        <v>78.904526750612519</v>
      </c>
      <c r="D5796" s="45"/>
    </row>
    <row r="5797" spans="2:4" ht="16" thickBot="1" x14ac:dyDescent="0.25">
      <c r="B5797" s="5">
        <v>5792</v>
      </c>
      <c r="C5797" s="5">
        <v>130.44526931481221</v>
      </c>
      <c r="D5797" s="45"/>
    </row>
    <row r="5798" spans="2:4" ht="16" thickBot="1" x14ac:dyDescent="0.25">
      <c r="B5798" s="4">
        <v>5793</v>
      </c>
      <c r="C5798" s="4">
        <v>208.09616955912949</v>
      </c>
      <c r="D5798" s="45"/>
    </row>
    <row r="5799" spans="2:4" ht="16" thickBot="1" x14ac:dyDescent="0.25">
      <c r="B5799" s="5">
        <v>5794</v>
      </c>
      <c r="C5799" s="5">
        <v>158.19506145053455</v>
      </c>
      <c r="D5799" s="45"/>
    </row>
    <row r="5800" spans="2:4" ht="16" thickBot="1" x14ac:dyDescent="0.25">
      <c r="B5800" s="4">
        <v>5795</v>
      </c>
      <c r="C5800" s="4">
        <v>229.46595237013346</v>
      </c>
      <c r="D5800" s="45"/>
    </row>
    <row r="5801" spans="2:4" ht="16" thickBot="1" x14ac:dyDescent="0.25">
      <c r="B5801" s="5">
        <v>5796</v>
      </c>
      <c r="C5801" s="5">
        <v>179.41698646899346</v>
      </c>
      <c r="D5801" s="45"/>
    </row>
    <row r="5802" spans="2:4" ht="16" thickBot="1" x14ac:dyDescent="0.25">
      <c r="B5802" s="4">
        <v>5797</v>
      </c>
      <c r="C5802" s="4">
        <v>160.47007236298623</v>
      </c>
      <c r="D5802" s="45"/>
    </row>
    <row r="5803" spans="2:4" ht="16" thickBot="1" x14ac:dyDescent="0.25">
      <c r="B5803" s="5">
        <v>5798</v>
      </c>
      <c r="C5803" s="5">
        <v>160.43411396698454</v>
      </c>
      <c r="D5803" s="45"/>
    </row>
    <row r="5804" spans="2:4" ht="16" thickBot="1" x14ac:dyDescent="0.25">
      <c r="B5804" s="4">
        <v>5799</v>
      </c>
      <c r="C5804" s="4">
        <v>221.67515140911189</v>
      </c>
      <c r="D5804" s="45"/>
    </row>
    <row r="5805" spans="2:4" ht="16" thickBot="1" x14ac:dyDescent="0.25">
      <c r="B5805" s="5">
        <v>5800</v>
      </c>
      <c r="C5805" s="5">
        <v>139.59401400452086</v>
      </c>
      <c r="D5805" s="45"/>
    </row>
    <row r="5806" spans="2:4" ht="16" thickBot="1" x14ac:dyDescent="0.25">
      <c r="B5806" s="4">
        <v>5801</v>
      </c>
      <c r="C5806" s="4">
        <v>175.904013222922</v>
      </c>
      <c r="D5806" s="45"/>
    </row>
    <row r="5807" spans="2:4" ht="16" thickBot="1" x14ac:dyDescent="0.25">
      <c r="B5807" s="5">
        <v>5802</v>
      </c>
      <c r="C5807" s="5">
        <v>86.352850996436786</v>
      </c>
      <c r="D5807" s="45"/>
    </row>
    <row r="5808" spans="2:4" ht="16" thickBot="1" x14ac:dyDescent="0.25">
      <c r="B5808" s="4">
        <v>5803</v>
      </c>
      <c r="C5808" s="4">
        <v>125.37616792012312</v>
      </c>
      <c r="D5808" s="45"/>
    </row>
    <row r="5809" spans="2:4" ht="16" thickBot="1" x14ac:dyDescent="0.25">
      <c r="B5809" s="5">
        <v>5804</v>
      </c>
      <c r="C5809" s="5">
        <v>118.64272032325306</v>
      </c>
      <c r="D5809" s="45"/>
    </row>
    <row r="5810" spans="2:4" ht="16" thickBot="1" x14ac:dyDescent="0.25">
      <c r="B5810" s="4">
        <v>5805</v>
      </c>
      <c r="C5810" s="4">
        <v>229.78536151477851</v>
      </c>
      <c r="D5810" s="45"/>
    </row>
    <row r="5811" spans="2:4" ht="16" thickBot="1" x14ac:dyDescent="0.25">
      <c r="B5811" s="5">
        <v>5806</v>
      </c>
      <c r="C5811" s="5">
        <v>117.5532125421561</v>
      </c>
      <c r="D5811" s="45"/>
    </row>
    <row r="5812" spans="2:4" ht="16" thickBot="1" x14ac:dyDescent="0.25">
      <c r="B5812" s="4">
        <v>5807</v>
      </c>
      <c r="C5812" s="4">
        <v>72.945315713265444</v>
      </c>
      <c r="D5812" s="45"/>
    </row>
    <row r="5813" spans="2:4" ht="16" thickBot="1" x14ac:dyDescent="0.25">
      <c r="B5813" s="5">
        <v>5808</v>
      </c>
      <c r="C5813" s="5">
        <v>269.07729451751317</v>
      </c>
      <c r="D5813" s="45"/>
    </row>
    <row r="5814" spans="2:4" ht="16" thickBot="1" x14ac:dyDescent="0.25">
      <c r="B5814" s="4">
        <v>5809</v>
      </c>
      <c r="C5814" s="4">
        <v>138.49652573629683</v>
      </c>
      <c r="D5814" s="45"/>
    </row>
    <row r="5815" spans="2:4" ht="16" thickBot="1" x14ac:dyDescent="0.25">
      <c r="B5815" s="5">
        <v>5810</v>
      </c>
      <c r="C5815" s="5">
        <v>179.08468369607041</v>
      </c>
      <c r="D5815" s="45"/>
    </row>
    <row r="5816" spans="2:4" ht="16" thickBot="1" x14ac:dyDescent="0.25">
      <c r="B5816" s="4">
        <v>5811</v>
      </c>
      <c r="C5816" s="4">
        <v>315.822306357922</v>
      </c>
      <c r="D5816" s="45"/>
    </row>
    <row r="5817" spans="2:4" ht="16" thickBot="1" x14ac:dyDescent="0.25">
      <c r="B5817" s="5">
        <v>5812</v>
      </c>
      <c r="C5817" s="5">
        <v>164.75580966383794</v>
      </c>
      <c r="D5817" s="45"/>
    </row>
    <row r="5818" spans="2:4" ht="16" thickBot="1" x14ac:dyDescent="0.25">
      <c r="B5818" s="4">
        <v>5813</v>
      </c>
      <c r="C5818" s="4">
        <v>168.18033693978424</v>
      </c>
      <c r="D5818" s="45"/>
    </row>
    <row r="5819" spans="2:4" ht="16" thickBot="1" x14ac:dyDescent="0.25">
      <c r="B5819" s="5">
        <v>5814</v>
      </c>
      <c r="C5819" s="5">
        <v>111.53308616754316</v>
      </c>
      <c r="D5819" s="45"/>
    </row>
    <row r="5820" spans="2:4" ht="16" thickBot="1" x14ac:dyDescent="0.25">
      <c r="B5820" s="4">
        <v>5815</v>
      </c>
      <c r="C5820" s="4">
        <v>279.79821596933431</v>
      </c>
      <c r="D5820" s="45"/>
    </row>
    <row r="5821" spans="2:4" ht="16" thickBot="1" x14ac:dyDescent="0.25">
      <c r="B5821" s="5">
        <v>5816</v>
      </c>
      <c r="C5821" s="5">
        <v>125.48264794626012</v>
      </c>
      <c r="D5821" s="45"/>
    </row>
    <row r="5822" spans="2:4" ht="16" thickBot="1" x14ac:dyDescent="0.25">
      <c r="B5822" s="4">
        <v>5817</v>
      </c>
      <c r="C5822" s="4">
        <v>94.833740706325358</v>
      </c>
      <c r="D5822" s="45"/>
    </row>
    <row r="5823" spans="2:4" ht="16" thickBot="1" x14ac:dyDescent="0.25">
      <c r="B5823" s="5">
        <v>5818</v>
      </c>
      <c r="C5823" s="5">
        <v>172.92091299231808</v>
      </c>
      <c r="D5823" s="45"/>
    </row>
    <row r="5824" spans="2:4" ht="16" thickBot="1" x14ac:dyDescent="0.25">
      <c r="B5824" s="4">
        <v>5819</v>
      </c>
      <c r="C5824" s="4">
        <v>40.607597081909887</v>
      </c>
      <c r="D5824" s="45"/>
    </row>
    <row r="5825" spans="2:4" ht="16" thickBot="1" x14ac:dyDescent="0.25">
      <c r="B5825" s="5">
        <v>5820</v>
      </c>
      <c r="C5825" s="5">
        <v>214.64338189177889</v>
      </c>
      <c r="D5825" s="45"/>
    </row>
    <row r="5826" spans="2:4" ht="16" thickBot="1" x14ac:dyDescent="0.25">
      <c r="B5826" s="4">
        <v>5821</v>
      </c>
      <c r="C5826" s="4">
        <v>62.24587126774648</v>
      </c>
      <c r="D5826" s="45"/>
    </row>
    <row r="5827" spans="2:4" ht="16" thickBot="1" x14ac:dyDescent="0.25">
      <c r="B5827" s="5">
        <v>5822</v>
      </c>
      <c r="C5827" s="5">
        <v>105.77060561680918</v>
      </c>
      <c r="D5827" s="45"/>
    </row>
    <row r="5828" spans="2:4" ht="16" thickBot="1" x14ac:dyDescent="0.25">
      <c r="B5828" s="4">
        <v>5823</v>
      </c>
      <c r="C5828" s="4">
        <v>124.71134786192881</v>
      </c>
      <c r="D5828" s="45"/>
    </row>
    <row r="5829" spans="2:4" ht="16" thickBot="1" x14ac:dyDescent="0.25">
      <c r="B5829" s="5">
        <v>5824</v>
      </c>
      <c r="C5829" s="5">
        <v>102.04876759716396</v>
      </c>
      <c r="D5829" s="45"/>
    </row>
    <row r="5830" spans="2:4" ht="16" thickBot="1" x14ac:dyDescent="0.25">
      <c r="B5830" s="4">
        <v>5825</v>
      </c>
      <c r="C5830" s="4">
        <v>480.43586121175827</v>
      </c>
      <c r="D5830" s="45"/>
    </row>
    <row r="5831" spans="2:4" ht="16" thickBot="1" x14ac:dyDescent="0.25">
      <c r="B5831" s="5">
        <v>5826</v>
      </c>
      <c r="C5831" s="5">
        <v>203.20686180867511</v>
      </c>
      <c r="D5831" s="45"/>
    </row>
    <row r="5832" spans="2:4" ht="16" thickBot="1" x14ac:dyDescent="0.25">
      <c r="B5832" s="4">
        <v>5827</v>
      </c>
      <c r="C5832" s="4">
        <v>128.55765225050297</v>
      </c>
      <c r="D5832" s="45"/>
    </row>
    <row r="5833" spans="2:4" ht="16" thickBot="1" x14ac:dyDescent="0.25">
      <c r="B5833" s="5">
        <v>5828</v>
      </c>
      <c r="C5833" s="5">
        <v>58.917232123023489</v>
      </c>
      <c r="D5833" s="45"/>
    </row>
    <row r="5834" spans="2:4" ht="16" thickBot="1" x14ac:dyDescent="0.25">
      <c r="B5834" s="4">
        <v>5829</v>
      </c>
      <c r="C5834" s="4">
        <v>499.54270544542328</v>
      </c>
      <c r="D5834" s="45"/>
    </row>
    <row r="5835" spans="2:4" ht="16" thickBot="1" x14ac:dyDescent="0.25">
      <c r="B5835" s="5">
        <v>5830</v>
      </c>
      <c r="C5835" s="5">
        <v>299.70743093666761</v>
      </c>
      <c r="D5835" s="45"/>
    </row>
    <row r="5836" spans="2:4" ht="16" thickBot="1" x14ac:dyDescent="0.25">
      <c r="B5836" s="4">
        <v>5831</v>
      </c>
      <c r="C5836" s="4">
        <v>169.59578249051276</v>
      </c>
      <c r="D5836" s="45"/>
    </row>
    <row r="5837" spans="2:4" ht="16" thickBot="1" x14ac:dyDescent="0.25">
      <c r="B5837" s="5">
        <v>5832</v>
      </c>
      <c r="C5837" s="5">
        <v>200.85022816999714</v>
      </c>
      <c r="D5837" s="45"/>
    </row>
    <row r="5838" spans="2:4" ht="16" thickBot="1" x14ac:dyDescent="0.25">
      <c r="B5838" s="4">
        <v>5833</v>
      </c>
      <c r="C5838" s="4">
        <v>91.979158324035851</v>
      </c>
      <c r="D5838" s="45"/>
    </row>
    <row r="5839" spans="2:4" ht="16" thickBot="1" x14ac:dyDescent="0.25">
      <c r="B5839" s="5">
        <v>5834</v>
      </c>
      <c r="C5839" s="5">
        <v>95.471660083132917</v>
      </c>
      <c r="D5839" s="45"/>
    </row>
    <row r="5840" spans="2:4" ht="16" thickBot="1" x14ac:dyDescent="0.25">
      <c r="B5840" s="4">
        <v>5835</v>
      </c>
      <c r="C5840" s="4">
        <v>192.97521463724834</v>
      </c>
      <c r="D5840" s="45"/>
    </row>
    <row r="5841" spans="2:4" ht="16" thickBot="1" x14ac:dyDescent="0.25">
      <c r="B5841" s="5">
        <v>5836</v>
      </c>
      <c r="C5841" s="5">
        <v>137.60557639173791</v>
      </c>
      <c r="D5841" s="45"/>
    </row>
    <row r="5842" spans="2:4" ht="16" thickBot="1" x14ac:dyDescent="0.25">
      <c r="B5842" s="4">
        <v>5837</v>
      </c>
      <c r="C5842" s="4">
        <v>138.20141494156599</v>
      </c>
      <c r="D5842" s="45"/>
    </row>
    <row r="5843" spans="2:4" ht="16" thickBot="1" x14ac:dyDescent="0.25">
      <c r="B5843" s="5">
        <v>5838</v>
      </c>
      <c r="C5843" s="5">
        <v>508.24021530956094</v>
      </c>
      <c r="D5843" s="45"/>
    </row>
    <row r="5844" spans="2:4" ht="16" thickBot="1" x14ac:dyDescent="0.25">
      <c r="B5844" s="4">
        <v>5839</v>
      </c>
      <c r="C5844" s="4">
        <v>83.228091023990061</v>
      </c>
      <c r="D5844" s="45"/>
    </row>
    <row r="5845" spans="2:4" ht="16" thickBot="1" x14ac:dyDescent="0.25">
      <c r="B5845" s="5">
        <v>5840</v>
      </c>
      <c r="C5845" s="5">
        <v>149.71417173928887</v>
      </c>
      <c r="D5845" s="45"/>
    </row>
    <row r="5846" spans="2:4" ht="16" thickBot="1" x14ac:dyDescent="0.25">
      <c r="B5846" s="4">
        <v>5841</v>
      </c>
      <c r="C5846" s="4">
        <v>170.92577517502426</v>
      </c>
      <c r="D5846" s="45"/>
    </row>
    <row r="5847" spans="2:4" ht="16" thickBot="1" x14ac:dyDescent="0.25">
      <c r="B5847" s="5">
        <v>5842</v>
      </c>
      <c r="C5847" s="5">
        <v>122.09537589201649</v>
      </c>
      <c r="D5847" s="45"/>
    </row>
    <row r="5848" spans="2:4" ht="16" thickBot="1" x14ac:dyDescent="0.25">
      <c r="B5848" s="4">
        <v>5843</v>
      </c>
      <c r="C5848" s="4">
        <v>341.46733337730234</v>
      </c>
      <c r="D5848" s="45"/>
    </row>
    <row r="5849" spans="2:4" ht="16" thickBot="1" x14ac:dyDescent="0.25">
      <c r="B5849" s="5">
        <v>5844</v>
      </c>
      <c r="C5849" s="5">
        <v>262.9374889791095</v>
      </c>
      <c r="D5849" s="45"/>
    </row>
    <row r="5850" spans="2:4" ht="16" thickBot="1" x14ac:dyDescent="0.25">
      <c r="B5850" s="4">
        <v>5845</v>
      </c>
      <c r="C5850" s="4">
        <v>94.917285950589772</v>
      </c>
      <c r="D5850" s="45"/>
    </row>
    <row r="5851" spans="2:4" ht="16" thickBot="1" x14ac:dyDescent="0.25">
      <c r="B5851" s="5">
        <v>5846</v>
      </c>
      <c r="C5851" s="5">
        <v>408.59470095187646</v>
      </c>
      <c r="D5851" s="45"/>
    </row>
    <row r="5852" spans="2:4" ht="16" thickBot="1" x14ac:dyDescent="0.25">
      <c r="B5852" s="4">
        <v>5847</v>
      </c>
      <c r="C5852" s="4">
        <v>89.179153468363296</v>
      </c>
      <c r="D5852" s="45"/>
    </row>
    <row r="5853" spans="2:4" ht="16" thickBot="1" x14ac:dyDescent="0.25">
      <c r="B5853" s="5">
        <v>5848</v>
      </c>
      <c r="C5853" s="5">
        <v>388.50521610229276</v>
      </c>
      <c r="D5853" s="45"/>
    </row>
    <row r="5854" spans="2:4" ht="16" thickBot="1" x14ac:dyDescent="0.25">
      <c r="B5854" s="4">
        <v>5849</v>
      </c>
      <c r="C5854" s="4">
        <v>146.55755595453675</v>
      </c>
      <c r="D5854" s="45"/>
    </row>
    <row r="5855" spans="2:4" ht="16" thickBot="1" x14ac:dyDescent="0.25">
      <c r="B5855" s="5">
        <v>5850</v>
      </c>
      <c r="C5855" s="5">
        <v>157.17045599951166</v>
      </c>
      <c r="D5855" s="45"/>
    </row>
    <row r="5856" spans="2:4" ht="16" thickBot="1" x14ac:dyDescent="0.25">
      <c r="B5856" s="4">
        <v>5851</v>
      </c>
      <c r="C5856" s="4">
        <v>392.82318729190996</v>
      </c>
      <c r="D5856" s="45"/>
    </row>
    <row r="5857" spans="2:4" ht="16" thickBot="1" x14ac:dyDescent="0.25">
      <c r="B5857" s="5">
        <v>5852</v>
      </c>
      <c r="C5857" s="5">
        <v>248.46455344685316</v>
      </c>
      <c r="D5857" s="45"/>
    </row>
    <row r="5858" spans="2:4" ht="16" thickBot="1" x14ac:dyDescent="0.25">
      <c r="B5858" s="4">
        <v>5853</v>
      </c>
      <c r="C5858" s="4">
        <v>144.79140521570764</v>
      </c>
      <c r="D5858" s="45"/>
    </row>
    <row r="5859" spans="2:4" ht="16" thickBot="1" x14ac:dyDescent="0.25">
      <c r="B5859" s="5">
        <v>5854</v>
      </c>
      <c r="C5859" s="5">
        <v>490.6406991494419</v>
      </c>
      <c r="D5859" s="45"/>
    </row>
    <row r="5860" spans="2:4" ht="16" thickBot="1" x14ac:dyDescent="0.25">
      <c r="B5860" s="4">
        <v>5855</v>
      </c>
      <c r="C5860" s="4">
        <v>153.85865419031589</v>
      </c>
      <c r="D5860" s="45"/>
    </row>
    <row r="5861" spans="2:4" ht="16" thickBot="1" x14ac:dyDescent="0.25">
      <c r="B5861" s="5">
        <v>5856</v>
      </c>
      <c r="C5861" s="5">
        <v>200.77169493561041</v>
      </c>
      <c r="D5861" s="45"/>
    </row>
    <row r="5862" spans="2:4" ht="16" thickBot="1" x14ac:dyDescent="0.25">
      <c r="B5862" s="4">
        <v>5857</v>
      </c>
      <c r="C5862" s="4">
        <v>129.96018712048146</v>
      </c>
      <c r="D5862" s="45"/>
    </row>
    <row r="5863" spans="2:4" ht="16" thickBot="1" x14ac:dyDescent="0.25">
      <c r="B5863" s="5">
        <v>5858</v>
      </c>
      <c r="C5863" s="5">
        <v>430.90134088239819</v>
      </c>
      <c r="D5863" s="45"/>
    </row>
    <row r="5864" spans="2:4" ht="16" thickBot="1" x14ac:dyDescent="0.25">
      <c r="B5864" s="4">
        <v>5859</v>
      </c>
      <c r="C5864" s="4">
        <v>307.3273776823051</v>
      </c>
      <c r="D5864" s="45"/>
    </row>
    <row r="5865" spans="2:4" ht="16" thickBot="1" x14ac:dyDescent="0.25">
      <c r="B5865" s="5">
        <v>5860</v>
      </c>
      <c r="C5865" s="5">
        <v>53.087789846081989</v>
      </c>
      <c r="D5865" s="45"/>
    </row>
    <row r="5866" spans="2:4" ht="16" thickBot="1" x14ac:dyDescent="0.25">
      <c r="B5866" s="4">
        <v>5861</v>
      </c>
      <c r="C5866" s="4">
        <v>66.579644847632579</v>
      </c>
      <c r="D5866" s="45"/>
    </row>
    <row r="5867" spans="2:4" ht="16" thickBot="1" x14ac:dyDescent="0.25">
      <c r="B5867" s="5">
        <v>5862</v>
      </c>
      <c r="C5867" s="5">
        <v>665.82719492647925</v>
      </c>
      <c r="D5867" s="45"/>
    </row>
    <row r="5868" spans="2:4" ht="16" thickBot="1" x14ac:dyDescent="0.25">
      <c r="B5868" s="4">
        <v>5863</v>
      </c>
      <c r="C5868" s="4">
        <v>399.66560542718548</v>
      </c>
      <c r="D5868" s="45"/>
    </row>
    <row r="5869" spans="2:4" ht="16" thickBot="1" x14ac:dyDescent="0.25">
      <c r="B5869" s="5">
        <v>5864</v>
      </c>
      <c r="C5869" s="5">
        <v>91.535094674974204</v>
      </c>
      <c r="D5869" s="45"/>
    </row>
    <row r="5870" spans="2:4" ht="16" thickBot="1" x14ac:dyDescent="0.25">
      <c r="B5870" s="4">
        <v>5865</v>
      </c>
      <c r="C5870" s="4">
        <v>78.206727826975808</v>
      </c>
      <c r="D5870" s="45"/>
    </row>
    <row r="5871" spans="2:4" ht="16" thickBot="1" x14ac:dyDescent="0.25">
      <c r="B5871" s="5">
        <v>5866</v>
      </c>
      <c r="C5871" s="5">
        <v>207.08521605895479</v>
      </c>
      <c r="D5871" s="45"/>
    </row>
    <row r="5872" spans="2:4" ht="16" thickBot="1" x14ac:dyDescent="0.25">
      <c r="B5872" s="4">
        <v>5867</v>
      </c>
      <c r="C5872" s="4">
        <v>164.09091434985442</v>
      </c>
      <c r="D5872" s="45"/>
    </row>
    <row r="5873" spans="2:4" ht="16" thickBot="1" x14ac:dyDescent="0.25">
      <c r="B5873" s="5">
        <v>5868</v>
      </c>
      <c r="C5873" s="5">
        <v>123.54303493863222</v>
      </c>
      <c r="D5873" s="45"/>
    </row>
    <row r="5874" spans="2:4" ht="16" thickBot="1" x14ac:dyDescent="0.25">
      <c r="B5874" s="4">
        <v>5869</v>
      </c>
      <c r="C5874" s="4">
        <v>216.37495616681545</v>
      </c>
      <c r="D5874" s="45"/>
    </row>
    <row r="5875" spans="2:4" ht="16" thickBot="1" x14ac:dyDescent="0.25">
      <c r="B5875" s="5">
        <v>5870</v>
      </c>
      <c r="C5875" s="5">
        <v>190.24964393713068</v>
      </c>
      <c r="D5875" s="45"/>
    </row>
    <row r="5876" spans="2:4" ht="16" thickBot="1" x14ac:dyDescent="0.25">
      <c r="B5876" s="4">
        <v>5871</v>
      </c>
      <c r="C5876" s="4">
        <v>149.17522125412546</v>
      </c>
      <c r="D5876" s="45"/>
    </row>
    <row r="5877" spans="2:4" ht="16" thickBot="1" x14ac:dyDescent="0.25">
      <c r="B5877" s="5">
        <v>5872</v>
      </c>
      <c r="C5877" s="5">
        <v>198.82546685126133</v>
      </c>
      <c r="D5877" s="45"/>
    </row>
    <row r="5878" spans="2:4" ht="16" thickBot="1" x14ac:dyDescent="0.25">
      <c r="B5878" s="4">
        <v>5873</v>
      </c>
      <c r="C5878" s="4">
        <v>267.16760945758585</v>
      </c>
      <c r="D5878" s="45"/>
    </row>
    <row r="5879" spans="2:4" ht="16" thickBot="1" x14ac:dyDescent="0.25">
      <c r="B5879" s="5">
        <v>5874</v>
      </c>
      <c r="C5879" s="5">
        <v>247.2793320145081</v>
      </c>
      <c r="D5879" s="45"/>
    </row>
    <row r="5880" spans="2:4" ht="16" thickBot="1" x14ac:dyDescent="0.25">
      <c r="B5880" s="4">
        <v>5875</v>
      </c>
      <c r="C5880" s="4">
        <v>134.35054346838541</v>
      </c>
      <c r="D5880" s="45"/>
    </row>
    <row r="5881" spans="2:4" ht="16" thickBot="1" x14ac:dyDescent="0.25">
      <c r="B5881" s="5">
        <v>5876</v>
      </c>
      <c r="C5881" s="5">
        <v>127.78990960906812</v>
      </c>
      <c r="D5881" s="45"/>
    </row>
    <row r="5882" spans="2:4" ht="16" thickBot="1" x14ac:dyDescent="0.25">
      <c r="B5882" s="4">
        <v>5877</v>
      </c>
      <c r="C5882" s="4">
        <v>67.319388650989552</v>
      </c>
      <c r="D5882" s="45"/>
    </row>
    <row r="5883" spans="2:4" ht="16" thickBot="1" x14ac:dyDescent="0.25">
      <c r="B5883" s="5">
        <v>5878</v>
      </c>
      <c r="C5883" s="5">
        <v>57.994796765212172</v>
      </c>
      <c r="D5883" s="45"/>
    </row>
    <row r="5884" spans="2:4" ht="16" thickBot="1" x14ac:dyDescent="0.25">
      <c r="B5884" s="4">
        <v>5879</v>
      </c>
      <c r="C5884" s="4">
        <v>390.42535860638935</v>
      </c>
      <c r="D5884" s="45"/>
    </row>
    <row r="5885" spans="2:4" ht="16" thickBot="1" x14ac:dyDescent="0.25">
      <c r="B5885" s="5">
        <v>5880</v>
      </c>
      <c r="C5885" s="5">
        <v>109.49680989963217</v>
      </c>
      <c r="D5885" s="45"/>
    </row>
    <row r="5886" spans="2:4" ht="16" thickBot="1" x14ac:dyDescent="0.25">
      <c r="B5886" s="4">
        <v>5881</v>
      </c>
      <c r="C5886" s="4">
        <v>348.34149025449238</v>
      </c>
      <c r="D5886" s="45"/>
    </row>
    <row r="5887" spans="2:4" ht="16" thickBot="1" x14ac:dyDescent="0.25">
      <c r="B5887" s="5">
        <v>5882</v>
      </c>
      <c r="C5887" s="5">
        <v>282.54499388410972</v>
      </c>
      <c r="D5887" s="45"/>
    </row>
    <row r="5888" spans="2:4" ht="16" thickBot="1" x14ac:dyDescent="0.25">
      <c r="B5888" s="4">
        <v>5883</v>
      </c>
      <c r="C5888" s="4">
        <v>113.57673124738564</v>
      </c>
      <c r="D5888" s="45"/>
    </row>
    <row r="5889" spans="2:4" ht="16" thickBot="1" x14ac:dyDescent="0.25">
      <c r="B5889" s="5">
        <v>5884</v>
      </c>
      <c r="C5889" s="5">
        <v>147.99012336583985</v>
      </c>
      <c r="D5889" s="45"/>
    </row>
    <row r="5890" spans="2:4" ht="16" thickBot="1" x14ac:dyDescent="0.25">
      <c r="B5890" s="4">
        <v>5885</v>
      </c>
      <c r="C5890" s="4">
        <v>360.33042729000528</v>
      </c>
      <c r="D5890" s="45"/>
    </row>
    <row r="5891" spans="2:4" ht="16" thickBot="1" x14ac:dyDescent="0.25">
      <c r="B5891" s="5">
        <v>5886</v>
      </c>
      <c r="C5891" s="5">
        <v>95.692603891344092</v>
      </c>
      <c r="D5891" s="45"/>
    </row>
    <row r="5892" spans="2:4" ht="16" thickBot="1" x14ac:dyDescent="0.25">
      <c r="B5892" s="4">
        <v>5887</v>
      </c>
      <c r="C5892" s="4">
        <v>198.70654570334113</v>
      </c>
      <c r="D5892" s="45"/>
    </row>
    <row r="5893" spans="2:4" ht="16" thickBot="1" x14ac:dyDescent="0.25">
      <c r="B5893" s="5">
        <v>5888</v>
      </c>
      <c r="C5893" s="5">
        <v>147.81949050893277</v>
      </c>
      <c r="D5893" s="45"/>
    </row>
    <row r="5894" spans="2:4" ht="16" thickBot="1" x14ac:dyDescent="0.25">
      <c r="B5894" s="4">
        <v>5889</v>
      </c>
      <c r="C5894" s="4">
        <v>129.64323513673278</v>
      </c>
      <c r="D5894" s="45"/>
    </row>
    <row r="5895" spans="2:4" ht="16" thickBot="1" x14ac:dyDescent="0.25">
      <c r="B5895" s="5">
        <v>5890</v>
      </c>
      <c r="C5895" s="5">
        <v>167.84087965497153</v>
      </c>
      <c r="D5895" s="45"/>
    </row>
    <row r="5896" spans="2:4" ht="16" thickBot="1" x14ac:dyDescent="0.25">
      <c r="B5896" s="4">
        <v>5891</v>
      </c>
      <c r="C5896" s="4">
        <v>218.93798571866893</v>
      </c>
      <c r="D5896" s="45"/>
    </row>
    <row r="5897" spans="2:4" ht="16" thickBot="1" x14ac:dyDescent="0.25">
      <c r="B5897" s="5">
        <v>5892</v>
      </c>
      <c r="C5897" s="5">
        <v>213.57551542523393</v>
      </c>
      <c r="D5897" s="45"/>
    </row>
    <row r="5898" spans="2:4" ht="16" thickBot="1" x14ac:dyDescent="0.25">
      <c r="B5898" s="4">
        <v>5893</v>
      </c>
      <c r="C5898" s="4">
        <v>173.1419693950366</v>
      </c>
      <c r="D5898" s="45"/>
    </row>
    <row r="5899" spans="2:4" ht="16" thickBot="1" x14ac:dyDescent="0.25">
      <c r="B5899" s="5">
        <v>5894</v>
      </c>
      <c r="C5899" s="5">
        <v>233.80650619707708</v>
      </c>
      <c r="D5899" s="45"/>
    </row>
    <row r="5900" spans="2:4" ht="16" thickBot="1" x14ac:dyDescent="0.25">
      <c r="B5900" s="4">
        <v>5895</v>
      </c>
      <c r="C5900" s="4">
        <v>150.78504255628923</v>
      </c>
      <c r="D5900" s="45"/>
    </row>
    <row r="5901" spans="2:4" ht="16" thickBot="1" x14ac:dyDescent="0.25">
      <c r="B5901" s="5">
        <v>5896</v>
      </c>
      <c r="C5901" s="5">
        <v>146.01142931576882</v>
      </c>
      <c r="D5901" s="45"/>
    </row>
    <row r="5902" spans="2:4" ht="16" thickBot="1" x14ac:dyDescent="0.25">
      <c r="B5902" s="4">
        <v>5897</v>
      </c>
      <c r="C5902" s="4">
        <v>69.442707992375688</v>
      </c>
      <c r="D5902" s="45"/>
    </row>
    <row r="5903" spans="2:4" ht="16" thickBot="1" x14ac:dyDescent="0.25">
      <c r="B5903" s="5">
        <v>5898</v>
      </c>
      <c r="C5903" s="5">
        <v>180.79489687875454</v>
      </c>
      <c r="D5903" s="45"/>
    </row>
    <row r="5904" spans="2:4" ht="16" thickBot="1" x14ac:dyDescent="0.25">
      <c r="B5904" s="4">
        <v>5899</v>
      </c>
      <c r="C5904" s="4">
        <v>94.949860065105199</v>
      </c>
      <c r="D5904" s="45"/>
    </row>
    <row r="5905" spans="2:4" ht="16" thickBot="1" x14ac:dyDescent="0.25">
      <c r="B5905" s="5">
        <v>5900</v>
      </c>
      <c r="C5905" s="5">
        <v>69.121657437249226</v>
      </c>
      <c r="D5905" s="45"/>
    </row>
    <row r="5906" spans="2:4" ht="16" thickBot="1" x14ac:dyDescent="0.25">
      <c r="B5906" s="4">
        <v>5901</v>
      </c>
      <c r="C5906" s="4">
        <v>149.81992685112047</v>
      </c>
      <c r="D5906" s="45"/>
    </row>
    <row r="5907" spans="2:4" ht="16" thickBot="1" x14ac:dyDescent="0.25">
      <c r="B5907" s="5">
        <v>5902</v>
      </c>
      <c r="C5907" s="5">
        <v>119.01750139877825</v>
      </c>
      <c r="D5907" s="45"/>
    </row>
    <row r="5908" spans="2:4" ht="16" thickBot="1" x14ac:dyDescent="0.25">
      <c r="B5908" s="4">
        <v>5903</v>
      </c>
      <c r="C5908" s="4">
        <v>91.870714259914607</v>
      </c>
      <c r="D5908" s="45"/>
    </row>
    <row r="5909" spans="2:4" ht="16" thickBot="1" x14ac:dyDescent="0.25">
      <c r="B5909" s="5">
        <v>5904</v>
      </c>
      <c r="C5909" s="5">
        <v>147.43563047178668</v>
      </c>
      <c r="D5909" s="45"/>
    </row>
    <row r="5910" spans="2:4" ht="16" thickBot="1" x14ac:dyDescent="0.25">
      <c r="B5910" s="4">
        <v>5905</v>
      </c>
      <c r="C5910" s="4">
        <v>249.73348737539138</v>
      </c>
      <c r="D5910" s="45"/>
    </row>
    <row r="5911" spans="2:4" ht="16" thickBot="1" x14ac:dyDescent="0.25">
      <c r="B5911" s="5">
        <v>5906</v>
      </c>
      <c r="C5911" s="5">
        <v>223.96680563835744</v>
      </c>
      <c r="D5911" s="45"/>
    </row>
    <row r="5912" spans="2:4" ht="16" thickBot="1" x14ac:dyDescent="0.25">
      <c r="B5912" s="4">
        <v>5907</v>
      </c>
      <c r="C5912" s="4">
        <v>124.02400120881812</v>
      </c>
      <c r="D5912" s="45"/>
    </row>
    <row r="5913" spans="2:4" ht="16" thickBot="1" x14ac:dyDescent="0.25">
      <c r="B5913" s="5">
        <v>5908</v>
      </c>
      <c r="C5913" s="5">
        <v>177.13153292023287</v>
      </c>
      <c r="D5913" s="45"/>
    </row>
    <row r="5914" spans="2:4" ht="16" thickBot="1" x14ac:dyDescent="0.25">
      <c r="B5914" s="4">
        <v>5909</v>
      </c>
      <c r="C5914" s="4">
        <v>177.99469633434205</v>
      </c>
      <c r="D5914" s="45"/>
    </row>
    <row r="5915" spans="2:4" ht="16" thickBot="1" x14ac:dyDescent="0.25">
      <c r="B5915" s="5">
        <v>5910</v>
      </c>
      <c r="C5915" s="5">
        <v>167.70933985715433</v>
      </c>
      <c r="D5915" s="45"/>
    </row>
    <row r="5916" spans="2:4" ht="16" thickBot="1" x14ac:dyDescent="0.25">
      <c r="B5916" s="4">
        <v>5911</v>
      </c>
      <c r="C5916" s="4">
        <v>230.76849135817346</v>
      </c>
      <c r="D5916" s="45"/>
    </row>
    <row r="5917" spans="2:4" ht="16" thickBot="1" x14ac:dyDescent="0.25">
      <c r="B5917" s="5">
        <v>5912</v>
      </c>
      <c r="C5917" s="5">
        <v>315.39992782118543</v>
      </c>
      <c r="D5917" s="45"/>
    </row>
    <row r="5918" spans="2:4" ht="16" thickBot="1" x14ac:dyDescent="0.25">
      <c r="B5918" s="4">
        <v>5913</v>
      </c>
      <c r="C5918" s="4">
        <v>182.53771683874501</v>
      </c>
      <c r="D5918" s="45"/>
    </row>
    <row r="5919" spans="2:4" ht="16" thickBot="1" x14ac:dyDescent="0.25">
      <c r="B5919" s="5">
        <v>5914</v>
      </c>
      <c r="C5919" s="5">
        <v>120.31252199634872</v>
      </c>
      <c r="D5919" s="45"/>
    </row>
    <row r="5920" spans="2:4" ht="16" thickBot="1" x14ac:dyDescent="0.25">
      <c r="B5920" s="4">
        <v>5915</v>
      </c>
      <c r="C5920" s="4">
        <v>347.35266581227125</v>
      </c>
      <c r="D5920" s="45"/>
    </row>
    <row r="5921" spans="2:4" ht="16" thickBot="1" x14ac:dyDescent="0.25">
      <c r="B5921" s="5">
        <v>5916</v>
      </c>
      <c r="C5921" s="5">
        <v>55.562621569032714</v>
      </c>
      <c r="D5921" s="45"/>
    </row>
    <row r="5922" spans="2:4" ht="16" thickBot="1" x14ac:dyDescent="0.25">
      <c r="B5922" s="4">
        <v>5917</v>
      </c>
      <c r="C5922" s="4">
        <v>100.98017172821176</v>
      </c>
      <c r="D5922" s="45"/>
    </row>
    <row r="5923" spans="2:4" ht="16" thickBot="1" x14ac:dyDescent="0.25">
      <c r="B5923" s="5">
        <v>5918</v>
      </c>
      <c r="C5923" s="5">
        <v>88.802298382586429</v>
      </c>
      <c r="D5923" s="45"/>
    </row>
    <row r="5924" spans="2:4" ht="16" thickBot="1" x14ac:dyDescent="0.25">
      <c r="B5924" s="4">
        <v>5919</v>
      </c>
      <c r="C5924" s="4">
        <v>129.51069888073755</v>
      </c>
      <c r="D5924" s="45"/>
    </row>
    <row r="5925" spans="2:4" ht="16" thickBot="1" x14ac:dyDescent="0.25">
      <c r="B5925" s="5">
        <v>5920</v>
      </c>
      <c r="C5925" s="5">
        <v>73.349341984498707</v>
      </c>
      <c r="D5925" s="45"/>
    </row>
    <row r="5926" spans="2:4" ht="16" thickBot="1" x14ac:dyDescent="0.25">
      <c r="B5926" s="4">
        <v>5921</v>
      </c>
      <c r="C5926" s="4">
        <v>556.23064823139225</v>
      </c>
      <c r="D5926" s="45"/>
    </row>
    <row r="5927" spans="2:4" ht="16" thickBot="1" x14ac:dyDescent="0.25">
      <c r="B5927" s="5">
        <v>5922</v>
      </c>
      <c r="C5927" s="5">
        <v>109.97247487262916</v>
      </c>
      <c r="D5927" s="45"/>
    </row>
    <row r="5928" spans="2:4" ht="16" thickBot="1" x14ac:dyDescent="0.25">
      <c r="B5928" s="4">
        <v>5923</v>
      </c>
      <c r="C5928" s="4">
        <v>142.8211635992858</v>
      </c>
      <c r="D5928" s="45"/>
    </row>
    <row r="5929" spans="2:4" ht="16" thickBot="1" x14ac:dyDescent="0.25">
      <c r="B5929" s="5">
        <v>5924</v>
      </c>
      <c r="C5929" s="5">
        <v>88.966494526857389</v>
      </c>
      <c r="D5929" s="45"/>
    </row>
    <row r="5930" spans="2:4" ht="16" thickBot="1" x14ac:dyDescent="0.25">
      <c r="B5930" s="4">
        <v>5925</v>
      </c>
      <c r="C5930" s="4">
        <v>162.91894906764566</v>
      </c>
      <c r="D5930" s="45"/>
    </row>
    <row r="5931" spans="2:4" ht="16" thickBot="1" x14ac:dyDescent="0.25">
      <c r="B5931" s="5">
        <v>5926</v>
      </c>
      <c r="C5931" s="5">
        <v>140.03706192588143</v>
      </c>
      <c r="D5931" s="45"/>
    </row>
    <row r="5932" spans="2:4" ht="16" thickBot="1" x14ac:dyDescent="0.25">
      <c r="B5932" s="4">
        <v>5927</v>
      </c>
      <c r="C5932" s="4">
        <v>154.9525053736931</v>
      </c>
      <c r="D5932" s="45"/>
    </row>
    <row r="5933" spans="2:4" ht="16" thickBot="1" x14ac:dyDescent="0.25">
      <c r="B5933" s="5">
        <v>5928</v>
      </c>
      <c r="C5933" s="5">
        <v>206.10563764665909</v>
      </c>
      <c r="D5933" s="45"/>
    </row>
    <row r="5934" spans="2:4" ht="16" thickBot="1" x14ac:dyDescent="0.25">
      <c r="B5934" s="4">
        <v>5929</v>
      </c>
      <c r="C5934" s="4">
        <v>111.11107198148001</v>
      </c>
      <c r="D5934" s="45"/>
    </row>
    <row r="5935" spans="2:4" ht="16" thickBot="1" x14ac:dyDescent="0.25">
      <c r="B5935" s="5">
        <v>5930</v>
      </c>
      <c r="C5935" s="5">
        <v>436.97223211026613</v>
      </c>
      <c r="D5935" s="45"/>
    </row>
    <row r="5936" spans="2:4" ht="16" thickBot="1" x14ac:dyDescent="0.25">
      <c r="B5936" s="4">
        <v>5931</v>
      </c>
      <c r="C5936" s="4">
        <v>108.60071492897571</v>
      </c>
      <c r="D5936" s="45"/>
    </row>
    <row r="5937" spans="2:4" ht="16" thickBot="1" x14ac:dyDescent="0.25">
      <c r="B5937" s="5">
        <v>5932</v>
      </c>
      <c r="C5937" s="5">
        <v>220.35954175346541</v>
      </c>
      <c r="D5937" s="45"/>
    </row>
    <row r="5938" spans="2:4" ht="16" thickBot="1" x14ac:dyDescent="0.25">
      <c r="B5938" s="4">
        <v>5933</v>
      </c>
      <c r="C5938" s="4">
        <v>72.696421006975356</v>
      </c>
      <c r="D5938" s="45"/>
    </row>
    <row r="5939" spans="2:4" ht="16" thickBot="1" x14ac:dyDescent="0.25">
      <c r="B5939" s="5">
        <v>5934</v>
      </c>
      <c r="C5939" s="5">
        <v>98.295072597980592</v>
      </c>
      <c r="D5939" s="45"/>
    </row>
    <row r="5940" spans="2:4" ht="16" thickBot="1" x14ac:dyDescent="0.25">
      <c r="B5940" s="4">
        <v>5935</v>
      </c>
      <c r="C5940" s="4">
        <v>126.30138513389629</v>
      </c>
      <c r="D5940" s="45"/>
    </row>
    <row r="5941" spans="2:4" ht="16" thickBot="1" x14ac:dyDescent="0.25">
      <c r="B5941" s="5">
        <v>5936</v>
      </c>
      <c r="C5941" s="5">
        <v>77.854870888141775</v>
      </c>
      <c r="D5941" s="45"/>
    </row>
    <row r="5942" spans="2:4" ht="16" thickBot="1" x14ac:dyDescent="0.25">
      <c r="B5942" s="4">
        <v>5937</v>
      </c>
      <c r="C5942" s="4">
        <v>343.13395059939461</v>
      </c>
      <c r="D5942" s="45"/>
    </row>
    <row r="5943" spans="2:4" ht="16" thickBot="1" x14ac:dyDescent="0.25">
      <c r="B5943" s="5">
        <v>5938</v>
      </c>
      <c r="C5943" s="5">
        <v>70.784534316700473</v>
      </c>
      <c r="D5943" s="45"/>
    </row>
    <row r="5944" spans="2:4" ht="16" thickBot="1" x14ac:dyDescent="0.25">
      <c r="B5944" s="4">
        <v>5939</v>
      </c>
      <c r="C5944" s="4">
        <v>135.6534617593199</v>
      </c>
      <c r="D5944" s="45"/>
    </row>
    <row r="5945" spans="2:4" ht="16" thickBot="1" x14ac:dyDescent="0.25">
      <c r="B5945" s="5">
        <v>5940</v>
      </c>
      <c r="C5945" s="5">
        <v>199.42455067748264</v>
      </c>
      <c r="D5945" s="45"/>
    </row>
    <row r="5946" spans="2:4" ht="16" thickBot="1" x14ac:dyDescent="0.25">
      <c r="B5946" s="4">
        <v>5941</v>
      </c>
      <c r="C5946" s="4">
        <v>221.52687564498419</v>
      </c>
      <c r="D5946" s="45"/>
    </row>
    <row r="5947" spans="2:4" ht="16" thickBot="1" x14ac:dyDescent="0.25">
      <c r="B5947" s="5">
        <v>5942</v>
      </c>
      <c r="C5947" s="5">
        <v>281.47137257088099</v>
      </c>
      <c r="D5947" s="45"/>
    </row>
    <row r="5948" spans="2:4" ht="16" thickBot="1" x14ac:dyDescent="0.25">
      <c r="B5948" s="4">
        <v>5943</v>
      </c>
      <c r="C5948" s="4">
        <v>139.970660169512</v>
      </c>
      <c r="D5948" s="45"/>
    </row>
    <row r="5949" spans="2:4" ht="16" thickBot="1" x14ac:dyDescent="0.25">
      <c r="B5949" s="5">
        <v>5944</v>
      </c>
      <c r="C5949" s="5">
        <v>71.582344108935644</v>
      </c>
      <c r="D5949" s="45"/>
    </row>
    <row r="5950" spans="2:4" ht="16" thickBot="1" x14ac:dyDescent="0.25">
      <c r="B5950" s="4">
        <v>5945</v>
      </c>
      <c r="C5950" s="4">
        <v>76.324682755645497</v>
      </c>
      <c r="D5950" s="45"/>
    </row>
    <row r="5951" spans="2:4" ht="16" thickBot="1" x14ac:dyDescent="0.25">
      <c r="B5951" s="5">
        <v>5946</v>
      </c>
      <c r="C5951" s="5">
        <v>280.43176670865159</v>
      </c>
      <c r="D5951" s="45"/>
    </row>
    <row r="5952" spans="2:4" ht="16" thickBot="1" x14ac:dyDescent="0.25">
      <c r="B5952" s="4">
        <v>5947</v>
      </c>
      <c r="C5952" s="4">
        <v>265.59345469871988</v>
      </c>
      <c r="D5952" s="45"/>
    </row>
    <row r="5953" spans="2:4" ht="16" thickBot="1" x14ac:dyDescent="0.25">
      <c r="B5953" s="5">
        <v>5948</v>
      </c>
      <c r="C5953" s="5">
        <v>85.979407717861434</v>
      </c>
      <c r="D5953" s="45"/>
    </row>
    <row r="5954" spans="2:4" ht="16" thickBot="1" x14ac:dyDescent="0.25">
      <c r="B5954" s="4">
        <v>5949</v>
      </c>
      <c r="C5954" s="4">
        <v>168.82631621249783</v>
      </c>
      <c r="D5954" s="45"/>
    </row>
    <row r="5955" spans="2:4" ht="16" thickBot="1" x14ac:dyDescent="0.25">
      <c r="B5955" s="5">
        <v>5950</v>
      </c>
      <c r="C5955" s="5">
        <v>262.85254471862334</v>
      </c>
      <c r="D5955" s="45"/>
    </row>
    <row r="5956" spans="2:4" ht="16" thickBot="1" x14ac:dyDescent="0.25">
      <c r="B5956" s="4">
        <v>5951</v>
      </c>
      <c r="C5956" s="4">
        <v>74.963803729423162</v>
      </c>
      <c r="D5956" s="45"/>
    </row>
    <row r="5957" spans="2:4" ht="16" thickBot="1" x14ac:dyDescent="0.25">
      <c r="B5957" s="5">
        <v>5952</v>
      </c>
      <c r="C5957" s="5">
        <v>207.79327922417659</v>
      </c>
      <c r="D5957" s="45"/>
    </row>
    <row r="5958" spans="2:4" ht="16" thickBot="1" x14ac:dyDescent="0.25">
      <c r="B5958" s="4">
        <v>5953</v>
      </c>
      <c r="C5958" s="4">
        <v>147.57522135781261</v>
      </c>
      <c r="D5958" s="45"/>
    </row>
    <row r="5959" spans="2:4" ht="16" thickBot="1" x14ac:dyDescent="0.25">
      <c r="B5959" s="5">
        <v>5954</v>
      </c>
      <c r="C5959" s="5">
        <v>90.822695242094497</v>
      </c>
      <c r="D5959" s="45"/>
    </row>
    <row r="5960" spans="2:4" ht="16" thickBot="1" x14ac:dyDescent="0.25">
      <c r="B5960" s="4">
        <v>5955</v>
      </c>
      <c r="C5960" s="4">
        <v>291.674559674438</v>
      </c>
      <c r="D5960" s="45"/>
    </row>
    <row r="5961" spans="2:4" ht="16" thickBot="1" x14ac:dyDescent="0.25">
      <c r="B5961" s="5">
        <v>5956</v>
      </c>
      <c r="C5961" s="5">
        <v>123.33819583187551</v>
      </c>
      <c r="D5961" s="45"/>
    </row>
    <row r="5962" spans="2:4" ht="16" thickBot="1" x14ac:dyDescent="0.25">
      <c r="B5962" s="4">
        <v>5957</v>
      </c>
      <c r="C5962" s="4">
        <v>106.7701125051212</v>
      </c>
      <c r="D5962" s="45"/>
    </row>
    <row r="5963" spans="2:4" ht="16" thickBot="1" x14ac:dyDescent="0.25">
      <c r="B5963" s="5">
        <v>5958</v>
      </c>
      <c r="C5963" s="5">
        <v>156.61848753013848</v>
      </c>
      <c r="D5963" s="45"/>
    </row>
    <row r="5964" spans="2:4" ht="16" thickBot="1" x14ac:dyDescent="0.25">
      <c r="B5964" s="4">
        <v>5959</v>
      </c>
      <c r="C5964" s="4">
        <v>262.48795686925178</v>
      </c>
      <c r="D5964" s="45"/>
    </row>
    <row r="5965" spans="2:4" ht="16" thickBot="1" x14ac:dyDescent="0.25">
      <c r="B5965" s="5">
        <v>5960</v>
      </c>
      <c r="C5965" s="5">
        <v>147.41053155343127</v>
      </c>
      <c r="D5965" s="45"/>
    </row>
    <row r="5966" spans="2:4" ht="16" thickBot="1" x14ac:dyDescent="0.25">
      <c r="B5966" s="4">
        <v>5961</v>
      </c>
      <c r="C5966" s="4">
        <v>99.057591228300339</v>
      </c>
      <c r="D5966" s="45"/>
    </row>
    <row r="5967" spans="2:4" ht="16" thickBot="1" x14ac:dyDescent="0.25">
      <c r="B5967" s="5">
        <v>5962</v>
      </c>
      <c r="C5967" s="5">
        <v>108.18629524875966</v>
      </c>
      <c r="D5967" s="45"/>
    </row>
    <row r="5968" spans="2:4" ht="16" thickBot="1" x14ac:dyDescent="0.25">
      <c r="B5968" s="4">
        <v>5963</v>
      </c>
      <c r="C5968" s="4">
        <v>277.54609176848095</v>
      </c>
      <c r="D5968" s="45"/>
    </row>
    <row r="5969" spans="2:4" ht="16" thickBot="1" x14ac:dyDescent="0.25">
      <c r="B5969" s="5">
        <v>5964</v>
      </c>
      <c r="C5969" s="5">
        <v>72.975906012416218</v>
      </c>
      <c r="D5969" s="45"/>
    </row>
    <row r="5970" spans="2:4" ht="16" thickBot="1" x14ac:dyDescent="0.25">
      <c r="B5970" s="4">
        <v>5965</v>
      </c>
      <c r="C5970" s="4">
        <v>438.78682280202963</v>
      </c>
      <c r="D5970" s="45"/>
    </row>
    <row r="5971" spans="2:4" ht="16" thickBot="1" x14ac:dyDescent="0.25">
      <c r="B5971" s="5">
        <v>5966</v>
      </c>
      <c r="C5971" s="5">
        <v>267.62815387700942</v>
      </c>
      <c r="D5971" s="45"/>
    </row>
    <row r="5972" spans="2:4" ht="16" thickBot="1" x14ac:dyDescent="0.25">
      <c r="B5972" s="4">
        <v>5967</v>
      </c>
      <c r="C5972" s="4">
        <v>234.61417915542518</v>
      </c>
      <c r="D5972" s="45"/>
    </row>
    <row r="5973" spans="2:4" ht="16" thickBot="1" x14ac:dyDescent="0.25">
      <c r="B5973" s="5">
        <v>5968</v>
      </c>
      <c r="C5973" s="5">
        <v>397.7931473967389</v>
      </c>
      <c r="D5973" s="45"/>
    </row>
    <row r="5974" spans="2:4" ht="16" thickBot="1" x14ac:dyDescent="0.25">
      <c r="B5974" s="4">
        <v>5969</v>
      </c>
      <c r="C5974" s="4">
        <v>147.86651827318261</v>
      </c>
      <c r="D5974" s="45"/>
    </row>
    <row r="5975" spans="2:4" ht="16" thickBot="1" x14ac:dyDescent="0.25">
      <c r="B5975" s="5">
        <v>5970</v>
      </c>
      <c r="C5975" s="5">
        <v>155.7673699228838</v>
      </c>
      <c r="D5975" s="45"/>
    </row>
    <row r="5976" spans="2:4" ht="16" thickBot="1" x14ac:dyDescent="0.25">
      <c r="B5976" s="4">
        <v>5971</v>
      </c>
      <c r="C5976" s="4">
        <v>86.435794921545025</v>
      </c>
      <c r="D5976" s="45"/>
    </row>
    <row r="5977" spans="2:4" ht="16" thickBot="1" x14ac:dyDescent="0.25">
      <c r="B5977" s="5">
        <v>5972</v>
      </c>
      <c r="C5977" s="5">
        <v>118.70452997380106</v>
      </c>
      <c r="D5977" s="45"/>
    </row>
    <row r="5978" spans="2:4" ht="16" thickBot="1" x14ac:dyDescent="0.25">
      <c r="B5978" s="4">
        <v>5973</v>
      </c>
      <c r="C5978" s="4">
        <v>123.65809312581592</v>
      </c>
      <c r="D5978" s="45"/>
    </row>
    <row r="5979" spans="2:4" ht="16" thickBot="1" x14ac:dyDescent="0.25">
      <c r="B5979" s="5">
        <v>5974</v>
      </c>
      <c r="C5979" s="5">
        <v>104.57045675554799</v>
      </c>
      <c r="D5979" s="45"/>
    </row>
    <row r="5980" spans="2:4" ht="16" thickBot="1" x14ac:dyDescent="0.25">
      <c r="B5980" s="4">
        <v>5975</v>
      </c>
      <c r="C5980" s="4">
        <v>98.902996655535176</v>
      </c>
      <c r="D5980" s="45"/>
    </row>
    <row r="5981" spans="2:4" ht="16" thickBot="1" x14ac:dyDescent="0.25">
      <c r="B5981" s="5">
        <v>5976</v>
      </c>
      <c r="C5981" s="5">
        <v>159.02664643875292</v>
      </c>
      <c r="D5981" s="45"/>
    </row>
    <row r="5982" spans="2:4" ht="16" thickBot="1" x14ac:dyDescent="0.25">
      <c r="B5982" s="4">
        <v>5977</v>
      </c>
      <c r="C5982" s="4">
        <v>154.95994627785953</v>
      </c>
      <c r="D5982" s="45"/>
    </row>
    <row r="5983" spans="2:4" ht="16" thickBot="1" x14ac:dyDescent="0.25">
      <c r="B5983" s="5">
        <v>5978</v>
      </c>
      <c r="C5983" s="5">
        <v>325.92466618576674</v>
      </c>
      <c r="D5983" s="45"/>
    </row>
    <row r="5984" spans="2:4" ht="16" thickBot="1" x14ac:dyDescent="0.25">
      <c r="B5984" s="4">
        <v>5979</v>
      </c>
      <c r="C5984" s="4">
        <v>97.026606365158074</v>
      </c>
      <c r="D5984" s="45"/>
    </row>
    <row r="5985" spans="2:4" ht="16" thickBot="1" x14ac:dyDescent="0.25">
      <c r="B5985" s="5">
        <v>5980</v>
      </c>
      <c r="C5985" s="5">
        <v>111.30703925843272</v>
      </c>
      <c r="D5985" s="45"/>
    </row>
    <row r="5986" spans="2:4" ht="16" thickBot="1" x14ac:dyDescent="0.25">
      <c r="B5986" s="4">
        <v>5981</v>
      </c>
      <c r="C5986" s="4">
        <v>424.06419951205692</v>
      </c>
      <c r="D5986" s="45"/>
    </row>
    <row r="5987" spans="2:4" ht="16" thickBot="1" x14ac:dyDescent="0.25">
      <c r="B5987" s="5">
        <v>5982</v>
      </c>
      <c r="C5987" s="5">
        <v>321.19826531769257</v>
      </c>
      <c r="D5987" s="45"/>
    </row>
    <row r="5988" spans="2:4" ht="16" thickBot="1" x14ac:dyDescent="0.25">
      <c r="B5988" s="4">
        <v>5983</v>
      </c>
      <c r="C5988" s="4">
        <v>239.71542429873622</v>
      </c>
      <c r="D5988" s="45"/>
    </row>
    <row r="5989" spans="2:4" ht="16" thickBot="1" x14ac:dyDescent="0.25">
      <c r="B5989" s="5">
        <v>5984</v>
      </c>
      <c r="C5989" s="5">
        <v>208.01975093567179</v>
      </c>
      <c r="D5989" s="45"/>
    </row>
    <row r="5990" spans="2:4" ht="16" thickBot="1" x14ac:dyDescent="0.25">
      <c r="B5990" s="4">
        <v>5985</v>
      </c>
      <c r="C5990" s="4">
        <v>226.73622425515504</v>
      </c>
      <c r="D5990" s="45"/>
    </row>
    <row r="5991" spans="2:4" ht="16" thickBot="1" x14ac:dyDescent="0.25">
      <c r="B5991" s="5">
        <v>5986</v>
      </c>
      <c r="C5991" s="5">
        <v>85.454403240876431</v>
      </c>
      <c r="D5991" s="45"/>
    </row>
    <row r="5992" spans="2:4" ht="16" thickBot="1" x14ac:dyDescent="0.25">
      <c r="B5992" s="4">
        <v>5987</v>
      </c>
      <c r="C5992" s="4">
        <v>142.18089394459938</v>
      </c>
      <c r="D5992" s="45"/>
    </row>
    <row r="5993" spans="2:4" ht="16" thickBot="1" x14ac:dyDescent="0.25">
      <c r="B5993" s="5">
        <v>5988</v>
      </c>
      <c r="C5993" s="5">
        <v>92.301005926542004</v>
      </c>
      <c r="D5993" s="45"/>
    </row>
    <row r="5994" spans="2:4" ht="16" thickBot="1" x14ac:dyDescent="0.25">
      <c r="B5994" s="4">
        <v>5989</v>
      </c>
      <c r="C5994" s="4">
        <v>367.05776550913367</v>
      </c>
      <c r="D5994" s="45"/>
    </row>
    <row r="5995" spans="2:4" ht="16" thickBot="1" x14ac:dyDescent="0.25">
      <c r="B5995" s="5">
        <v>5990</v>
      </c>
      <c r="C5995" s="5">
        <v>234.58864240671397</v>
      </c>
      <c r="D5995" s="45"/>
    </row>
    <row r="5996" spans="2:4" ht="16" thickBot="1" x14ac:dyDescent="0.25">
      <c r="B5996" s="4">
        <v>5991</v>
      </c>
      <c r="C5996" s="4">
        <v>158.90027607800079</v>
      </c>
      <c r="D5996" s="45"/>
    </row>
    <row r="5997" spans="2:4" ht="16" thickBot="1" x14ac:dyDescent="0.25">
      <c r="B5997" s="5">
        <v>5992</v>
      </c>
      <c r="C5997" s="5">
        <v>87.431945265278188</v>
      </c>
      <c r="D5997" s="45"/>
    </row>
    <row r="5998" spans="2:4" ht="16" thickBot="1" x14ac:dyDescent="0.25">
      <c r="B5998" s="4">
        <v>5993</v>
      </c>
      <c r="C5998" s="4">
        <v>76.202908813200523</v>
      </c>
      <c r="D5998" s="45"/>
    </row>
    <row r="5999" spans="2:4" ht="16" thickBot="1" x14ac:dyDescent="0.25">
      <c r="B5999" s="5">
        <v>5994</v>
      </c>
      <c r="C5999" s="5">
        <v>245.65229801967502</v>
      </c>
      <c r="D5999" s="45"/>
    </row>
    <row r="6000" spans="2:4" ht="16" thickBot="1" x14ac:dyDescent="0.25">
      <c r="B6000" s="4">
        <v>5995</v>
      </c>
      <c r="C6000" s="4">
        <v>146.29805652524402</v>
      </c>
      <c r="D6000" s="45"/>
    </row>
    <row r="6001" spans="2:4" ht="16" thickBot="1" x14ac:dyDescent="0.25">
      <c r="B6001" s="5">
        <v>5996</v>
      </c>
      <c r="C6001" s="5">
        <v>144.43563021170752</v>
      </c>
      <c r="D6001" s="45"/>
    </row>
    <row r="6002" spans="2:4" ht="16" thickBot="1" x14ac:dyDescent="0.25">
      <c r="B6002" s="4">
        <v>5997</v>
      </c>
      <c r="C6002" s="4">
        <v>59.092904975073395</v>
      </c>
      <c r="D6002" s="45"/>
    </row>
    <row r="6003" spans="2:4" ht="16" thickBot="1" x14ac:dyDescent="0.25">
      <c r="B6003" s="5">
        <v>5998</v>
      </c>
      <c r="C6003" s="5">
        <v>204.70694435411815</v>
      </c>
      <c r="D6003" s="45"/>
    </row>
    <row r="6004" spans="2:4" ht="16" thickBot="1" x14ac:dyDescent="0.25">
      <c r="B6004" s="4">
        <v>5999</v>
      </c>
      <c r="C6004" s="4">
        <v>334.15256423220904</v>
      </c>
      <c r="D6004" s="45"/>
    </row>
    <row r="6005" spans="2:4" ht="16" thickBot="1" x14ac:dyDescent="0.25">
      <c r="B6005" s="5">
        <v>6000</v>
      </c>
      <c r="C6005" s="5">
        <v>227.26950055221187</v>
      </c>
      <c r="D6005" s="45"/>
    </row>
    <row r="6006" spans="2:4" ht="16" thickBot="1" x14ac:dyDescent="0.25">
      <c r="B6006" s="4">
        <v>6001</v>
      </c>
      <c r="C6006" s="4">
        <v>131.64495412334767</v>
      </c>
      <c r="D6006" s="45"/>
    </row>
    <row r="6007" spans="2:4" ht="16" thickBot="1" x14ac:dyDescent="0.25">
      <c r="B6007" s="5">
        <v>6002</v>
      </c>
      <c r="C6007" s="5">
        <v>87.664296395883213</v>
      </c>
      <c r="D6007" s="45"/>
    </row>
    <row r="6008" spans="2:4" ht="16" thickBot="1" x14ac:dyDescent="0.25">
      <c r="B6008" s="4">
        <v>6003</v>
      </c>
      <c r="C6008" s="4">
        <v>354.55100966804793</v>
      </c>
      <c r="D6008" s="45"/>
    </row>
    <row r="6009" spans="2:4" ht="16" thickBot="1" x14ac:dyDescent="0.25">
      <c r="B6009" s="5">
        <v>6004</v>
      </c>
      <c r="C6009" s="5">
        <v>254.7693040061055</v>
      </c>
      <c r="D6009" s="45"/>
    </row>
    <row r="6010" spans="2:4" ht="16" thickBot="1" x14ac:dyDescent="0.25">
      <c r="B6010" s="4">
        <v>6005</v>
      </c>
      <c r="C6010" s="4">
        <v>126.60522073000622</v>
      </c>
      <c r="D6010" s="45"/>
    </row>
    <row r="6011" spans="2:4" ht="16" thickBot="1" x14ac:dyDescent="0.25">
      <c r="B6011" s="5">
        <v>6006</v>
      </c>
      <c r="C6011" s="5">
        <v>78.729414350017407</v>
      </c>
      <c r="D6011" s="45"/>
    </row>
    <row r="6012" spans="2:4" ht="16" thickBot="1" x14ac:dyDescent="0.25">
      <c r="B6012" s="4">
        <v>6007</v>
      </c>
      <c r="C6012" s="4">
        <v>134.03574077634974</v>
      </c>
      <c r="D6012" s="45"/>
    </row>
    <row r="6013" spans="2:4" ht="16" thickBot="1" x14ac:dyDescent="0.25">
      <c r="B6013" s="5">
        <v>6008</v>
      </c>
      <c r="C6013" s="5">
        <v>278.54418945681704</v>
      </c>
      <c r="D6013" s="45"/>
    </row>
    <row r="6014" spans="2:4" ht="16" thickBot="1" x14ac:dyDescent="0.25">
      <c r="B6014" s="4">
        <v>6009</v>
      </c>
      <c r="C6014" s="4">
        <v>297.31880618924288</v>
      </c>
      <c r="D6014" s="45"/>
    </row>
    <row r="6015" spans="2:4" ht="16" thickBot="1" x14ac:dyDescent="0.25">
      <c r="B6015" s="5">
        <v>6010</v>
      </c>
      <c r="C6015" s="5">
        <v>297.10914990685797</v>
      </c>
      <c r="D6015" s="45"/>
    </row>
    <row r="6016" spans="2:4" ht="16" thickBot="1" x14ac:dyDescent="0.25">
      <c r="B6016" s="4">
        <v>6011</v>
      </c>
      <c r="C6016" s="4">
        <v>108.3972909721107</v>
      </c>
      <c r="D6016" s="45"/>
    </row>
    <row r="6017" spans="2:4" ht="16" thickBot="1" x14ac:dyDescent="0.25">
      <c r="B6017" s="5">
        <v>6012</v>
      </c>
      <c r="C6017" s="5">
        <v>98.055961836728557</v>
      </c>
      <c r="D6017" s="45"/>
    </row>
    <row r="6018" spans="2:4" ht="16" thickBot="1" x14ac:dyDescent="0.25">
      <c r="B6018" s="4">
        <v>6013</v>
      </c>
      <c r="C6018" s="4">
        <v>127.1588155978111</v>
      </c>
      <c r="D6018" s="45"/>
    </row>
    <row r="6019" spans="2:4" ht="16" thickBot="1" x14ac:dyDescent="0.25">
      <c r="B6019" s="5">
        <v>6014</v>
      </c>
      <c r="C6019" s="5">
        <v>187.01795938163372</v>
      </c>
      <c r="D6019" s="45"/>
    </row>
    <row r="6020" spans="2:4" ht="16" thickBot="1" x14ac:dyDescent="0.25">
      <c r="B6020" s="4">
        <v>6015</v>
      </c>
      <c r="C6020" s="4">
        <v>272.94170913709837</v>
      </c>
      <c r="D6020" s="45"/>
    </row>
    <row r="6021" spans="2:4" ht="16" thickBot="1" x14ac:dyDescent="0.25">
      <c r="B6021" s="5">
        <v>6016</v>
      </c>
      <c r="C6021" s="5">
        <v>103.20952543674908</v>
      </c>
      <c r="D6021" s="45"/>
    </row>
    <row r="6022" spans="2:4" ht="16" thickBot="1" x14ac:dyDescent="0.25">
      <c r="B6022" s="4">
        <v>6017</v>
      </c>
      <c r="C6022" s="4">
        <v>87.555585626435274</v>
      </c>
      <c r="D6022" s="45"/>
    </row>
    <row r="6023" spans="2:4" ht="16" thickBot="1" x14ac:dyDescent="0.25">
      <c r="B6023" s="5">
        <v>6018</v>
      </c>
      <c r="C6023" s="5">
        <v>254.75099480245535</v>
      </c>
      <c r="D6023" s="45"/>
    </row>
    <row r="6024" spans="2:4" ht="16" thickBot="1" x14ac:dyDescent="0.25">
      <c r="B6024" s="4">
        <v>6019</v>
      </c>
      <c r="C6024" s="4">
        <v>203.97615667350979</v>
      </c>
      <c r="D6024" s="45"/>
    </row>
    <row r="6025" spans="2:4" ht="16" thickBot="1" x14ac:dyDescent="0.25">
      <c r="B6025" s="5">
        <v>6020</v>
      </c>
      <c r="C6025" s="5">
        <v>89.402094894964264</v>
      </c>
      <c r="D6025" s="45"/>
    </row>
    <row r="6026" spans="2:4" ht="16" thickBot="1" x14ac:dyDescent="0.25">
      <c r="B6026" s="4">
        <v>6021</v>
      </c>
      <c r="C6026" s="4">
        <v>89.650795230757709</v>
      </c>
      <c r="D6026" s="45"/>
    </row>
    <row r="6027" spans="2:4" ht="16" thickBot="1" x14ac:dyDescent="0.25">
      <c r="B6027" s="5">
        <v>6022</v>
      </c>
      <c r="C6027" s="5">
        <v>63.77143878448851</v>
      </c>
      <c r="D6027" s="45"/>
    </row>
    <row r="6028" spans="2:4" ht="16" thickBot="1" x14ac:dyDescent="0.25">
      <c r="B6028" s="4">
        <v>6023</v>
      </c>
      <c r="C6028" s="4">
        <v>135.28368459558951</v>
      </c>
      <c r="D6028" s="45"/>
    </row>
    <row r="6029" spans="2:4" ht="16" thickBot="1" x14ac:dyDescent="0.25">
      <c r="B6029" s="5">
        <v>6024</v>
      </c>
      <c r="C6029" s="5">
        <v>139.13064657238931</v>
      </c>
      <c r="D6029" s="45"/>
    </row>
    <row r="6030" spans="2:4" ht="16" thickBot="1" x14ac:dyDescent="0.25">
      <c r="B6030" s="4">
        <v>6025</v>
      </c>
      <c r="C6030" s="4">
        <v>120.85869311780628</v>
      </c>
      <c r="D6030" s="45"/>
    </row>
    <row r="6031" spans="2:4" ht="16" thickBot="1" x14ac:dyDescent="0.25">
      <c r="B6031" s="5">
        <v>6026</v>
      </c>
      <c r="C6031" s="5">
        <v>98.458523025000375</v>
      </c>
      <c r="D6031" s="45"/>
    </row>
    <row r="6032" spans="2:4" ht="16" thickBot="1" x14ac:dyDescent="0.25">
      <c r="B6032" s="4">
        <v>6027</v>
      </c>
      <c r="C6032" s="4">
        <v>114.2086348081228</v>
      </c>
      <c r="D6032" s="45"/>
    </row>
    <row r="6033" spans="2:4" ht="16" thickBot="1" x14ac:dyDescent="0.25">
      <c r="B6033" s="5">
        <v>6028</v>
      </c>
      <c r="C6033" s="5">
        <v>212.60100643148854</v>
      </c>
      <c r="D6033" s="45"/>
    </row>
    <row r="6034" spans="2:4" ht="16" thickBot="1" x14ac:dyDescent="0.25">
      <c r="B6034" s="4">
        <v>6029</v>
      </c>
      <c r="C6034" s="4">
        <v>100.06586776733789</v>
      </c>
      <c r="D6034" s="45"/>
    </row>
    <row r="6035" spans="2:4" ht="16" thickBot="1" x14ac:dyDescent="0.25">
      <c r="B6035" s="5">
        <v>6030</v>
      </c>
      <c r="C6035" s="5">
        <v>280.73360155092666</v>
      </c>
      <c r="D6035" s="45"/>
    </row>
    <row r="6036" spans="2:4" ht="16" thickBot="1" x14ac:dyDescent="0.25">
      <c r="B6036" s="4">
        <v>6031</v>
      </c>
      <c r="C6036" s="4">
        <v>194.73862705873702</v>
      </c>
      <c r="D6036" s="45"/>
    </row>
    <row r="6037" spans="2:4" ht="16" thickBot="1" x14ac:dyDescent="0.25">
      <c r="B6037" s="5">
        <v>6032</v>
      </c>
      <c r="C6037" s="5">
        <v>111.59974239053885</v>
      </c>
      <c r="D6037" s="45"/>
    </row>
    <row r="6038" spans="2:4" ht="16" thickBot="1" x14ac:dyDescent="0.25">
      <c r="B6038" s="4">
        <v>6033</v>
      </c>
      <c r="C6038" s="4">
        <v>144.62489998168411</v>
      </c>
      <c r="D6038" s="45"/>
    </row>
    <row r="6039" spans="2:4" ht="16" thickBot="1" x14ac:dyDescent="0.25">
      <c r="B6039" s="5">
        <v>6034</v>
      </c>
      <c r="C6039" s="5">
        <v>135.85442984056675</v>
      </c>
      <c r="D6039" s="45"/>
    </row>
    <row r="6040" spans="2:4" ht="16" thickBot="1" x14ac:dyDescent="0.25">
      <c r="B6040" s="4">
        <v>6035</v>
      </c>
      <c r="C6040" s="4">
        <v>117.49600708756205</v>
      </c>
      <c r="D6040" s="45"/>
    </row>
    <row r="6041" spans="2:4" ht="16" thickBot="1" x14ac:dyDescent="0.25">
      <c r="B6041" s="5">
        <v>6036</v>
      </c>
      <c r="C6041" s="5">
        <v>89.021985587198643</v>
      </c>
      <c r="D6041" s="45"/>
    </row>
    <row r="6042" spans="2:4" ht="16" thickBot="1" x14ac:dyDescent="0.25">
      <c r="B6042" s="4">
        <v>6037</v>
      </c>
      <c r="C6042" s="4">
        <v>152.19260538206871</v>
      </c>
      <c r="D6042" s="45"/>
    </row>
    <row r="6043" spans="2:4" ht="16" thickBot="1" x14ac:dyDescent="0.25">
      <c r="B6043" s="5">
        <v>6038</v>
      </c>
      <c r="C6043" s="5">
        <v>243.637589712965</v>
      </c>
      <c r="D6043" s="45"/>
    </row>
    <row r="6044" spans="2:4" ht="16" thickBot="1" x14ac:dyDescent="0.25">
      <c r="B6044" s="4">
        <v>6039</v>
      </c>
      <c r="C6044" s="4">
        <v>236.53408914134184</v>
      </c>
      <c r="D6044" s="45"/>
    </row>
    <row r="6045" spans="2:4" ht="16" thickBot="1" x14ac:dyDescent="0.25">
      <c r="B6045" s="5">
        <v>6040</v>
      </c>
      <c r="C6045" s="5">
        <v>155.67966559971413</v>
      </c>
      <c r="D6045" s="45"/>
    </row>
    <row r="6046" spans="2:4" ht="16" thickBot="1" x14ac:dyDescent="0.25">
      <c r="B6046" s="4">
        <v>6041</v>
      </c>
      <c r="C6046" s="4">
        <v>127.14739071520104</v>
      </c>
      <c r="D6046" s="45"/>
    </row>
    <row r="6047" spans="2:4" ht="16" thickBot="1" x14ac:dyDescent="0.25">
      <c r="B6047" s="5">
        <v>6042</v>
      </c>
      <c r="C6047" s="5">
        <v>176.56744685448598</v>
      </c>
      <c r="D6047" s="45"/>
    </row>
    <row r="6048" spans="2:4" ht="16" thickBot="1" x14ac:dyDescent="0.25">
      <c r="B6048" s="4">
        <v>6043</v>
      </c>
      <c r="C6048" s="4">
        <v>216.43316625304203</v>
      </c>
      <c r="D6048" s="45"/>
    </row>
    <row r="6049" spans="2:4" ht="16" thickBot="1" x14ac:dyDescent="0.25">
      <c r="B6049" s="5">
        <v>6044</v>
      </c>
      <c r="C6049" s="5">
        <v>286.27753244080338</v>
      </c>
      <c r="D6049" s="45"/>
    </row>
    <row r="6050" spans="2:4" ht="16" thickBot="1" x14ac:dyDescent="0.25">
      <c r="B6050" s="4">
        <v>6045</v>
      </c>
      <c r="C6050" s="4">
        <v>252.79106162370644</v>
      </c>
      <c r="D6050" s="45"/>
    </row>
    <row r="6051" spans="2:4" ht="16" thickBot="1" x14ac:dyDescent="0.25">
      <c r="B6051" s="5">
        <v>6046</v>
      </c>
      <c r="C6051" s="5">
        <v>158.82619868407008</v>
      </c>
      <c r="D6051" s="45"/>
    </row>
    <row r="6052" spans="2:4" ht="16" thickBot="1" x14ac:dyDescent="0.25">
      <c r="B6052" s="4">
        <v>6047</v>
      </c>
      <c r="C6052" s="4">
        <v>236.44008948837001</v>
      </c>
      <c r="D6052" s="45"/>
    </row>
    <row r="6053" spans="2:4" ht="16" thickBot="1" x14ac:dyDescent="0.25">
      <c r="B6053" s="5">
        <v>6048</v>
      </c>
      <c r="C6053" s="5">
        <v>103.3719429155303</v>
      </c>
      <c r="D6053" s="45"/>
    </row>
    <row r="6054" spans="2:4" ht="16" thickBot="1" x14ac:dyDescent="0.25">
      <c r="B6054" s="4">
        <v>6049</v>
      </c>
      <c r="C6054" s="4">
        <v>164.70568470827675</v>
      </c>
      <c r="D6054" s="45"/>
    </row>
    <row r="6055" spans="2:4" ht="16" thickBot="1" x14ac:dyDescent="0.25">
      <c r="B6055" s="5">
        <v>6050</v>
      </c>
      <c r="C6055" s="5">
        <v>320.78304470691398</v>
      </c>
      <c r="D6055" s="45"/>
    </row>
    <row r="6056" spans="2:4" ht="16" thickBot="1" x14ac:dyDescent="0.25">
      <c r="B6056" s="4">
        <v>6051</v>
      </c>
      <c r="C6056" s="4">
        <v>113.65526000879167</v>
      </c>
      <c r="D6056" s="45"/>
    </row>
    <row r="6057" spans="2:4" ht="16" thickBot="1" x14ac:dyDescent="0.25">
      <c r="B6057" s="5">
        <v>6052</v>
      </c>
      <c r="C6057" s="5">
        <v>133.98764697172183</v>
      </c>
      <c r="D6057" s="45"/>
    </row>
    <row r="6058" spans="2:4" ht="16" thickBot="1" x14ac:dyDescent="0.25">
      <c r="B6058" s="4">
        <v>6053</v>
      </c>
      <c r="C6058" s="4">
        <v>102.48925042724863</v>
      </c>
      <c r="D6058" s="45"/>
    </row>
    <row r="6059" spans="2:4" ht="16" thickBot="1" x14ac:dyDescent="0.25">
      <c r="B6059" s="5">
        <v>6054</v>
      </c>
      <c r="C6059" s="5">
        <v>303.48103627337855</v>
      </c>
      <c r="D6059" s="45"/>
    </row>
    <row r="6060" spans="2:4" ht="16" thickBot="1" x14ac:dyDescent="0.25">
      <c r="B6060" s="4">
        <v>6055</v>
      </c>
      <c r="C6060" s="4">
        <v>256.255739935946</v>
      </c>
      <c r="D6060" s="45"/>
    </row>
    <row r="6061" spans="2:4" ht="16" thickBot="1" x14ac:dyDescent="0.25">
      <c r="B6061" s="5">
        <v>6056</v>
      </c>
      <c r="C6061" s="5">
        <v>182.35075499849319</v>
      </c>
      <c r="D6061" s="45"/>
    </row>
    <row r="6062" spans="2:4" ht="16" thickBot="1" x14ac:dyDescent="0.25">
      <c r="B6062" s="4">
        <v>6057</v>
      </c>
      <c r="C6062" s="4">
        <v>144.13781678066289</v>
      </c>
      <c r="D6062" s="45"/>
    </row>
    <row r="6063" spans="2:4" ht="16" thickBot="1" x14ac:dyDescent="0.25">
      <c r="B6063" s="5">
        <v>6058</v>
      </c>
      <c r="C6063" s="5">
        <v>179.62109330632015</v>
      </c>
      <c r="D6063" s="45"/>
    </row>
    <row r="6064" spans="2:4" ht="16" thickBot="1" x14ac:dyDescent="0.25">
      <c r="B6064" s="4">
        <v>6059</v>
      </c>
      <c r="C6064" s="4">
        <v>268.29845934858679</v>
      </c>
      <c r="D6064" s="45"/>
    </row>
    <row r="6065" spans="2:4" ht="16" thickBot="1" x14ac:dyDescent="0.25">
      <c r="B6065" s="5">
        <v>6060</v>
      </c>
      <c r="C6065" s="5">
        <v>361.85362225141722</v>
      </c>
      <c r="D6065" s="45"/>
    </row>
    <row r="6066" spans="2:4" ht="16" thickBot="1" x14ac:dyDescent="0.25">
      <c r="B6066" s="4">
        <v>6061</v>
      </c>
      <c r="C6066" s="4">
        <v>75.873608493445801</v>
      </c>
      <c r="D6066" s="45"/>
    </row>
    <row r="6067" spans="2:4" ht="16" thickBot="1" x14ac:dyDescent="0.25">
      <c r="B6067" s="5">
        <v>6062</v>
      </c>
      <c r="C6067" s="5">
        <v>153.56995894339175</v>
      </c>
      <c r="D6067" s="45"/>
    </row>
    <row r="6068" spans="2:4" ht="16" thickBot="1" x14ac:dyDescent="0.25">
      <c r="B6068" s="4">
        <v>6063</v>
      </c>
      <c r="C6068" s="4">
        <v>199.85551688030503</v>
      </c>
      <c r="D6068" s="45"/>
    </row>
    <row r="6069" spans="2:4" ht="16" thickBot="1" x14ac:dyDescent="0.25">
      <c r="B6069" s="5">
        <v>6064</v>
      </c>
      <c r="C6069" s="5">
        <v>118.26532844970932</v>
      </c>
      <c r="D6069" s="45"/>
    </row>
    <row r="6070" spans="2:4" ht="16" thickBot="1" x14ac:dyDescent="0.25">
      <c r="B6070" s="4">
        <v>6065</v>
      </c>
      <c r="C6070" s="4">
        <v>180.11196224549033</v>
      </c>
      <c r="D6070" s="45"/>
    </row>
    <row r="6071" spans="2:4" ht="16" thickBot="1" x14ac:dyDescent="0.25">
      <c r="B6071" s="5">
        <v>6066</v>
      </c>
      <c r="C6071" s="5">
        <v>437.836242424955</v>
      </c>
      <c r="D6071" s="45"/>
    </row>
    <row r="6072" spans="2:4" ht="16" thickBot="1" x14ac:dyDescent="0.25">
      <c r="B6072" s="4">
        <v>6067</v>
      </c>
      <c r="C6072" s="4">
        <v>119.82476686473514</v>
      </c>
      <c r="D6072" s="45"/>
    </row>
    <row r="6073" spans="2:4" ht="16" thickBot="1" x14ac:dyDescent="0.25">
      <c r="B6073" s="5">
        <v>6068</v>
      </c>
      <c r="C6073" s="5">
        <v>191.76166258310673</v>
      </c>
      <c r="D6073" s="45"/>
    </row>
    <row r="6074" spans="2:4" ht="16" thickBot="1" x14ac:dyDescent="0.25">
      <c r="B6074" s="4">
        <v>6069</v>
      </c>
      <c r="C6074" s="4">
        <v>97.255906825348717</v>
      </c>
      <c r="D6074" s="45"/>
    </row>
    <row r="6075" spans="2:4" ht="16" thickBot="1" x14ac:dyDescent="0.25">
      <c r="B6075" s="5">
        <v>6070</v>
      </c>
      <c r="C6075" s="5">
        <v>154.03945258991263</v>
      </c>
      <c r="D6075" s="45"/>
    </row>
    <row r="6076" spans="2:4" ht="16" thickBot="1" x14ac:dyDescent="0.25">
      <c r="B6076" s="4">
        <v>6071</v>
      </c>
      <c r="C6076" s="4">
        <v>128.00989697858188</v>
      </c>
      <c r="D6076" s="45"/>
    </row>
    <row r="6077" spans="2:4" ht="16" thickBot="1" x14ac:dyDescent="0.25">
      <c r="B6077" s="5">
        <v>6072</v>
      </c>
      <c r="C6077" s="5">
        <v>335.22407852001157</v>
      </c>
      <c r="D6077" s="45"/>
    </row>
    <row r="6078" spans="2:4" ht="16" thickBot="1" x14ac:dyDescent="0.25">
      <c r="B6078" s="4">
        <v>6073</v>
      </c>
      <c r="C6078" s="4">
        <v>171.02248470911778</v>
      </c>
      <c r="D6078" s="45"/>
    </row>
    <row r="6079" spans="2:4" ht="16" thickBot="1" x14ac:dyDescent="0.25">
      <c r="B6079" s="5">
        <v>6074</v>
      </c>
      <c r="C6079" s="5">
        <v>179.78045230559752</v>
      </c>
      <c r="D6079" s="45"/>
    </row>
    <row r="6080" spans="2:4" ht="16" thickBot="1" x14ac:dyDescent="0.25">
      <c r="B6080" s="4">
        <v>6075</v>
      </c>
      <c r="C6080" s="4">
        <v>88.726802405799717</v>
      </c>
      <c r="D6080" s="45"/>
    </row>
    <row r="6081" spans="2:4" ht="16" thickBot="1" x14ac:dyDescent="0.25">
      <c r="B6081" s="5">
        <v>6076</v>
      </c>
      <c r="C6081" s="5">
        <v>133.17079595536734</v>
      </c>
      <c r="D6081" s="45"/>
    </row>
    <row r="6082" spans="2:4" ht="16" thickBot="1" x14ac:dyDescent="0.25">
      <c r="B6082" s="4">
        <v>6077</v>
      </c>
      <c r="C6082" s="4">
        <v>105.46449770613076</v>
      </c>
      <c r="D6082" s="45"/>
    </row>
    <row r="6083" spans="2:4" ht="16" thickBot="1" x14ac:dyDescent="0.25">
      <c r="B6083" s="5">
        <v>6078</v>
      </c>
      <c r="C6083" s="5">
        <v>159.46903645339802</v>
      </c>
      <c r="D6083" s="45"/>
    </row>
    <row r="6084" spans="2:4" ht="16" thickBot="1" x14ac:dyDescent="0.25">
      <c r="B6084" s="4">
        <v>6079</v>
      </c>
      <c r="C6084" s="4">
        <v>55.042713875090577</v>
      </c>
      <c r="D6084" s="45"/>
    </row>
    <row r="6085" spans="2:4" ht="16" thickBot="1" x14ac:dyDescent="0.25">
      <c r="B6085" s="5">
        <v>6080</v>
      </c>
      <c r="C6085" s="5">
        <v>297.82323076572629</v>
      </c>
      <c r="D6085" s="45"/>
    </row>
    <row r="6086" spans="2:4" ht="16" thickBot="1" x14ac:dyDescent="0.25">
      <c r="B6086" s="4">
        <v>6081</v>
      </c>
      <c r="C6086" s="4">
        <v>341.45611220648686</v>
      </c>
      <c r="D6086" s="45"/>
    </row>
    <row r="6087" spans="2:4" ht="16" thickBot="1" x14ac:dyDescent="0.25">
      <c r="B6087" s="5">
        <v>6082</v>
      </c>
      <c r="C6087" s="5">
        <v>66.548173917651113</v>
      </c>
      <c r="D6087" s="45"/>
    </row>
    <row r="6088" spans="2:4" ht="16" thickBot="1" x14ac:dyDescent="0.25">
      <c r="B6088" s="4">
        <v>6083</v>
      </c>
      <c r="C6088" s="4">
        <v>142.1910939590889</v>
      </c>
      <c r="D6088" s="45"/>
    </row>
    <row r="6089" spans="2:4" ht="16" thickBot="1" x14ac:dyDescent="0.25">
      <c r="B6089" s="5">
        <v>6084</v>
      </c>
      <c r="C6089" s="5">
        <v>113.78706522922062</v>
      </c>
      <c r="D6089" s="45"/>
    </row>
    <row r="6090" spans="2:4" ht="16" thickBot="1" x14ac:dyDescent="0.25">
      <c r="B6090" s="4">
        <v>6085</v>
      </c>
      <c r="C6090" s="4">
        <v>202.62597779598539</v>
      </c>
      <c r="D6090" s="45"/>
    </row>
    <row r="6091" spans="2:4" ht="16" thickBot="1" x14ac:dyDescent="0.25">
      <c r="B6091" s="5">
        <v>6086</v>
      </c>
      <c r="C6091" s="5">
        <v>127.3895738537253</v>
      </c>
      <c r="D6091" s="45"/>
    </row>
    <row r="6092" spans="2:4" ht="16" thickBot="1" x14ac:dyDescent="0.25">
      <c r="B6092" s="4">
        <v>6087</v>
      </c>
      <c r="C6092" s="4">
        <v>122.12606071564346</v>
      </c>
      <c r="D6092" s="45"/>
    </row>
    <row r="6093" spans="2:4" ht="16" thickBot="1" x14ac:dyDescent="0.25">
      <c r="B6093" s="5">
        <v>6088</v>
      </c>
      <c r="C6093" s="5">
        <v>77.861709935828216</v>
      </c>
      <c r="D6093" s="45"/>
    </row>
    <row r="6094" spans="2:4" ht="16" thickBot="1" x14ac:dyDescent="0.25">
      <c r="B6094" s="4">
        <v>6089</v>
      </c>
      <c r="C6094" s="4">
        <v>157.73502848867369</v>
      </c>
      <c r="D6094" s="45"/>
    </row>
    <row r="6095" spans="2:4" ht="16" thickBot="1" x14ac:dyDescent="0.25">
      <c r="B6095" s="5">
        <v>6090</v>
      </c>
      <c r="C6095" s="5">
        <v>89.119087916947194</v>
      </c>
      <c r="D6095" s="45"/>
    </row>
    <row r="6096" spans="2:4" ht="16" thickBot="1" x14ac:dyDescent="0.25">
      <c r="B6096" s="4">
        <v>6091</v>
      </c>
      <c r="C6096" s="4">
        <v>113.37484829503475</v>
      </c>
      <c r="D6096" s="45"/>
    </row>
    <row r="6097" spans="2:4" ht="16" thickBot="1" x14ac:dyDescent="0.25">
      <c r="B6097" s="5">
        <v>6092</v>
      </c>
      <c r="C6097" s="5">
        <v>99.961839373203148</v>
      </c>
      <c r="D6097" s="45"/>
    </row>
    <row r="6098" spans="2:4" ht="16" thickBot="1" x14ac:dyDescent="0.25">
      <c r="B6098" s="4">
        <v>6093</v>
      </c>
      <c r="C6098" s="4">
        <v>81.691344265292884</v>
      </c>
      <c r="D6098" s="45"/>
    </row>
    <row r="6099" spans="2:4" ht="16" thickBot="1" x14ac:dyDescent="0.25">
      <c r="B6099" s="5">
        <v>6094</v>
      </c>
      <c r="C6099" s="5">
        <v>132.11781403121884</v>
      </c>
      <c r="D6099" s="45"/>
    </row>
    <row r="6100" spans="2:4" ht="16" thickBot="1" x14ac:dyDescent="0.25">
      <c r="B6100" s="4">
        <v>6095</v>
      </c>
      <c r="C6100" s="4">
        <v>53.775567118935967</v>
      </c>
      <c r="D6100" s="45"/>
    </row>
    <row r="6101" spans="2:4" ht="16" thickBot="1" x14ac:dyDescent="0.25">
      <c r="B6101" s="5">
        <v>6096</v>
      </c>
      <c r="C6101" s="5">
        <v>94.327388747383495</v>
      </c>
      <c r="D6101" s="45"/>
    </row>
    <row r="6102" spans="2:4" ht="16" thickBot="1" x14ac:dyDescent="0.25">
      <c r="B6102" s="4">
        <v>6097</v>
      </c>
      <c r="C6102" s="4">
        <v>146.78685852128581</v>
      </c>
      <c r="D6102" s="45"/>
    </row>
    <row r="6103" spans="2:4" ht="16" thickBot="1" x14ac:dyDescent="0.25">
      <c r="B6103" s="5">
        <v>6098</v>
      </c>
      <c r="C6103" s="5">
        <v>1024.4427936716172</v>
      </c>
      <c r="D6103" s="45"/>
    </row>
    <row r="6104" spans="2:4" ht="16" thickBot="1" x14ac:dyDescent="0.25">
      <c r="B6104" s="4">
        <v>6099</v>
      </c>
      <c r="C6104" s="4">
        <v>154.62362143136173</v>
      </c>
      <c r="D6104" s="45"/>
    </row>
    <row r="6105" spans="2:4" ht="16" thickBot="1" x14ac:dyDescent="0.25">
      <c r="B6105" s="5">
        <v>6100</v>
      </c>
      <c r="C6105" s="5">
        <v>121.52754798822438</v>
      </c>
      <c r="D6105" s="45"/>
    </row>
    <row r="6106" spans="2:4" ht="16" thickBot="1" x14ac:dyDescent="0.25">
      <c r="B6106" s="4">
        <v>6101</v>
      </c>
      <c r="C6106" s="4">
        <v>101.93270935441136</v>
      </c>
      <c r="D6106" s="45"/>
    </row>
    <row r="6107" spans="2:4" ht="16" thickBot="1" x14ac:dyDescent="0.25">
      <c r="B6107" s="5">
        <v>6102</v>
      </c>
      <c r="C6107" s="5">
        <v>190.13414077025382</v>
      </c>
      <c r="D6107" s="45"/>
    </row>
    <row r="6108" spans="2:4" ht="16" thickBot="1" x14ac:dyDescent="0.25">
      <c r="B6108" s="4">
        <v>6103</v>
      </c>
      <c r="C6108" s="4">
        <v>157.47538742485818</v>
      </c>
      <c r="D6108" s="45"/>
    </row>
    <row r="6109" spans="2:4" ht="16" thickBot="1" x14ac:dyDescent="0.25">
      <c r="B6109" s="5">
        <v>6104</v>
      </c>
      <c r="C6109" s="5">
        <v>124.57558054976393</v>
      </c>
      <c r="D6109" s="45"/>
    </row>
    <row r="6110" spans="2:4" ht="16" thickBot="1" x14ac:dyDescent="0.25">
      <c r="B6110" s="4">
        <v>6105</v>
      </c>
      <c r="C6110" s="4">
        <v>79.446045963765698</v>
      </c>
      <c r="D6110" s="45"/>
    </row>
    <row r="6111" spans="2:4" ht="16" thickBot="1" x14ac:dyDescent="0.25">
      <c r="B6111" s="5">
        <v>6106</v>
      </c>
      <c r="C6111" s="5">
        <v>156.83273346902493</v>
      </c>
      <c r="D6111" s="45"/>
    </row>
    <row r="6112" spans="2:4" ht="16" thickBot="1" x14ac:dyDescent="0.25">
      <c r="B6112" s="4">
        <v>6107</v>
      </c>
      <c r="C6112" s="4">
        <v>94.492026093579682</v>
      </c>
      <c r="D6112" s="45"/>
    </row>
    <row r="6113" spans="2:4" ht="16" thickBot="1" x14ac:dyDescent="0.25">
      <c r="B6113" s="5">
        <v>6108</v>
      </c>
      <c r="C6113" s="5">
        <v>97.410336071018065</v>
      </c>
      <c r="D6113" s="45"/>
    </row>
    <row r="6114" spans="2:4" ht="16" thickBot="1" x14ac:dyDescent="0.25">
      <c r="B6114" s="4">
        <v>6109</v>
      </c>
      <c r="C6114" s="4">
        <v>189.71425576478276</v>
      </c>
      <c r="D6114" s="45"/>
    </row>
    <row r="6115" spans="2:4" ht="16" thickBot="1" x14ac:dyDescent="0.25">
      <c r="B6115" s="5">
        <v>6110</v>
      </c>
      <c r="C6115" s="5">
        <v>182.73058588323909</v>
      </c>
      <c r="D6115" s="45"/>
    </row>
    <row r="6116" spans="2:4" ht="16" thickBot="1" x14ac:dyDescent="0.25">
      <c r="B6116" s="4">
        <v>6111</v>
      </c>
      <c r="C6116" s="4">
        <v>100.70318964750969</v>
      </c>
      <c r="D6116" s="45"/>
    </row>
    <row r="6117" spans="2:4" ht="16" thickBot="1" x14ac:dyDescent="0.25">
      <c r="B6117" s="5">
        <v>6112</v>
      </c>
      <c r="C6117" s="5">
        <v>76.145108489141506</v>
      </c>
      <c r="D6117" s="45"/>
    </row>
    <row r="6118" spans="2:4" ht="16" thickBot="1" x14ac:dyDescent="0.25">
      <c r="B6118" s="4">
        <v>6113</v>
      </c>
      <c r="C6118" s="4">
        <v>208.12253997355597</v>
      </c>
      <c r="D6118" s="45"/>
    </row>
    <row r="6119" spans="2:4" ht="16" thickBot="1" x14ac:dyDescent="0.25">
      <c r="B6119" s="5">
        <v>6114</v>
      </c>
      <c r="C6119" s="5">
        <v>76.833222966415562</v>
      </c>
      <c r="D6119" s="45"/>
    </row>
    <row r="6120" spans="2:4" ht="16" thickBot="1" x14ac:dyDescent="0.25">
      <c r="B6120" s="4">
        <v>6115</v>
      </c>
      <c r="C6120" s="4">
        <v>177.66689236998147</v>
      </c>
      <c r="D6120" s="45"/>
    </row>
    <row r="6121" spans="2:4" ht="16" thickBot="1" x14ac:dyDescent="0.25">
      <c r="B6121" s="5">
        <v>6116</v>
      </c>
      <c r="C6121" s="5">
        <v>171.99957157984915</v>
      </c>
      <c r="D6121" s="45"/>
    </row>
    <row r="6122" spans="2:4" ht="16" thickBot="1" x14ac:dyDescent="0.25">
      <c r="B6122" s="4">
        <v>6117</v>
      </c>
      <c r="C6122" s="4">
        <v>56.302266779708219</v>
      </c>
      <c r="D6122" s="45"/>
    </row>
    <row r="6123" spans="2:4" ht="16" thickBot="1" x14ac:dyDescent="0.25">
      <c r="B6123" s="5">
        <v>6118</v>
      </c>
      <c r="C6123" s="5">
        <v>60.852491892402092</v>
      </c>
      <c r="D6123" s="45"/>
    </row>
    <row r="6124" spans="2:4" ht="16" thickBot="1" x14ac:dyDescent="0.25">
      <c r="B6124" s="4">
        <v>6119</v>
      </c>
      <c r="C6124" s="4">
        <v>71.934286601577526</v>
      </c>
      <c r="D6124" s="45"/>
    </row>
    <row r="6125" spans="2:4" ht="16" thickBot="1" x14ac:dyDescent="0.25">
      <c r="B6125" s="5">
        <v>6120</v>
      </c>
      <c r="C6125" s="5">
        <v>228.07714637362221</v>
      </c>
      <c r="D6125" s="45"/>
    </row>
    <row r="6126" spans="2:4" ht="16" thickBot="1" x14ac:dyDescent="0.25">
      <c r="B6126" s="4">
        <v>6121</v>
      </c>
      <c r="C6126" s="4">
        <v>252.89057721057517</v>
      </c>
      <c r="D6126" s="45"/>
    </row>
    <row r="6127" spans="2:4" ht="16" thickBot="1" x14ac:dyDescent="0.25">
      <c r="B6127" s="5">
        <v>6122</v>
      </c>
      <c r="C6127" s="5">
        <v>229.74768291008039</v>
      </c>
      <c r="D6127" s="45"/>
    </row>
    <row r="6128" spans="2:4" ht="16" thickBot="1" x14ac:dyDescent="0.25">
      <c r="B6128" s="4">
        <v>6123</v>
      </c>
      <c r="C6128" s="4">
        <v>600.2560426984586</v>
      </c>
      <c r="D6128" s="45"/>
    </row>
    <row r="6129" spans="2:4" ht="16" thickBot="1" x14ac:dyDescent="0.25">
      <c r="B6129" s="5">
        <v>6124</v>
      </c>
      <c r="C6129" s="5">
        <v>176.72962928418187</v>
      </c>
      <c r="D6129" s="45"/>
    </row>
    <row r="6130" spans="2:4" ht="16" thickBot="1" x14ac:dyDescent="0.25">
      <c r="B6130" s="4">
        <v>6125</v>
      </c>
      <c r="C6130" s="4">
        <v>173.27292368375754</v>
      </c>
      <c r="D6130" s="45"/>
    </row>
    <row r="6131" spans="2:4" ht="16" thickBot="1" x14ac:dyDescent="0.25">
      <c r="B6131" s="5">
        <v>6126</v>
      </c>
      <c r="C6131" s="5">
        <v>149.24214417290528</v>
      </c>
      <c r="D6131" s="45"/>
    </row>
    <row r="6132" spans="2:4" ht="16" thickBot="1" x14ac:dyDescent="0.25">
      <c r="B6132" s="4">
        <v>6127</v>
      </c>
      <c r="C6132" s="4">
        <v>138.21933072977393</v>
      </c>
      <c r="D6132" s="45"/>
    </row>
    <row r="6133" spans="2:4" ht="16" thickBot="1" x14ac:dyDescent="0.25">
      <c r="B6133" s="5">
        <v>6128</v>
      </c>
      <c r="C6133" s="5">
        <v>83.981333116777833</v>
      </c>
      <c r="D6133" s="45"/>
    </row>
    <row r="6134" spans="2:4" ht="16" thickBot="1" x14ac:dyDescent="0.25">
      <c r="B6134" s="4">
        <v>6129</v>
      </c>
      <c r="C6134" s="4">
        <v>181.3927750443107</v>
      </c>
      <c r="D6134" s="45"/>
    </row>
    <row r="6135" spans="2:4" ht="16" thickBot="1" x14ac:dyDescent="0.25">
      <c r="B6135" s="5">
        <v>6130</v>
      </c>
      <c r="C6135" s="5">
        <v>174.70801939557251</v>
      </c>
      <c r="D6135" s="45"/>
    </row>
    <row r="6136" spans="2:4" ht="16" thickBot="1" x14ac:dyDescent="0.25">
      <c r="B6136" s="4">
        <v>6131</v>
      </c>
      <c r="C6136" s="4">
        <v>167.42010922934918</v>
      </c>
      <c r="D6136" s="45"/>
    </row>
    <row r="6137" spans="2:4" ht="16" thickBot="1" x14ac:dyDescent="0.25">
      <c r="B6137" s="5">
        <v>6132</v>
      </c>
      <c r="C6137" s="5">
        <v>142.87869451364665</v>
      </c>
      <c r="D6137" s="45"/>
    </row>
    <row r="6138" spans="2:4" ht="16" thickBot="1" x14ac:dyDescent="0.25">
      <c r="B6138" s="4">
        <v>6133</v>
      </c>
      <c r="C6138" s="4">
        <v>145.29584759289997</v>
      </c>
      <c r="D6138" s="45"/>
    </row>
    <row r="6139" spans="2:4" ht="16" thickBot="1" x14ac:dyDescent="0.25">
      <c r="B6139" s="5">
        <v>6134</v>
      </c>
      <c r="C6139" s="5">
        <v>128.25708297327012</v>
      </c>
      <c r="D6139" s="45"/>
    </row>
    <row r="6140" spans="2:4" ht="16" thickBot="1" x14ac:dyDescent="0.25">
      <c r="B6140" s="4">
        <v>6135</v>
      </c>
      <c r="C6140" s="4">
        <v>168.74475372052805</v>
      </c>
      <c r="D6140" s="45"/>
    </row>
    <row r="6141" spans="2:4" ht="16" thickBot="1" x14ac:dyDescent="0.25">
      <c r="B6141" s="5">
        <v>6136</v>
      </c>
      <c r="C6141" s="5">
        <v>391.66674365617138</v>
      </c>
      <c r="D6141" s="45"/>
    </row>
    <row r="6142" spans="2:4" ht="16" thickBot="1" x14ac:dyDescent="0.25">
      <c r="B6142" s="4">
        <v>6137</v>
      </c>
      <c r="C6142" s="4">
        <v>266.67318446214034</v>
      </c>
      <c r="D6142" s="45"/>
    </row>
    <row r="6143" spans="2:4" ht="16" thickBot="1" x14ac:dyDescent="0.25">
      <c r="B6143" s="5">
        <v>6138</v>
      </c>
      <c r="C6143" s="5">
        <v>123.27493190768077</v>
      </c>
      <c r="D6143" s="45"/>
    </row>
    <row r="6144" spans="2:4" ht="16" thickBot="1" x14ac:dyDescent="0.25">
      <c r="B6144" s="4">
        <v>6139</v>
      </c>
      <c r="C6144" s="4">
        <v>133.74894651423963</v>
      </c>
      <c r="D6144" s="45"/>
    </row>
    <row r="6145" spans="2:4" ht="16" thickBot="1" x14ac:dyDescent="0.25">
      <c r="B6145" s="5">
        <v>6140</v>
      </c>
      <c r="C6145" s="5">
        <v>104.75691458545943</v>
      </c>
      <c r="D6145" s="45"/>
    </row>
    <row r="6146" spans="2:4" ht="16" thickBot="1" x14ac:dyDescent="0.25">
      <c r="B6146" s="4">
        <v>6141</v>
      </c>
      <c r="C6146" s="4">
        <v>76.109199931838788</v>
      </c>
      <c r="D6146" s="45"/>
    </row>
    <row r="6147" spans="2:4" ht="16" thickBot="1" x14ac:dyDescent="0.25">
      <c r="B6147" s="5">
        <v>6142</v>
      </c>
      <c r="C6147" s="5">
        <v>405.96643381570573</v>
      </c>
      <c r="D6147" s="45"/>
    </row>
    <row r="6148" spans="2:4" ht="16" thickBot="1" x14ac:dyDescent="0.25">
      <c r="B6148" s="4">
        <v>6143</v>
      </c>
      <c r="C6148" s="4">
        <v>136.47223103796713</v>
      </c>
      <c r="D6148" s="45"/>
    </row>
    <row r="6149" spans="2:4" ht="16" thickBot="1" x14ac:dyDescent="0.25">
      <c r="B6149" s="5">
        <v>6144</v>
      </c>
      <c r="C6149" s="5">
        <v>143.77642394723179</v>
      </c>
      <c r="D6149" s="45"/>
    </row>
    <row r="6150" spans="2:4" ht="16" thickBot="1" x14ac:dyDescent="0.25">
      <c r="B6150" s="4">
        <v>6145</v>
      </c>
      <c r="C6150" s="4">
        <v>187.08039355182075</v>
      </c>
      <c r="D6150" s="45"/>
    </row>
    <row r="6151" spans="2:4" ht="16" thickBot="1" x14ac:dyDescent="0.25">
      <c r="B6151" s="5">
        <v>6146</v>
      </c>
      <c r="C6151" s="5">
        <v>97.202636208396925</v>
      </c>
      <c r="D6151" s="45"/>
    </row>
    <row r="6152" spans="2:4" ht="16" thickBot="1" x14ac:dyDescent="0.25">
      <c r="B6152" s="4">
        <v>6147</v>
      </c>
      <c r="C6152" s="4">
        <v>102.73718183012448</v>
      </c>
      <c r="D6152" s="45"/>
    </row>
    <row r="6153" spans="2:4" ht="16" thickBot="1" x14ac:dyDescent="0.25">
      <c r="B6153" s="5">
        <v>6148</v>
      </c>
      <c r="C6153" s="5">
        <v>89.415051639894827</v>
      </c>
      <c r="D6153" s="45"/>
    </row>
    <row r="6154" spans="2:4" ht="16" thickBot="1" x14ac:dyDescent="0.25">
      <c r="B6154" s="4">
        <v>6149</v>
      </c>
      <c r="C6154" s="4">
        <v>65.751355718259191</v>
      </c>
      <c r="D6154" s="45"/>
    </row>
    <row r="6155" spans="2:4" ht="16" thickBot="1" x14ac:dyDescent="0.25">
      <c r="B6155" s="5">
        <v>6150</v>
      </c>
      <c r="C6155" s="5">
        <v>168.48480392265819</v>
      </c>
      <c r="D6155" s="45"/>
    </row>
    <row r="6156" spans="2:4" ht="16" thickBot="1" x14ac:dyDescent="0.25">
      <c r="B6156" s="4">
        <v>6151</v>
      </c>
      <c r="C6156" s="4">
        <v>303.60655356735055</v>
      </c>
      <c r="D6156" s="45"/>
    </row>
    <row r="6157" spans="2:4" ht="16" thickBot="1" x14ac:dyDescent="0.25">
      <c r="B6157" s="5">
        <v>6152</v>
      </c>
      <c r="C6157" s="5">
        <v>106.30160902491058</v>
      </c>
      <c r="D6157" s="45"/>
    </row>
    <row r="6158" spans="2:4" ht="16" thickBot="1" x14ac:dyDescent="0.25">
      <c r="B6158" s="4">
        <v>6153</v>
      </c>
      <c r="C6158" s="4">
        <v>121.12559410922705</v>
      </c>
      <c r="D6158" s="45"/>
    </row>
    <row r="6159" spans="2:4" ht="16" thickBot="1" x14ac:dyDescent="0.25">
      <c r="B6159" s="5">
        <v>6154</v>
      </c>
      <c r="C6159" s="5">
        <v>130.81371068600239</v>
      </c>
      <c r="D6159" s="45"/>
    </row>
    <row r="6160" spans="2:4" ht="16" thickBot="1" x14ac:dyDescent="0.25">
      <c r="B6160" s="4">
        <v>6155</v>
      </c>
      <c r="C6160" s="4">
        <v>130.23604450966417</v>
      </c>
      <c r="D6160" s="45"/>
    </row>
    <row r="6161" spans="2:4" ht="16" thickBot="1" x14ac:dyDescent="0.25">
      <c r="B6161" s="5">
        <v>6156</v>
      </c>
      <c r="C6161" s="5">
        <v>182.96465969028759</v>
      </c>
      <c r="D6161" s="45"/>
    </row>
    <row r="6162" spans="2:4" ht="16" thickBot="1" x14ac:dyDescent="0.25">
      <c r="B6162" s="4">
        <v>6157</v>
      </c>
      <c r="C6162" s="4">
        <v>30.532603466927672</v>
      </c>
      <c r="D6162" s="45"/>
    </row>
    <row r="6163" spans="2:4" ht="16" thickBot="1" x14ac:dyDescent="0.25">
      <c r="B6163" s="5">
        <v>6158</v>
      </c>
      <c r="C6163" s="5">
        <v>461.02778756733142</v>
      </c>
      <c r="D6163" s="45"/>
    </row>
    <row r="6164" spans="2:4" ht="16" thickBot="1" x14ac:dyDescent="0.25">
      <c r="B6164" s="4">
        <v>6159</v>
      </c>
      <c r="C6164" s="4">
        <v>215.88180575885204</v>
      </c>
      <c r="D6164" s="45"/>
    </row>
    <row r="6165" spans="2:4" ht="16" thickBot="1" x14ac:dyDescent="0.25">
      <c r="B6165" s="5">
        <v>6160</v>
      </c>
      <c r="C6165" s="5">
        <v>195.93087154073589</v>
      </c>
      <c r="D6165" s="45"/>
    </row>
    <row r="6166" spans="2:4" ht="16" thickBot="1" x14ac:dyDescent="0.25">
      <c r="B6166" s="4">
        <v>6161</v>
      </c>
      <c r="C6166" s="4">
        <v>88.286485490496304</v>
      </c>
      <c r="D6166" s="45"/>
    </row>
    <row r="6167" spans="2:4" ht="16" thickBot="1" x14ac:dyDescent="0.25">
      <c r="B6167" s="5">
        <v>6162</v>
      </c>
      <c r="C6167" s="5">
        <v>115.97431657907536</v>
      </c>
      <c r="D6167" s="45"/>
    </row>
    <row r="6168" spans="2:4" ht="16" thickBot="1" x14ac:dyDescent="0.25">
      <c r="B6168" s="4">
        <v>6163</v>
      </c>
      <c r="C6168" s="4">
        <v>208.79819889240449</v>
      </c>
      <c r="D6168" s="45"/>
    </row>
    <row r="6169" spans="2:4" ht="16" thickBot="1" x14ac:dyDescent="0.25">
      <c r="B6169" s="5">
        <v>6164</v>
      </c>
      <c r="C6169" s="5">
        <v>53.404020853141965</v>
      </c>
      <c r="D6169" s="45"/>
    </row>
    <row r="6170" spans="2:4" ht="16" thickBot="1" x14ac:dyDescent="0.25">
      <c r="B6170" s="4">
        <v>6165</v>
      </c>
      <c r="C6170" s="4">
        <v>173.12707819509828</v>
      </c>
      <c r="D6170" s="45"/>
    </row>
    <row r="6171" spans="2:4" ht="16" thickBot="1" x14ac:dyDescent="0.25">
      <c r="B6171" s="5">
        <v>6166</v>
      </c>
      <c r="C6171" s="5">
        <v>122.7193955644893</v>
      </c>
      <c r="D6171" s="45"/>
    </row>
    <row r="6172" spans="2:4" ht="16" thickBot="1" x14ac:dyDescent="0.25">
      <c r="B6172" s="4">
        <v>6167</v>
      </c>
      <c r="C6172" s="4">
        <v>189.85674924973699</v>
      </c>
      <c r="D6172" s="45"/>
    </row>
    <row r="6173" spans="2:4" ht="16" thickBot="1" x14ac:dyDescent="0.25">
      <c r="B6173" s="5">
        <v>6168</v>
      </c>
      <c r="C6173" s="5">
        <v>121.27198722641113</v>
      </c>
      <c r="D6173" s="45"/>
    </row>
    <row r="6174" spans="2:4" ht="16" thickBot="1" x14ac:dyDescent="0.25">
      <c r="B6174" s="4">
        <v>6169</v>
      </c>
      <c r="C6174" s="4">
        <v>142.83065624716158</v>
      </c>
      <c r="D6174" s="45"/>
    </row>
    <row r="6175" spans="2:4" ht="16" thickBot="1" x14ac:dyDescent="0.25">
      <c r="B6175" s="5">
        <v>6170</v>
      </c>
      <c r="C6175" s="5">
        <v>82.21473165722216</v>
      </c>
      <c r="D6175" s="45"/>
    </row>
    <row r="6176" spans="2:4" ht="16" thickBot="1" x14ac:dyDescent="0.25">
      <c r="B6176" s="4">
        <v>6171</v>
      </c>
      <c r="C6176" s="4">
        <v>164.31719053082548</v>
      </c>
      <c r="D6176" s="45"/>
    </row>
    <row r="6177" spans="2:4" ht="16" thickBot="1" x14ac:dyDescent="0.25">
      <c r="B6177" s="5">
        <v>6172</v>
      </c>
      <c r="C6177" s="5">
        <v>84.852617534882256</v>
      </c>
      <c r="D6177" s="45"/>
    </row>
    <row r="6178" spans="2:4" ht="16" thickBot="1" x14ac:dyDescent="0.25">
      <c r="B6178" s="4">
        <v>6173</v>
      </c>
      <c r="C6178" s="4">
        <v>137.01808987304341</v>
      </c>
      <c r="D6178" s="45"/>
    </row>
    <row r="6179" spans="2:4" ht="16" thickBot="1" x14ac:dyDescent="0.25">
      <c r="B6179" s="5">
        <v>6174</v>
      </c>
      <c r="C6179" s="5">
        <v>207.20467549789549</v>
      </c>
      <c r="D6179" s="45"/>
    </row>
    <row r="6180" spans="2:4" ht="16" thickBot="1" x14ac:dyDescent="0.25">
      <c r="B6180" s="4">
        <v>6175</v>
      </c>
      <c r="C6180" s="4">
        <v>215.08752741828994</v>
      </c>
      <c r="D6180" s="45"/>
    </row>
    <row r="6181" spans="2:4" ht="16" thickBot="1" x14ac:dyDescent="0.25">
      <c r="B6181" s="5">
        <v>6176</v>
      </c>
      <c r="C6181" s="5">
        <v>67.815567451580208</v>
      </c>
      <c r="D6181" s="45"/>
    </row>
    <row r="6182" spans="2:4" ht="16" thickBot="1" x14ac:dyDescent="0.25">
      <c r="B6182" s="4">
        <v>6177</v>
      </c>
      <c r="C6182" s="4">
        <v>257.44854032964275</v>
      </c>
      <c r="D6182" s="45"/>
    </row>
    <row r="6183" spans="2:4" ht="16" thickBot="1" x14ac:dyDescent="0.25">
      <c r="B6183" s="5">
        <v>6178</v>
      </c>
      <c r="C6183" s="5">
        <v>82.99883269104761</v>
      </c>
      <c r="D6183" s="45"/>
    </row>
    <row r="6184" spans="2:4" ht="16" thickBot="1" x14ac:dyDescent="0.25">
      <c r="B6184" s="4">
        <v>6179</v>
      </c>
      <c r="C6184" s="4">
        <v>335.26831860667716</v>
      </c>
      <c r="D6184" s="45"/>
    </row>
    <row r="6185" spans="2:4" ht="16" thickBot="1" x14ac:dyDescent="0.25">
      <c r="B6185" s="5">
        <v>6180</v>
      </c>
      <c r="C6185" s="5">
        <v>163.58577074021559</v>
      </c>
      <c r="D6185" s="45"/>
    </row>
    <row r="6186" spans="2:4" ht="16" thickBot="1" x14ac:dyDescent="0.25">
      <c r="B6186" s="4">
        <v>6181</v>
      </c>
      <c r="C6186" s="4">
        <v>171.34105048107955</v>
      </c>
      <c r="D6186" s="45"/>
    </row>
    <row r="6187" spans="2:4" ht="16" thickBot="1" x14ac:dyDescent="0.25">
      <c r="B6187" s="5">
        <v>6182</v>
      </c>
      <c r="C6187" s="5">
        <v>65.881561400304605</v>
      </c>
      <c r="D6187" s="45"/>
    </row>
    <row r="6188" spans="2:4" ht="16" thickBot="1" x14ac:dyDescent="0.25">
      <c r="B6188" s="4">
        <v>6183</v>
      </c>
      <c r="C6188" s="4">
        <v>66.892004627852842</v>
      </c>
      <c r="D6188" s="45"/>
    </row>
    <row r="6189" spans="2:4" ht="16" thickBot="1" x14ac:dyDescent="0.25">
      <c r="B6189" s="5">
        <v>6184</v>
      </c>
      <c r="C6189" s="5">
        <v>290.63055708469238</v>
      </c>
      <c r="D6189" s="45"/>
    </row>
    <row r="6190" spans="2:4" ht="16" thickBot="1" x14ac:dyDescent="0.25">
      <c r="B6190" s="4">
        <v>6185</v>
      </c>
      <c r="C6190" s="4">
        <v>257.96140542079087</v>
      </c>
      <c r="D6190" s="45"/>
    </row>
    <row r="6191" spans="2:4" ht="16" thickBot="1" x14ac:dyDescent="0.25">
      <c r="B6191" s="5">
        <v>6186</v>
      </c>
      <c r="C6191" s="5">
        <v>49.875968281127271</v>
      </c>
      <c r="D6191" s="45"/>
    </row>
    <row r="6192" spans="2:4" ht="16" thickBot="1" x14ac:dyDescent="0.25">
      <c r="B6192" s="4">
        <v>6187</v>
      </c>
      <c r="C6192" s="4">
        <v>68.260901809277286</v>
      </c>
      <c r="D6192" s="45"/>
    </row>
    <row r="6193" spans="2:4" ht="16" thickBot="1" x14ac:dyDescent="0.25">
      <c r="B6193" s="5">
        <v>6188</v>
      </c>
      <c r="C6193" s="5">
        <v>382.92206375911212</v>
      </c>
      <c r="D6193" s="45"/>
    </row>
    <row r="6194" spans="2:4" ht="16" thickBot="1" x14ac:dyDescent="0.25">
      <c r="B6194" s="4">
        <v>6189</v>
      </c>
      <c r="C6194" s="4">
        <v>162.39662858993722</v>
      </c>
      <c r="D6194" s="45"/>
    </row>
    <row r="6195" spans="2:4" ht="16" thickBot="1" x14ac:dyDescent="0.25">
      <c r="B6195" s="5">
        <v>6190</v>
      </c>
      <c r="C6195" s="5">
        <v>143.58700455628454</v>
      </c>
      <c r="D6195" s="45"/>
    </row>
    <row r="6196" spans="2:4" ht="16" thickBot="1" x14ac:dyDescent="0.25">
      <c r="B6196" s="4">
        <v>6191</v>
      </c>
      <c r="C6196" s="4">
        <v>61.979155143964881</v>
      </c>
      <c r="D6196" s="45"/>
    </row>
    <row r="6197" spans="2:4" ht="16" thickBot="1" x14ac:dyDescent="0.25">
      <c r="B6197" s="5">
        <v>6192</v>
      </c>
      <c r="C6197" s="5">
        <v>214.00889560030635</v>
      </c>
      <c r="D6197" s="45"/>
    </row>
    <row r="6198" spans="2:4" ht="16" thickBot="1" x14ac:dyDescent="0.25">
      <c r="B6198" s="4">
        <v>6193</v>
      </c>
      <c r="C6198" s="4">
        <v>181.17779761248227</v>
      </c>
      <c r="D6198" s="45"/>
    </row>
    <row r="6199" spans="2:4" ht="16" thickBot="1" x14ac:dyDescent="0.25">
      <c r="B6199" s="5">
        <v>6194</v>
      </c>
      <c r="C6199" s="5">
        <v>238.57500461119372</v>
      </c>
      <c r="D6199" s="45"/>
    </row>
    <row r="6200" spans="2:4" ht="16" thickBot="1" x14ac:dyDescent="0.25">
      <c r="B6200" s="4">
        <v>6195</v>
      </c>
      <c r="C6200" s="4">
        <v>90.329390642160377</v>
      </c>
      <c r="D6200" s="45"/>
    </row>
    <row r="6201" spans="2:4" ht="16" thickBot="1" x14ac:dyDescent="0.25">
      <c r="B6201" s="5">
        <v>6196</v>
      </c>
      <c r="C6201" s="5">
        <v>193.54153908076989</v>
      </c>
      <c r="D6201" s="45"/>
    </row>
    <row r="6202" spans="2:4" ht="16" thickBot="1" x14ac:dyDescent="0.25">
      <c r="B6202" s="4">
        <v>6197</v>
      </c>
      <c r="C6202" s="4">
        <v>190.15059419864735</v>
      </c>
      <c r="D6202" s="45"/>
    </row>
    <row r="6203" spans="2:4" ht="16" thickBot="1" x14ac:dyDescent="0.25">
      <c r="B6203" s="5">
        <v>6198</v>
      </c>
      <c r="C6203" s="5">
        <v>132.73681377451325</v>
      </c>
      <c r="D6203" s="45"/>
    </row>
    <row r="6204" spans="2:4" ht="16" thickBot="1" x14ac:dyDescent="0.25">
      <c r="B6204" s="4">
        <v>6199</v>
      </c>
      <c r="C6204" s="4">
        <v>115.14471265520335</v>
      </c>
      <c r="D6204" s="45"/>
    </row>
    <row r="6205" spans="2:4" ht="16" thickBot="1" x14ac:dyDescent="0.25">
      <c r="B6205" s="5">
        <v>6200</v>
      </c>
      <c r="C6205" s="5">
        <v>322.48027360948112</v>
      </c>
      <c r="D6205" s="45"/>
    </row>
    <row r="6206" spans="2:4" ht="16" thickBot="1" x14ac:dyDescent="0.25">
      <c r="B6206" s="4">
        <v>6201</v>
      </c>
      <c r="C6206" s="4">
        <v>276.90599174212139</v>
      </c>
      <c r="D6206" s="45"/>
    </row>
    <row r="6207" spans="2:4" ht="16" thickBot="1" x14ac:dyDescent="0.25">
      <c r="B6207" s="5">
        <v>6202</v>
      </c>
      <c r="C6207" s="5">
        <v>220.35844539940857</v>
      </c>
      <c r="D6207" s="45"/>
    </row>
    <row r="6208" spans="2:4" ht="16" thickBot="1" x14ac:dyDescent="0.25">
      <c r="B6208" s="4">
        <v>6203</v>
      </c>
      <c r="C6208" s="4">
        <v>294.28529922453561</v>
      </c>
      <c r="D6208" s="45"/>
    </row>
    <row r="6209" spans="2:4" ht="16" thickBot="1" x14ac:dyDescent="0.25">
      <c r="B6209" s="5">
        <v>6204</v>
      </c>
      <c r="C6209" s="5">
        <v>168.58837345489846</v>
      </c>
      <c r="D6209" s="45"/>
    </row>
    <row r="6210" spans="2:4" ht="16" thickBot="1" x14ac:dyDescent="0.25">
      <c r="B6210" s="4">
        <v>6205</v>
      </c>
      <c r="C6210" s="4">
        <v>197.22936063506913</v>
      </c>
      <c r="D6210" s="45"/>
    </row>
    <row r="6211" spans="2:4" ht="16" thickBot="1" x14ac:dyDescent="0.25">
      <c r="B6211" s="5">
        <v>6206</v>
      </c>
      <c r="C6211" s="5">
        <v>254.70468318797089</v>
      </c>
      <c r="D6211" s="45"/>
    </row>
    <row r="6212" spans="2:4" ht="16" thickBot="1" x14ac:dyDescent="0.25">
      <c r="B6212" s="4">
        <v>6207</v>
      </c>
      <c r="C6212" s="4">
        <v>124.47209482703708</v>
      </c>
      <c r="D6212" s="45"/>
    </row>
    <row r="6213" spans="2:4" ht="16" thickBot="1" x14ac:dyDescent="0.25">
      <c r="B6213" s="5">
        <v>6208</v>
      </c>
      <c r="C6213" s="5">
        <v>171.43685924073949</v>
      </c>
      <c r="D6213" s="45"/>
    </row>
    <row r="6214" spans="2:4" ht="16" thickBot="1" x14ac:dyDescent="0.25">
      <c r="B6214" s="4">
        <v>6209</v>
      </c>
      <c r="C6214" s="4">
        <v>217.5207983465896</v>
      </c>
      <c r="D6214" s="45"/>
    </row>
    <row r="6215" spans="2:4" ht="16" thickBot="1" x14ac:dyDescent="0.25">
      <c r="B6215" s="5">
        <v>6210</v>
      </c>
      <c r="C6215" s="5">
        <v>243.23068985304209</v>
      </c>
      <c r="D6215" s="45"/>
    </row>
    <row r="6216" spans="2:4" ht="16" thickBot="1" x14ac:dyDescent="0.25">
      <c r="B6216" s="4">
        <v>6211</v>
      </c>
      <c r="C6216" s="4">
        <v>156.86596988736093</v>
      </c>
      <c r="D6216" s="45"/>
    </row>
    <row r="6217" spans="2:4" ht="16" thickBot="1" x14ac:dyDescent="0.25">
      <c r="B6217" s="5">
        <v>6212</v>
      </c>
      <c r="C6217" s="5">
        <v>349.45331445226873</v>
      </c>
      <c r="D6217" s="45"/>
    </row>
    <row r="6218" spans="2:4" ht="16" thickBot="1" x14ac:dyDescent="0.25">
      <c r="B6218" s="4">
        <v>6213</v>
      </c>
      <c r="C6218" s="4">
        <v>309.95759318906693</v>
      </c>
      <c r="D6218" s="45"/>
    </row>
    <row r="6219" spans="2:4" ht="16" thickBot="1" x14ac:dyDescent="0.25">
      <c r="B6219" s="5">
        <v>6214</v>
      </c>
      <c r="C6219" s="5">
        <v>59.455601491696996</v>
      </c>
      <c r="D6219" s="45"/>
    </row>
    <row r="6220" spans="2:4" ht="16" thickBot="1" x14ac:dyDescent="0.25">
      <c r="B6220" s="4">
        <v>6215</v>
      </c>
      <c r="C6220" s="4">
        <v>213.27487881835248</v>
      </c>
      <c r="D6220" s="45"/>
    </row>
    <row r="6221" spans="2:4" ht="16" thickBot="1" x14ac:dyDescent="0.25">
      <c r="B6221" s="5">
        <v>6216</v>
      </c>
      <c r="C6221" s="5">
        <v>73.010273829644078</v>
      </c>
      <c r="D6221" s="45"/>
    </row>
    <row r="6222" spans="2:4" ht="16" thickBot="1" x14ac:dyDescent="0.25">
      <c r="B6222" s="4">
        <v>6217</v>
      </c>
      <c r="C6222" s="4">
        <v>155.41966408393827</v>
      </c>
      <c r="D6222" s="45"/>
    </row>
    <row r="6223" spans="2:4" ht="16" thickBot="1" x14ac:dyDescent="0.25">
      <c r="B6223" s="5">
        <v>6218</v>
      </c>
      <c r="C6223" s="5">
        <v>123.22706201857079</v>
      </c>
      <c r="D6223" s="45"/>
    </row>
    <row r="6224" spans="2:4" ht="16" thickBot="1" x14ac:dyDescent="0.25">
      <c r="B6224" s="4">
        <v>6219</v>
      </c>
      <c r="C6224" s="4">
        <v>115.24091923648047</v>
      </c>
      <c r="D6224" s="45"/>
    </row>
    <row r="6225" spans="2:4" ht="16" thickBot="1" x14ac:dyDescent="0.25">
      <c r="B6225" s="5">
        <v>6220</v>
      </c>
      <c r="C6225" s="5">
        <v>160.91005367726768</v>
      </c>
      <c r="D6225" s="45"/>
    </row>
    <row r="6226" spans="2:4" ht="16" thickBot="1" x14ac:dyDescent="0.25">
      <c r="B6226" s="4">
        <v>6221</v>
      </c>
      <c r="C6226" s="4">
        <v>109.21711443635751</v>
      </c>
      <c r="D6226" s="45"/>
    </row>
    <row r="6227" spans="2:4" ht="16" thickBot="1" x14ac:dyDescent="0.25">
      <c r="B6227" s="5">
        <v>6222</v>
      </c>
      <c r="C6227" s="5">
        <v>127.64008621400211</v>
      </c>
      <c r="D6227" s="45"/>
    </row>
    <row r="6228" spans="2:4" ht="16" thickBot="1" x14ac:dyDescent="0.25">
      <c r="B6228" s="4">
        <v>6223</v>
      </c>
      <c r="C6228" s="4">
        <v>150.51620871493293</v>
      </c>
      <c r="D6228" s="45"/>
    </row>
    <row r="6229" spans="2:4" ht="16" thickBot="1" x14ac:dyDescent="0.25">
      <c r="B6229" s="5">
        <v>6224</v>
      </c>
      <c r="C6229" s="5">
        <v>69.526466357684299</v>
      </c>
      <c r="D6229" s="45"/>
    </row>
    <row r="6230" spans="2:4" ht="16" thickBot="1" x14ac:dyDescent="0.25">
      <c r="B6230" s="4">
        <v>6225</v>
      </c>
      <c r="C6230" s="4">
        <v>258.41881630043827</v>
      </c>
      <c r="D6230" s="45"/>
    </row>
    <row r="6231" spans="2:4" ht="16" thickBot="1" x14ac:dyDescent="0.25">
      <c r="B6231" s="5">
        <v>6226</v>
      </c>
      <c r="C6231" s="5">
        <v>137.00787703596851</v>
      </c>
      <c r="D6231" s="45"/>
    </row>
    <row r="6232" spans="2:4" ht="16" thickBot="1" x14ac:dyDescent="0.25">
      <c r="B6232" s="4">
        <v>6227</v>
      </c>
      <c r="C6232" s="4">
        <v>274.54167247684484</v>
      </c>
      <c r="D6232" s="45"/>
    </row>
    <row r="6233" spans="2:4" ht="16" thickBot="1" x14ac:dyDescent="0.25">
      <c r="B6233" s="5">
        <v>6228</v>
      </c>
      <c r="C6233" s="5">
        <v>201.50976429579609</v>
      </c>
      <c r="D6233" s="45"/>
    </row>
    <row r="6234" spans="2:4" ht="16" thickBot="1" x14ac:dyDescent="0.25">
      <c r="B6234" s="4">
        <v>6229</v>
      </c>
      <c r="C6234" s="4">
        <v>85.481122144377778</v>
      </c>
      <c r="D6234" s="45"/>
    </row>
    <row r="6235" spans="2:4" ht="16" thickBot="1" x14ac:dyDescent="0.25">
      <c r="B6235" s="5">
        <v>6230</v>
      </c>
      <c r="C6235" s="5">
        <v>139.68804414718457</v>
      </c>
      <c r="D6235" s="45"/>
    </row>
    <row r="6236" spans="2:4" ht="16" thickBot="1" x14ac:dyDescent="0.25">
      <c r="B6236" s="4">
        <v>6231</v>
      </c>
      <c r="C6236" s="4">
        <v>203.06970709483173</v>
      </c>
      <c r="D6236" s="45"/>
    </row>
    <row r="6237" spans="2:4" ht="16" thickBot="1" x14ac:dyDescent="0.25">
      <c r="B6237" s="5">
        <v>6232</v>
      </c>
      <c r="C6237" s="5">
        <v>134.28322488914424</v>
      </c>
      <c r="D6237" s="45"/>
    </row>
    <row r="6238" spans="2:4" ht="16" thickBot="1" x14ac:dyDescent="0.25">
      <c r="B6238" s="4">
        <v>6233</v>
      </c>
      <c r="C6238" s="4">
        <v>306.02170672680086</v>
      </c>
      <c r="D6238" s="45"/>
    </row>
    <row r="6239" spans="2:4" ht="16" thickBot="1" x14ac:dyDescent="0.25">
      <c r="B6239" s="5">
        <v>6234</v>
      </c>
      <c r="C6239" s="5">
        <v>171.94530125514314</v>
      </c>
      <c r="D6239" s="45"/>
    </row>
    <row r="6240" spans="2:4" ht="16" thickBot="1" x14ac:dyDescent="0.25">
      <c r="B6240" s="4">
        <v>6235</v>
      </c>
      <c r="C6240" s="4">
        <v>187.80266991871002</v>
      </c>
      <c r="D6240" s="45"/>
    </row>
    <row r="6241" spans="2:4" ht="16" thickBot="1" x14ac:dyDescent="0.25">
      <c r="B6241" s="5">
        <v>6236</v>
      </c>
      <c r="C6241" s="5">
        <v>244.46583139761378</v>
      </c>
      <c r="D6241" s="45"/>
    </row>
    <row r="6242" spans="2:4" ht="16" thickBot="1" x14ac:dyDescent="0.25">
      <c r="B6242" s="4">
        <v>6237</v>
      </c>
      <c r="C6242" s="4">
        <v>91.633482417361904</v>
      </c>
      <c r="D6242" s="45"/>
    </row>
    <row r="6243" spans="2:4" ht="16" thickBot="1" x14ac:dyDescent="0.25">
      <c r="B6243" s="5">
        <v>6238</v>
      </c>
      <c r="C6243" s="5">
        <v>132.79788845692488</v>
      </c>
      <c r="D6243" s="45"/>
    </row>
    <row r="6244" spans="2:4" ht="16" thickBot="1" x14ac:dyDescent="0.25">
      <c r="B6244" s="4">
        <v>6239</v>
      </c>
      <c r="C6244" s="4">
        <v>87.181642191671088</v>
      </c>
      <c r="D6244" s="45"/>
    </row>
    <row r="6245" spans="2:4" ht="16" thickBot="1" x14ac:dyDescent="0.25">
      <c r="B6245" s="5">
        <v>6240</v>
      </c>
      <c r="C6245" s="5">
        <v>126.53105732031882</v>
      </c>
      <c r="D6245" s="45"/>
    </row>
    <row r="6246" spans="2:4" ht="16" thickBot="1" x14ac:dyDescent="0.25">
      <c r="B6246" s="4">
        <v>6241</v>
      </c>
      <c r="C6246" s="4">
        <v>273.87569150283417</v>
      </c>
      <c r="D6246" s="45"/>
    </row>
    <row r="6247" spans="2:4" ht="16" thickBot="1" x14ac:dyDescent="0.25">
      <c r="B6247" s="5">
        <v>6242</v>
      </c>
      <c r="C6247" s="5">
        <v>137.94237163721121</v>
      </c>
      <c r="D6247" s="45"/>
    </row>
    <row r="6248" spans="2:4" ht="16" thickBot="1" x14ac:dyDescent="0.25">
      <c r="B6248" s="4">
        <v>6243</v>
      </c>
      <c r="C6248" s="4">
        <v>261.52422823711629</v>
      </c>
      <c r="D6248" s="45"/>
    </row>
    <row r="6249" spans="2:4" ht="16" thickBot="1" x14ac:dyDescent="0.25">
      <c r="B6249" s="5">
        <v>6244</v>
      </c>
      <c r="C6249" s="5">
        <v>104.59931546671559</v>
      </c>
      <c r="D6249" s="45"/>
    </row>
    <row r="6250" spans="2:4" ht="16" thickBot="1" x14ac:dyDescent="0.25">
      <c r="B6250" s="4">
        <v>6245</v>
      </c>
      <c r="C6250" s="4">
        <v>137.5531608384365</v>
      </c>
      <c r="D6250" s="45"/>
    </row>
    <row r="6251" spans="2:4" ht="16" thickBot="1" x14ac:dyDescent="0.25">
      <c r="B6251" s="5">
        <v>6246</v>
      </c>
      <c r="C6251" s="5">
        <v>147.58333530400748</v>
      </c>
      <c r="D6251" s="45"/>
    </row>
    <row r="6252" spans="2:4" ht="16" thickBot="1" x14ac:dyDescent="0.25">
      <c r="B6252" s="4">
        <v>6247</v>
      </c>
      <c r="C6252" s="4">
        <v>176.00452748653299</v>
      </c>
      <c r="D6252" s="45"/>
    </row>
    <row r="6253" spans="2:4" ht="16" thickBot="1" x14ac:dyDescent="0.25">
      <c r="B6253" s="5">
        <v>6248</v>
      </c>
      <c r="C6253" s="5">
        <v>53.129886936695492</v>
      </c>
      <c r="D6253" s="45"/>
    </row>
    <row r="6254" spans="2:4" ht="16" thickBot="1" x14ac:dyDescent="0.25">
      <c r="B6254" s="4">
        <v>6249</v>
      </c>
      <c r="C6254" s="4">
        <v>126.29184508371472</v>
      </c>
      <c r="D6254" s="45"/>
    </row>
    <row r="6255" spans="2:4" ht="16" thickBot="1" x14ac:dyDescent="0.25">
      <c r="B6255" s="5">
        <v>6250</v>
      </c>
      <c r="C6255" s="5">
        <v>127.31581120419148</v>
      </c>
      <c r="D6255" s="45"/>
    </row>
    <row r="6256" spans="2:4" ht="16" thickBot="1" x14ac:dyDescent="0.25">
      <c r="B6256" s="4">
        <v>6251</v>
      </c>
      <c r="C6256" s="4">
        <v>61.062830953824481</v>
      </c>
      <c r="D6256" s="45"/>
    </row>
    <row r="6257" spans="2:4" ht="16" thickBot="1" x14ac:dyDescent="0.25">
      <c r="B6257" s="5">
        <v>6252</v>
      </c>
      <c r="C6257" s="5">
        <v>101.86167885953888</v>
      </c>
      <c r="D6257" s="45"/>
    </row>
    <row r="6258" spans="2:4" ht="16" thickBot="1" x14ac:dyDescent="0.25">
      <c r="B6258" s="4">
        <v>6253</v>
      </c>
      <c r="C6258" s="4">
        <v>208.50426911599942</v>
      </c>
      <c r="D6258" s="45"/>
    </row>
    <row r="6259" spans="2:4" ht="16" thickBot="1" x14ac:dyDescent="0.25">
      <c r="B6259" s="5">
        <v>6254</v>
      </c>
      <c r="C6259" s="5">
        <v>78.606682147129703</v>
      </c>
      <c r="D6259" s="45"/>
    </row>
    <row r="6260" spans="2:4" ht="16" thickBot="1" x14ac:dyDescent="0.25">
      <c r="B6260" s="4">
        <v>6255</v>
      </c>
      <c r="C6260" s="4">
        <v>214.77728704355326</v>
      </c>
      <c r="D6260" s="45"/>
    </row>
    <row r="6261" spans="2:4" ht="16" thickBot="1" x14ac:dyDescent="0.25">
      <c r="B6261" s="5">
        <v>6256</v>
      </c>
      <c r="C6261" s="5">
        <v>167.52474654725242</v>
      </c>
      <c r="D6261" s="45"/>
    </row>
    <row r="6262" spans="2:4" ht="16" thickBot="1" x14ac:dyDescent="0.25">
      <c r="B6262" s="4">
        <v>6257</v>
      </c>
      <c r="C6262" s="4">
        <v>77.35310394527815</v>
      </c>
      <c r="D6262" s="45"/>
    </row>
    <row r="6263" spans="2:4" ht="16" thickBot="1" x14ac:dyDescent="0.25">
      <c r="B6263" s="5">
        <v>6258</v>
      </c>
      <c r="C6263" s="5">
        <v>246.40862204929985</v>
      </c>
      <c r="D6263" s="45"/>
    </row>
    <row r="6264" spans="2:4" ht="16" thickBot="1" x14ac:dyDescent="0.25">
      <c r="B6264" s="4">
        <v>6259</v>
      </c>
      <c r="C6264" s="4">
        <v>294.23807317148271</v>
      </c>
      <c r="D6264" s="45"/>
    </row>
    <row r="6265" spans="2:4" ht="16" thickBot="1" x14ac:dyDescent="0.25">
      <c r="B6265" s="5">
        <v>6260</v>
      </c>
      <c r="C6265" s="5">
        <v>133.05778733029936</v>
      </c>
      <c r="D6265" s="45"/>
    </row>
    <row r="6266" spans="2:4" ht="16" thickBot="1" x14ac:dyDescent="0.25">
      <c r="B6266" s="4">
        <v>6261</v>
      </c>
      <c r="C6266" s="4">
        <v>96.453575534250362</v>
      </c>
      <c r="D6266" s="45"/>
    </row>
    <row r="6267" spans="2:4" ht="16" thickBot="1" x14ac:dyDescent="0.25">
      <c r="B6267" s="5">
        <v>6262</v>
      </c>
      <c r="C6267" s="5">
        <v>252.47255983909818</v>
      </c>
      <c r="D6267" s="45"/>
    </row>
    <row r="6268" spans="2:4" ht="16" thickBot="1" x14ac:dyDescent="0.25">
      <c r="B6268" s="4">
        <v>6263</v>
      </c>
      <c r="C6268" s="4">
        <v>168.36620297575101</v>
      </c>
      <c r="D6268" s="45"/>
    </row>
    <row r="6269" spans="2:4" ht="16" thickBot="1" x14ac:dyDescent="0.25">
      <c r="B6269" s="5">
        <v>6264</v>
      </c>
      <c r="C6269" s="5">
        <v>318.37705557539482</v>
      </c>
      <c r="D6269" s="45"/>
    </row>
    <row r="6270" spans="2:4" ht="16" thickBot="1" x14ac:dyDescent="0.25">
      <c r="B6270" s="4">
        <v>6265</v>
      </c>
      <c r="C6270" s="4">
        <v>172.02355377306426</v>
      </c>
      <c r="D6270" s="45"/>
    </row>
    <row r="6271" spans="2:4" ht="16" thickBot="1" x14ac:dyDescent="0.25">
      <c r="B6271" s="5">
        <v>6266</v>
      </c>
      <c r="C6271" s="5">
        <v>75.185541313932632</v>
      </c>
      <c r="D6271" s="45"/>
    </row>
    <row r="6272" spans="2:4" ht="16" thickBot="1" x14ac:dyDescent="0.25">
      <c r="B6272" s="4">
        <v>6267</v>
      </c>
      <c r="C6272" s="4">
        <v>179.64109478045478</v>
      </c>
      <c r="D6272" s="45"/>
    </row>
    <row r="6273" spans="2:4" ht="16" thickBot="1" x14ac:dyDescent="0.25">
      <c r="B6273" s="5">
        <v>6268</v>
      </c>
      <c r="C6273" s="5">
        <v>126.18139309797697</v>
      </c>
      <c r="D6273" s="45"/>
    </row>
    <row r="6274" spans="2:4" ht="16" thickBot="1" x14ac:dyDescent="0.25">
      <c r="B6274" s="4">
        <v>6269</v>
      </c>
      <c r="C6274" s="4">
        <v>419.90692219421305</v>
      </c>
      <c r="D6274" s="45"/>
    </row>
    <row r="6275" spans="2:4" ht="16" thickBot="1" x14ac:dyDescent="0.25">
      <c r="B6275" s="5">
        <v>6270</v>
      </c>
      <c r="C6275" s="5">
        <v>180.97651670439208</v>
      </c>
      <c r="D6275" s="45"/>
    </row>
    <row r="6276" spans="2:4" ht="16" thickBot="1" x14ac:dyDescent="0.25">
      <c r="B6276" s="4">
        <v>6271</v>
      </c>
      <c r="C6276" s="4">
        <v>144.24843800834441</v>
      </c>
      <c r="D6276" s="45"/>
    </row>
    <row r="6277" spans="2:4" ht="16" thickBot="1" x14ac:dyDescent="0.25">
      <c r="B6277" s="5">
        <v>6272</v>
      </c>
      <c r="C6277" s="5">
        <v>119.47940196135038</v>
      </c>
      <c r="D6277" s="45"/>
    </row>
    <row r="6278" spans="2:4" ht="16" thickBot="1" x14ac:dyDescent="0.25">
      <c r="B6278" s="4">
        <v>6273</v>
      </c>
      <c r="C6278" s="4">
        <v>147.9834724789138</v>
      </c>
      <c r="D6278" s="45"/>
    </row>
    <row r="6279" spans="2:4" ht="16" thickBot="1" x14ac:dyDescent="0.25">
      <c r="B6279" s="5">
        <v>6274</v>
      </c>
      <c r="C6279" s="5">
        <v>253.05841763849767</v>
      </c>
      <c r="D6279" s="45"/>
    </row>
    <row r="6280" spans="2:4" ht="16" thickBot="1" x14ac:dyDescent="0.25">
      <c r="B6280" s="4">
        <v>6275</v>
      </c>
      <c r="C6280" s="4">
        <v>99.173867766660024</v>
      </c>
      <c r="D6280" s="45"/>
    </row>
    <row r="6281" spans="2:4" ht="16" thickBot="1" x14ac:dyDescent="0.25">
      <c r="B6281" s="5">
        <v>6276</v>
      </c>
      <c r="C6281" s="5">
        <v>86.710363203488242</v>
      </c>
      <c r="D6281" s="45"/>
    </row>
    <row r="6282" spans="2:4" ht="16" thickBot="1" x14ac:dyDescent="0.25">
      <c r="B6282" s="4">
        <v>6277</v>
      </c>
      <c r="C6282" s="4">
        <v>433.04163716426609</v>
      </c>
      <c r="D6282" s="45"/>
    </row>
    <row r="6283" spans="2:4" ht="16" thickBot="1" x14ac:dyDescent="0.25">
      <c r="B6283" s="5">
        <v>6278</v>
      </c>
      <c r="C6283" s="5">
        <v>124.08923187688205</v>
      </c>
      <c r="D6283" s="45"/>
    </row>
    <row r="6284" spans="2:4" ht="16" thickBot="1" x14ac:dyDescent="0.25">
      <c r="B6284" s="4">
        <v>6279</v>
      </c>
      <c r="C6284" s="4">
        <v>59.703815809279234</v>
      </c>
      <c r="D6284" s="45"/>
    </row>
    <row r="6285" spans="2:4" ht="16" thickBot="1" x14ac:dyDescent="0.25">
      <c r="B6285" s="5">
        <v>6280</v>
      </c>
      <c r="C6285" s="5">
        <v>102.59066597911291</v>
      </c>
      <c r="D6285" s="45"/>
    </row>
    <row r="6286" spans="2:4" ht="16" thickBot="1" x14ac:dyDescent="0.25">
      <c r="B6286" s="4">
        <v>6281</v>
      </c>
      <c r="C6286" s="4">
        <v>196.23617068177674</v>
      </c>
      <c r="D6286" s="45"/>
    </row>
    <row r="6287" spans="2:4" ht="16" thickBot="1" x14ac:dyDescent="0.25">
      <c r="B6287" s="5">
        <v>6282</v>
      </c>
      <c r="C6287" s="5">
        <v>146.34806853305983</v>
      </c>
      <c r="D6287" s="45"/>
    </row>
    <row r="6288" spans="2:4" ht="16" thickBot="1" x14ac:dyDescent="0.25">
      <c r="B6288" s="4">
        <v>6283</v>
      </c>
      <c r="C6288" s="4">
        <v>318.57453626120133</v>
      </c>
      <c r="D6288" s="45"/>
    </row>
    <row r="6289" spans="2:4" ht="16" thickBot="1" x14ac:dyDescent="0.25">
      <c r="B6289" s="5">
        <v>6284</v>
      </c>
      <c r="C6289" s="5">
        <v>83.821639949864249</v>
      </c>
      <c r="D6289" s="45"/>
    </row>
    <row r="6290" spans="2:4" ht="16" thickBot="1" x14ac:dyDescent="0.25">
      <c r="B6290" s="4">
        <v>6285</v>
      </c>
      <c r="C6290" s="4">
        <v>127.18413076498679</v>
      </c>
      <c r="D6290" s="45"/>
    </row>
    <row r="6291" spans="2:4" ht="16" thickBot="1" x14ac:dyDescent="0.25">
      <c r="B6291" s="5">
        <v>6286</v>
      </c>
      <c r="C6291" s="5">
        <v>200.12487119028438</v>
      </c>
      <c r="D6291" s="45"/>
    </row>
    <row r="6292" spans="2:4" ht="16" thickBot="1" x14ac:dyDescent="0.25">
      <c r="B6292" s="4">
        <v>6287</v>
      </c>
      <c r="C6292" s="4">
        <v>84.454854537301202</v>
      </c>
      <c r="D6292" s="45"/>
    </row>
    <row r="6293" spans="2:4" ht="16" thickBot="1" x14ac:dyDescent="0.25">
      <c r="B6293" s="5">
        <v>6288</v>
      </c>
      <c r="C6293" s="5">
        <v>75.313498426707511</v>
      </c>
      <c r="D6293" s="45"/>
    </row>
    <row r="6294" spans="2:4" ht="16" thickBot="1" x14ac:dyDescent="0.25">
      <c r="B6294" s="4">
        <v>6289</v>
      </c>
      <c r="C6294" s="4">
        <v>200.87652541559061</v>
      </c>
      <c r="D6294" s="45"/>
    </row>
    <row r="6295" spans="2:4" ht="16" thickBot="1" x14ac:dyDescent="0.25">
      <c r="B6295" s="5">
        <v>6290</v>
      </c>
      <c r="C6295" s="5">
        <v>92.259367505106738</v>
      </c>
      <c r="D6295" s="45"/>
    </row>
    <row r="6296" spans="2:4" ht="16" thickBot="1" x14ac:dyDescent="0.25">
      <c r="B6296" s="4">
        <v>6291</v>
      </c>
      <c r="C6296" s="4">
        <v>242.44615229303778</v>
      </c>
      <c r="D6296" s="45"/>
    </row>
    <row r="6297" spans="2:4" ht="16" thickBot="1" x14ac:dyDescent="0.25">
      <c r="B6297" s="5">
        <v>6292</v>
      </c>
      <c r="C6297" s="5">
        <v>176.35496134542825</v>
      </c>
      <c r="D6297" s="45"/>
    </row>
    <row r="6298" spans="2:4" ht="16" thickBot="1" x14ac:dyDescent="0.25">
      <c r="B6298" s="4">
        <v>6293</v>
      </c>
      <c r="C6298" s="4">
        <v>129.17536625518281</v>
      </c>
      <c r="D6298" s="45"/>
    </row>
    <row r="6299" spans="2:4" ht="16" thickBot="1" x14ac:dyDescent="0.25">
      <c r="B6299" s="5">
        <v>6294</v>
      </c>
      <c r="C6299" s="5">
        <v>107.72060218683082</v>
      </c>
      <c r="D6299" s="45"/>
    </row>
    <row r="6300" spans="2:4" ht="16" thickBot="1" x14ac:dyDescent="0.25">
      <c r="B6300" s="4">
        <v>6295</v>
      </c>
      <c r="C6300" s="4">
        <v>193.41187334184067</v>
      </c>
      <c r="D6300" s="45"/>
    </row>
    <row r="6301" spans="2:4" ht="16" thickBot="1" x14ac:dyDescent="0.25">
      <c r="B6301" s="5">
        <v>6296</v>
      </c>
      <c r="C6301" s="5">
        <v>112.22256617962366</v>
      </c>
      <c r="D6301" s="45"/>
    </row>
    <row r="6302" spans="2:4" ht="16" thickBot="1" x14ac:dyDescent="0.25">
      <c r="B6302" s="4">
        <v>6297</v>
      </c>
      <c r="C6302" s="4">
        <v>244.84143865094734</v>
      </c>
      <c r="D6302" s="45"/>
    </row>
    <row r="6303" spans="2:4" ht="16" thickBot="1" x14ac:dyDescent="0.25">
      <c r="B6303" s="5">
        <v>6298</v>
      </c>
      <c r="C6303" s="5">
        <v>113.77585355890552</v>
      </c>
      <c r="D6303" s="45"/>
    </row>
    <row r="6304" spans="2:4" ht="16" thickBot="1" x14ac:dyDescent="0.25">
      <c r="B6304" s="4">
        <v>6299</v>
      </c>
      <c r="C6304" s="4">
        <v>97.604014463457005</v>
      </c>
      <c r="D6304" s="45"/>
    </row>
    <row r="6305" spans="2:4" ht="16" thickBot="1" x14ac:dyDescent="0.25">
      <c r="B6305" s="5">
        <v>6300</v>
      </c>
      <c r="C6305" s="5">
        <v>281.83049942783384</v>
      </c>
      <c r="D6305" s="45"/>
    </row>
    <row r="6306" spans="2:4" ht="16" thickBot="1" x14ac:dyDescent="0.25">
      <c r="B6306" s="4">
        <v>6301</v>
      </c>
      <c r="C6306" s="4">
        <v>76.144438123581665</v>
      </c>
      <c r="D6306" s="45"/>
    </row>
    <row r="6307" spans="2:4" ht="16" thickBot="1" x14ac:dyDescent="0.25">
      <c r="B6307" s="5">
        <v>6302</v>
      </c>
      <c r="C6307" s="5">
        <v>142.34999267837725</v>
      </c>
      <c r="D6307" s="45"/>
    </row>
    <row r="6308" spans="2:4" ht="16" thickBot="1" x14ac:dyDescent="0.25">
      <c r="B6308" s="4">
        <v>6303</v>
      </c>
      <c r="C6308" s="4">
        <v>100.67870268943686</v>
      </c>
      <c r="D6308" s="45"/>
    </row>
    <row r="6309" spans="2:4" ht="16" thickBot="1" x14ac:dyDescent="0.25">
      <c r="B6309" s="5">
        <v>6304</v>
      </c>
      <c r="C6309" s="5">
        <v>45.862392010399645</v>
      </c>
      <c r="D6309" s="45"/>
    </row>
    <row r="6310" spans="2:4" ht="16" thickBot="1" x14ac:dyDescent="0.25">
      <c r="B6310" s="4">
        <v>6305</v>
      </c>
      <c r="C6310" s="4">
        <v>108.34919417177996</v>
      </c>
      <c r="D6310" s="45"/>
    </row>
    <row r="6311" spans="2:4" ht="16" thickBot="1" x14ac:dyDescent="0.25">
      <c r="B6311" s="5">
        <v>6306</v>
      </c>
      <c r="C6311" s="5">
        <v>119.13120613330757</v>
      </c>
      <c r="D6311" s="45"/>
    </row>
    <row r="6312" spans="2:4" ht="16" thickBot="1" x14ac:dyDescent="0.25">
      <c r="B6312" s="4">
        <v>6307</v>
      </c>
      <c r="C6312" s="4">
        <v>150.88181096896025</v>
      </c>
      <c r="D6312" s="45"/>
    </row>
    <row r="6313" spans="2:4" ht="16" thickBot="1" x14ac:dyDescent="0.25">
      <c r="B6313" s="5">
        <v>6308</v>
      </c>
      <c r="C6313" s="5">
        <v>123.82087032068704</v>
      </c>
      <c r="D6313" s="45"/>
    </row>
    <row r="6314" spans="2:4" ht="16" thickBot="1" x14ac:dyDescent="0.25">
      <c r="B6314" s="4">
        <v>6309</v>
      </c>
      <c r="C6314" s="4">
        <v>487.1785832347453</v>
      </c>
      <c r="D6314" s="45"/>
    </row>
    <row r="6315" spans="2:4" ht="16" thickBot="1" x14ac:dyDescent="0.25">
      <c r="B6315" s="5">
        <v>6310</v>
      </c>
      <c r="C6315" s="5">
        <v>79.451047712888268</v>
      </c>
      <c r="D6315" s="45"/>
    </row>
    <row r="6316" spans="2:4" ht="16" thickBot="1" x14ac:dyDescent="0.25">
      <c r="B6316" s="4">
        <v>6311</v>
      </c>
      <c r="C6316" s="4">
        <v>180.35623163813781</v>
      </c>
      <c r="D6316" s="45"/>
    </row>
    <row r="6317" spans="2:4" ht="16" thickBot="1" x14ac:dyDescent="0.25">
      <c r="B6317" s="5">
        <v>6312</v>
      </c>
      <c r="C6317" s="5">
        <v>68.639989213749274</v>
      </c>
      <c r="D6317" s="45"/>
    </row>
    <row r="6318" spans="2:4" ht="16" thickBot="1" x14ac:dyDescent="0.25">
      <c r="B6318" s="4">
        <v>6313</v>
      </c>
      <c r="C6318" s="4">
        <v>75.962740003503953</v>
      </c>
      <c r="D6318" s="45"/>
    </row>
    <row r="6319" spans="2:4" ht="16" thickBot="1" x14ac:dyDescent="0.25">
      <c r="B6319" s="5">
        <v>6314</v>
      </c>
      <c r="C6319" s="5">
        <v>150.68405939094995</v>
      </c>
      <c r="D6319" s="45"/>
    </row>
    <row r="6320" spans="2:4" ht="16" thickBot="1" x14ac:dyDescent="0.25">
      <c r="B6320" s="4">
        <v>6315</v>
      </c>
      <c r="C6320" s="4">
        <v>178.09275667861291</v>
      </c>
      <c r="D6320" s="45"/>
    </row>
    <row r="6321" spans="2:4" ht="16" thickBot="1" x14ac:dyDescent="0.25">
      <c r="B6321" s="5">
        <v>6316</v>
      </c>
      <c r="C6321" s="5">
        <v>101.81716622259141</v>
      </c>
      <c r="D6321" s="45"/>
    </row>
    <row r="6322" spans="2:4" ht="16" thickBot="1" x14ac:dyDescent="0.25">
      <c r="B6322" s="4">
        <v>6317</v>
      </c>
      <c r="C6322" s="4">
        <v>79.841998629489908</v>
      </c>
      <c r="D6322" s="45"/>
    </row>
    <row r="6323" spans="2:4" ht="16" thickBot="1" x14ac:dyDescent="0.25">
      <c r="B6323" s="5">
        <v>6318</v>
      </c>
      <c r="C6323" s="5">
        <v>352.27598315778363</v>
      </c>
      <c r="D6323" s="45"/>
    </row>
    <row r="6324" spans="2:4" ht="16" thickBot="1" x14ac:dyDescent="0.25">
      <c r="B6324" s="4">
        <v>6319</v>
      </c>
      <c r="C6324" s="4">
        <v>152.40208545257724</v>
      </c>
      <c r="D6324" s="45"/>
    </row>
    <row r="6325" spans="2:4" ht="16" thickBot="1" x14ac:dyDescent="0.25">
      <c r="B6325" s="5">
        <v>6320</v>
      </c>
      <c r="C6325" s="5">
        <v>237.01171739290612</v>
      </c>
      <c r="D6325" s="45"/>
    </row>
    <row r="6326" spans="2:4" ht="16" thickBot="1" x14ac:dyDescent="0.25">
      <c r="B6326" s="4">
        <v>6321</v>
      </c>
      <c r="C6326" s="4">
        <v>107.0390410387934</v>
      </c>
      <c r="D6326" s="45"/>
    </row>
    <row r="6327" spans="2:4" ht="16" thickBot="1" x14ac:dyDescent="0.25">
      <c r="B6327" s="5">
        <v>6322</v>
      </c>
      <c r="C6327" s="5">
        <v>93.4123645215316</v>
      </c>
      <c r="D6327" s="45"/>
    </row>
    <row r="6328" spans="2:4" ht="16" thickBot="1" x14ac:dyDescent="0.25">
      <c r="B6328" s="4">
        <v>6323</v>
      </c>
      <c r="C6328" s="4">
        <v>157.48940701435976</v>
      </c>
      <c r="D6328" s="45"/>
    </row>
    <row r="6329" spans="2:4" ht="16" thickBot="1" x14ac:dyDescent="0.25">
      <c r="B6329" s="5">
        <v>6324</v>
      </c>
      <c r="C6329" s="5">
        <v>240.82377178833033</v>
      </c>
      <c r="D6329" s="45"/>
    </row>
    <row r="6330" spans="2:4" ht="16" thickBot="1" x14ac:dyDescent="0.25">
      <c r="B6330" s="4">
        <v>6325</v>
      </c>
      <c r="C6330" s="4">
        <v>117.28783183975196</v>
      </c>
      <c r="D6330" s="45"/>
    </row>
    <row r="6331" spans="2:4" ht="16" thickBot="1" x14ac:dyDescent="0.25">
      <c r="B6331" s="5">
        <v>6326</v>
      </c>
      <c r="C6331" s="5">
        <v>321.25063040180828</v>
      </c>
      <c r="D6331" s="45"/>
    </row>
    <row r="6332" spans="2:4" ht="16" thickBot="1" x14ac:dyDescent="0.25">
      <c r="B6332" s="4">
        <v>6327</v>
      </c>
      <c r="C6332" s="4">
        <v>128.943648307606</v>
      </c>
      <c r="D6332" s="45"/>
    </row>
    <row r="6333" spans="2:4" ht="16" thickBot="1" x14ac:dyDescent="0.25">
      <c r="B6333" s="5">
        <v>6328</v>
      </c>
      <c r="C6333" s="5">
        <v>117.71568193372273</v>
      </c>
      <c r="D6333" s="45"/>
    </row>
    <row r="6334" spans="2:4" ht="16" thickBot="1" x14ac:dyDescent="0.25">
      <c r="B6334" s="4">
        <v>6329</v>
      </c>
      <c r="C6334" s="4">
        <v>194.03494977722113</v>
      </c>
      <c r="D6334" s="45"/>
    </row>
    <row r="6335" spans="2:4" ht="16" thickBot="1" x14ac:dyDescent="0.25">
      <c r="B6335" s="5">
        <v>6330</v>
      </c>
      <c r="C6335" s="5">
        <v>215.24415835123142</v>
      </c>
      <c r="D6335" s="45"/>
    </row>
    <row r="6336" spans="2:4" ht="16" thickBot="1" x14ac:dyDescent="0.25">
      <c r="B6336" s="4">
        <v>6331</v>
      </c>
      <c r="C6336" s="4">
        <v>161.98317559465463</v>
      </c>
      <c r="D6336" s="45"/>
    </row>
    <row r="6337" spans="2:4" ht="16" thickBot="1" x14ac:dyDescent="0.25">
      <c r="B6337" s="5">
        <v>6332</v>
      </c>
      <c r="C6337" s="5">
        <v>108.90782881799835</v>
      </c>
      <c r="D6337" s="45"/>
    </row>
    <row r="6338" spans="2:4" ht="16" thickBot="1" x14ac:dyDescent="0.25">
      <c r="B6338" s="4">
        <v>6333</v>
      </c>
      <c r="C6338" s="4">
        <v>225.67926157687018</v>
      </c>
      <c r="D6338" s="45"/>
    </row>
    <row r="6339" spans="2:4" ht="16" thickBot="1" x14ac:dyDescent="0.25">
      <c r="B6339" s="5">
        <v>6334</v>
      </c>
      <c r="C6339" s="5">
        <v>147.9987036873361</v>
      </c>
      <c r="D6339" s="45"/>
    </row>
    <row r="6340" spans="2:4" ht="16" thickBot="1" x14ac:dyDescent="0.25">
      <c r="B6340" s="4">
        <v>6335</v>
      </c>
      <c r="C6340" s="4">
        <v>243.0681540052941</v>
      </c>
      <c r="D6340" s="45"/>
    </row>
    <row r="6341" spans="2:4" ht="16" thickBot="1" x14ac:dyDescent="0.25">
      <c r="B6341" s="5">
        <v>6336</v>
      </c>
      <c r="C6341" s="5">
        <v>220.89341617658198</v>
      </c>
      <c r="D6341" s="45"/>
    </row>
    <row r="6342" spans="2:4" ht="16" thickBot="1" x14ac:dyDescent="0.25">
      <c r="B6342" s="4">
        <v>6337</v>
      </c>
      <c r="C6342" s="4">
        <v>62.844730919550905</v>
      </c>
      <c r="D6342" s="45"/>
    </row>
    <row r="6343" spans="2:4" ht="16" thickBot="1" x14ac:dyDescent="0.25">
      <c r="B6343" s="5">
        <v>6338</v>
      </c>
      <c r="C6343" s="5">
        <v>152.55882720393598</v>
      </c>
      <c r="D6343" s="45"/>
    </row>
    <row r="6344" spans="2:4" ht="16" thickBot="1" x14ac:dyDescent="0.25">
      <c r="B6344" s="4">
        <v>6339</v>
      </c>
      <c r="C6344" s="4">
        <v>54.193729538251397</v>
      </c>
      <c r="D6344" s="45"/>
    </row>
    <row r="6345" spans="2:4" ht="16" thickBot="1" x14ac:dyDescent="0.25">
      <c r="B6345" s="5">
        <v>6340</v>
      </c>
      <c r="C6345" s="5">
        <v>303.25453680927228</v>
      </c>
      <c r="D6345" s="45"/>
    </row>
    <row r="6346" spans="2:4" ht="16" thickBot="1" x14ac:dyDescent="0.25">
      <c r="B6346" s="4">
        <v>6341</v>
      </c>
      <c r="C6346" s="4">
        <v>148.92819446494562</v>
      </c>
      <c r="D6346" s="45"/>
    </row>
    <row r="6347" spans="2:4" ht="16" thickBot="1" x14ac:dyDescent="0.25">
      <c r="B6347" s="5">
        <v>6342</v>
      </c>
      <c r="C6347" s="5">
        <v>37.002197240085401</v>
      </c>
      <c r="D6347" s="45"/>
    </row>
    <row r="6348" spans="2:4" ht="16" thickBot="1" x14ac:dyDescent="0.25">
      <c r="B6348" s="4">
        <v>6343</v>
      </c>
      <c r="C6348" s="4">
        <v>122.56230743067172</v>
      </c>
      <c r="D6348" s="45"/>
    </row>
    <row r="6349" spans="2:4" ht="16" thickBot="1" x14ac:dyDescent="0.25">
      <c r="B6349" s="5">
        <v>6344</v>
      </c>
      <c r="C6349" s="5">
        <v>115.19470874900922</v>
      </c>
      <c r="D6349" s="45"/>
    </row>
    <row r="6350" spans="2:4" ht="16" thickBot="1" x14ac:dyDescent="0.25">
      <c r="B6350" s="4">
        <v>6345</v>
      </c>
      <c r="C6350" s="4">
        <v>64.490228901456334</v>
      </c>
      <c r="D6350" s="45"/>
    </row>
    <row r="6351" spans="2:4" ht="16" thickBot="1" x14ac:dyDescent="0.25">
      <c r="B6351" s="5">
        <v>6346</v>
      </c>
      <c r="C6351" s="5">
        <v>189.71668374434824</v>
      </c>
      <c r="D6351" s="45"/>
    </row>
    <row r="6352" spans="2:4" ht="16" thickBot="1" x14ac:dyDescent="0.25">
      <c r="B6352" s="4">
        <v>6347</v>
      </c>
      <c r="C6352" s="4">
        <v>151.40031868939744</v>
      </c>
      <c r="D6352" s="45"/>
    </row>
    <row r="6353" spans="2:4" ht="16" thickBot="1" x14ac:dyDescent="0.25">
      <c r="B6353" s="5">
        <v>6348</v>
      </c>
      <c r="C6353" s="5">
        <v>287.17333791320198</v>
      </c>
      <c r="D6353" s="45"/>
    </row>
    <row r="6354" spans="2:4" ht="16" thickBot="1" x14ac:dyDescent="0.25">
      <c r="B6354" s="4">
        <v>6349</v>
      </c>
      <c r="C6354" s="4">
        <v>260.06845606939828</v>
      </c>
      <c r="D6354" s="45"/>
    </row>
    <row r="6355" spans="2:4" ht="16" thickBot="1" x14ac:dyDescent="0.25">
      <c r="B6355" s="5">
        <v>6350</v>
      </c>
      <c r="C6355" s="5">
        <v>155.98056863640912</v>
      </c>
      <c r="D6355" s="45"/>
    </row>
    <row r="6356" spans="2:4" ht="16" thickBot="1" x14ac:dyDescent="0.25">
      <c r="B6356" s="4">
        <v>6351</v>
      </c>
      <c r="C6356" s="4">
        <v>123.36798701989784</v>
      </c>
      <c r="D6356" s="45"/>
    </row>
    <row r="6357" spans="2:4" ht="16" thickBot="1" x14ac:dyDescent="0.25">
      <c r="B6357" s="5">
        <v>6352</v>
      </c>
      <c r="C6357" s="5">
        <v>210.08342951831321</v>
      </c>
      <c r="D6357" s="45"/>
    </row>
    <row r="6358" spans="2:4" ht="16" thickBot="1" x14ac:dyDescent="0.25">
      <c r="B6358" s="4">
        <v>6353</v>
      </c>
      <c r="C6358" s="4">
        <v>239.28781988964028</v>
      </c>
      <c r="D6358" s="45"/>
    </row>
    <row r="6359" spans="2:4" ht="16" thickBot="1" x14ac:dyDescent="0.25">
      <c r="B6359" s="5">
        <v>6354</v>
      </c>
      <c r="C6359" s="5">
        <v>114.80596786837134</v>
      </c>
      <c r="D6359" s="45"/>
    </row>
    <row r="6360" spans="2:4" ht="16" thickBot="1" x14ac:dyDescent="0.25">
      <c r="B6360" s="4">
        <v>6355</v>
      </c>
      <c r="C6360" s="4">
        <v>59.463700384489321</v>
      </c>
      <c r="D6360" s="45"/>
    </row>
    <row r="6361" spans="2:4" ht="16" thickBot="1" x14ac:dyDescent="0.25">
      <c r="B6361" s="5">
        <v>6356</v>
      </c>
      <c r="C6361" s="5">
        <v>165.1569203360647</v>
      </c>
      <c r="D6361" s="45"/>
    </row>
    <row r="6362" spans="2:4" ht="16" thickBot="1" x14ac:dyDescent="0.25">
      <c r="B6362" s="4">
        <v>6357</v>
      </c>
      <c r="C6362" s="4">
        <v>60.218905146606275</v>
      </c>
      <c r="D6362" s="45"/>
    </row>
    <row r="6363" spans="2:4" ht="16" thickBot="1" x14ac:dyDescent="0.25">
      <c r="B6363" s="5">
        <v>6358</v>
      </c>
      <c r="C6363" s="5">
        <v>289.38110655366808</v>
      </c>
      <c r="D6363" s="45"/>
    </row>
    <row r="6364" spans="2:4" ht="16" thickBot="1" x14ac:dyDescent="0.25">
      <c r="B6364" s="4">
        <v>6359</v>
      </c>
      <c r="C6364" s="4">
        <v>162.24231568911432</v>
      </c>
      <c r="D6364" s="45"/>
    </row>
    <row r="6365" spans="2:4" ht="16" thickBot="1" x14ac:dyDescent="0.25">
      <c r="B6365" s="5">
        <v>6360</v>
      </c>
      <c r="C6365" s="5">
        <v>134.03400346280725</v>
      </c>
      <c r="D6365" s="45"/>
    </row>
    <row r="6366" spans="2:4" ht="16" thickBot="1" x14ac:dyDescent="0.25">
      <c r="B6366" s="4">
        <v>6361</v>
      </c>
      <c r="C6366" s="4">
        <v>81.692780234285067</v>
      </c>
      <c r="D6366" s="45"/>
    </row>
    <row r="6367" spans="2:4" ht="16" thickBot="1" x14ac:dyDescent="0.25">
      <c r="B6367" s="5">
        <v>6362</v>
      </c>
      <c r="C6367" s="5">
        <v>105.57920346133832</v>
      </c>
      <c r="D6367" s="45"/>
    </row>
    <row r="6368" spans="2:4" ht="16" thickBot="1" x14ac:dyDescent="0.25">
      <c r="B6368" s="4">
        <v>6363</v>
      </c>
      <c r="C6368" s="4">
        <v>103.46473516082732</v>
      </c>
      <c r="D6368" s="45"/>
    </row>
    <row r="6369" spans="2:4" ht="16" thickBot="1" x14ac:dyDescent="0.25">
      <c r="B6369" s="5">
        <v>6364</v>
      </c>
      <c r="C6369" s="5">
        <v>109.07124848636644</v>
      </c>
      <c r="D6369" s="45"/>
    </row>
    <row r="6370" spans="2:4" ht="16" thickBot="1" x14ac:dyDescent="0.25">
      <c r="B6370" s="4">
        <v>6365</v>
      </c>
      <c r="C6370" s="4">
        <v>191.02262571389946</v>
      </c>
      <c r="D6370" s="45"/>
    </row>
    <row r="6371" spans="2:4" ht="16" thickBot="1" x14ac:dyDescent="0.25">
      <c r="B6371" s="5">
        <v>6366</v>
      </c>
      <c r="C6371" s="5">
        <v>267.44329813280382</v>
      </c>
      <c r="D6371" s="45"/>
    </row>
    <row r="6372" spans="2:4" ht="16" thickBot="1" x14ac:dyDescent="0.25">
      <c r="B6372" s="4">
        <v>6367</v>
      </c>
      <c r="C6372" s="4">
        <v>88.126529942272626</v>
      </c>
      <c r="D6372" s="45"/>
    </row>
    <row r="6373" spans="2:4" ht="16" thickBot="1" x14ac:dyDescent="0.25">
      <c r="B6373" s="5">
        <v>6368</v>
      </c>
      <c r="C6373" s="5">
        <v>69.943746912468356</v>
      </c>
      <c r="D6373" s="45"/>
    </row>
    <row r="6374" spans="2:4" ht="16" thickBot="1" x14ac:dyDescent="0.25">
      <c r="B6374" s="4">
        <v>6369</v>
      </c>
      <c r="C6374" s="4">
        <v>73.698519318229117</v>
      </c>
      <c r="D6374" s="45"/>
    </row>
    <row r="6375" spans="2:4" ht="16" thickBot="1" x14ac:dyDescent="0.25">
      <c r="B6375" s="5">
        <v>6370</v>
      </c>
      <c r="C6375" s="5">
        <v>66.736602413412939</v>
      </c>
      <c r="D6375" s="45"/>
    </row>
    <row r="6376" spans="2:4" ht="16" thickBot="1" x14ac:dyDescent="0.25">
      <c r="B6376" s="4">
        <v>6371</v>
      </c>
      <c r="C6376" s="4">
        <v>130.17617425229835</v>
      </c>
      <c r="D6376" s="45"/>
    </row>
    <row r="6377" spans="2:4" ht="16" thickBot="1" x14ac:dyDescent="0.25">
      <c r="B6377" s="5">
        <v>6372</v>
      </c>
      <c r="C6377" s="5">
        <v>127.08333398578016</v>
      </c>
      <c r="D6377" s="45"/>
    </row>
    <row r="6378" spans="2:4" ht="16" thickBot="1" x14ac:dyDescent="0.25">
      <c r="B6378" s="4">
        <v>6373</v>
      </c>
      <c r="C6378" s="4">
        <v>151.58837855156392</v>
      </c>
      <c r="D6378" s="45"/>
    </row>
    <row r="6379" spans="2:4" ht="16" thickBot="1" x14ac:dyDescent="0.25">
      <c r="B6379" s="5">
        <v>6374</v>
      </c>
      <c r="C6379" s="5">
        <v>224.06241478350631</v>
      </c>
      <c r="D6379" s="45"/>
    </row>
    <row r="6380" spans="2:4" ht="16" thickBot="1" x14ac:dyDescent="0.25">
      <c r="B6380" s="4">
        <v>6375</v>
      </c>
      <c r="C6380" s="4">
        <v>138.26890313328866</v>
      </c>
      <c r="D6380" s="45"/>
    </row>
    <row r="6381" spans="2:4" ht="16" thickBot="1" x14ac:dyDescent="0.25">
      <c r="B6381" s="5">
        <v>6376</v>
      </c>
      <c r="C6381" s="5">
        <v>252.74890486967092</v>
      </c>
      <c r="D6381" s="45"/>
    </row>
    <row r="6382" spans="2:4" ht="16" thickBot="1" x14ac:dyDescent="0.25">
      <c r="B6382" s="4">
        <v>6377</v>
      </c>
      <c r="C6382" s="4">
        <v>43.55665572293757</v>
      </c>
      <c r="D6382" s="45"/>
    </row>
    <row r="6383" spans="2:4" ht="16" thickBot="1" x14ac:dyDescent="0.25">
      <c r="B6383" s="5">
        <v>6378</v>
      </c>
      <c r="C6383" s="5">
        <v>97.825226885003957</v>
      </c>
      <c r="D6383" s="45"/>
    </row>
    <row r="6384" spans="2:4" ht="16" thickBot="1" x14ac:dyDescent="0.25">
      <c r="B6384" s="4">
        <v>6379</v>
      </c>
      <c r="C6384" s="4">
        <v>117.53184425489788</v>
      </c>
      <c r="D6384" s="45"/>
    </row>
    <row r="6385" spans="2:4" ht="16" thickBot="1" x14ac:dyDescent="0.25">
      <c r="B6385" s="5">
        <v>6380</v>
      </c>
      <c r="C6385" s="5">
        <v>90.692424228783764</v>
      </c>
      <c r="D6385" s="45"/>
    </row>
    <row r="6386" spans="2:4" ht="16" thickBot="1" x14ac:dyDescent="0.25">
      <c r="B6386" s="4">
        <v>6381</v>
      </c>
      <c r="C6386" s="4">
        <v>93.275620156226537</v>
      </c>
      <c r="D6386" s="45"/>
    </row>
    <row r="6387" spans="2:4" ht="16" thickBot="1" x14ac:dyDescent="0.25">
      <c r="B6387" s="5">
        <v>6382</v>
      </c>
      <c r="C6387" s="5">
        <v>156.33737331575736</v>
      </c>
      <c r="D6387" s="45"/>
    </row>
    <row r="6388" spans="2:4" ht="16" thickBot="1" x14ac:dyDescent="0.25">
      <c r="B6388" s="4">
        <v>6383</v>
      </c>
      <c r="C6388" s="4">
        <v>105.26914463929863</v>
      </c>
      <c r="D6388" s="45"/>
    </row>
    <row r="6389" spans="2:4" ht="16" thickBot="1" x14ac:dyDescent="0.25">
      <c r="B6389" s="5">
        <v>6384</v>
      </c>
      <c r="C6389" s="5">
        <v>207.29344537578694</v>
      </c>
      <c r="D6389" s="45"/>
    </row>
    <row r="6390" spans="2:4" ht="16" thickBot="1" x14ac:dyDescent="0.25">
      <c r="B6390" s="4">
        <v>6385</v>
      </c>
      <c r="C6390" s="4">
        <v>138.76614870154</v>
      </c>
      <c r="D6390" s="45"/>
    </row>
    <row r="6391" spans="2:4" ht="16" thickBot="1" x14ac:dyDescent="0.25">
      <c r="B6391" s="5">
        <v>6386</v>
      </c>
      <c r="C6391" s="5">
        <v>119.90082369017603</v>
      </c>
      <c r="D6391" s="45"/>
    </row>
    <row r="6392" spans="2:4" ht="16" thickBot="1" x14ac:dyDescent="0.25">
      <c r="B6392" s="4">
        <v>6387</v>
      </c>
      <c r="C6392" s="4">
        <v>251.86524332306178</v>
      </c>
      <c r="D6392" s="45"/>
    </row>
    <row r="6393" spans="2:4" ht="16" thickBot="1" x14ac:dyDescent="0.25">
      <c r="B6393" s="5">
        <v>6388</v>
      </c>
      <c r="C6393" s="5">
        <v>190.24485343258567</v>
      </c>
      <c r="D6393" s="45"/>
    </row>
    <row r="6394" spans="2:4" ht="16" thickBot="1" x14ac:dyDescent="0.25">
      <c r="B6394" s="4">
        <v>6389</v>
      </c>
      <c r="C6394" s="4">
        <v>57.479265351774643</v>
      </c>
      <c r="D6394" s="45"/>
    </row>
    <row r="6395" spans="2:4" ht="16" thickBot="1" x14ac:dyDescent="0.25">
      <c r="B6395" s="5">
        <v>6390</v>
      </c>
      <c r="C6395" s="5">
        <v>112.51327417896651</v>
      </c>
      <c r="D6395" s="45"/>
    </row>
    <row r="6396" spans="2:4" ht="16" thickBot="1" x14ac:dyDescent="0.25">
      <c r="B6396" s="4">
        <v>6391</v>
      </c>
      <c r="C6396" s="4">
        <v>92.836244182621058</v>
      </c>
      <c r="D6396" s="45"/>
    </row>
    <row r="6397" spans="2:4" ht="16" thickBot="1" x14ac:dyDescent="0.25">
      <c r="B6397" s="5">
        <v>6392</v>
      </c>
      <c r="C6397" s="5">
        <v>83.802416931732949</v>
      </c>
      <c r="D6397" s="45"/>
    </row>
    <row r="6398" spans="2:4" ht="16" thickBot="1" x14ac:dyDescent="0.25">
      <c r="B6398" s="4">
        <v>6393</v>
      </c>
      <c r="C6398" s="4">
        <v>154.45113773227001</v>
      </c>
      <c r="D6398" s="45"/>
    </row>
    <row r="6399" spans="2:4" ht="16" thickBot="1" x14ac:dyDescent="0.25">
      <c r="B6399" s="5">
        <v>6394</v>
      </c>
      <c r="C6399" s="5">
        <v>111.93164416821109</v>
      </c>
      <c r="D6399" s="45"/>
    </row>
    <row r="6400" spans="2:4" ht="16" thickBot="1" x14ac:dyDescent="0.25">
      <c r="B6400" s="4">
        <v>6395</v>
      </c>
      <c r="C6400" s="4">
        <v>69.795854418911006</v>
      </c>
      <c r="D6400" s="45"/>
    </row>
    <row r="6401" spans="2:4" ht="16" thickBot="1" x14ac:dyDescent="0.25">
      <c r="B6401" s="5">
        <v>6396</v>
      </c>
      <c r="C6401" s="5">
        <v>162.21750722319121</v>
      </c>
      <c r="D6401" s="45"/>
    </row>
    <row r="6402" spans="2:4" ht="16" thickBot="1" x14ac:dyDescent="0.25">
      <c r="B6402" s="4">
        <v>6397</v>
      </c>
      <c r="C6402" s="4">
        <v>150.85064918366396</v>
      </c>
      <c r="D6402" s="45"/>
    </row>
    <row r="6403" spans="2:4" ht="16" thickBot="1" x14ac:dyDescent="0.25">
      <c r="B6403" s="5">
        <v>6398</v>
      </c>
      <c r="C6403" s="5">
        <v>98.078657259310759</v>
      </c>
      <c r="D6403" s="45"/>
    </row>
    <row r="6404" spans="2:4" ht="16" thickBot="1" x14ac:dyDescent="0.25">
      <c r="B6404" s="4">
        <v>6399</v>
      </c>
      <c r="C6404" s="4">
        <v>139.26918208203682</v>
      </c>
      <c r="D6404" s="45"/>
    </row>
    <row r="6405" spans="2:4" ht="16" thickBot="1" x14ac:dyDescent="0.25">
      <c r="B6405" s="5">
        <v>6400</v>
      </c>
      <c r="C6405" s="5">
        <v>274.71454021019861</v>
      </c>
      <c r="D6405" s="45"/>
    </row>
    <row r="6406" spans="2:4" ht="16" thickBot="1" x14ac:dyDescent="0.25">
      <c r="B6406" s="4">
        <v>6401</v>
      </c>
      <c r="C6406" s="4">
        <v>88.518526161744759</v>
      </c>
      <c r="D6406" s="45"/>
    </row>
    <row r="6407" spans="2:4" ht="16" thickBot="1" x14ac:dyDescent="0.25">
      <c r="B6407" s="5">
        <v>6402</v>
      </c>
      <c r="C6407" s="5">
        <v>256.32776573577161</v>
      </c>
      <c r="D6407" s="45"/>
    </row>
    <row r="6408" spans="2:4" ht="16" thickBot="1" x14ac:dyDescent="0.25">
      <c r="B6408" s="4">
        <v>6403</v>
      </c>
      <c r="C6408" s="4">
        <v>166.57726561587901</v>
      </c>
      <c r="D6408" s="45"/>
    </row>
    <row r="6409" spans="2:4" ht="16" thickBot="1" x14ac:dyDescent="0.25">
      <c r="B6409" s="5">
        <v>6404</v>
      </c>
      <c r="C6409" s="5">
        <v>168.30470870835683</v>
      </c>
      <c r="D6409" s="45"/>
    </row>
    <row r="6410" spans="2:4" ht="16" thickBot="1" x14ac:dyDescent="0.25">
      <c r="B6410" s="4">
        <v>6405</v>
      </c>
      <c r="C6410" s="4">
        <v>137.24353721340646</v>
      </c>
      <c r="D6410" s="45"/>
    </row>
    <row r="6411" spans="2:4" ht="16" thickBot="1" x14ac:dyDescent="0.25">
      <c r="B6411" s="5">
        <v>6406</v>
      </c>
      <c r="C6411" s="5">
        <v>285.85806040030667</v>
      </c>
      <c r="D6411" s="45"/>
    </row>
    <row r="6412" spans="2:4" ht="16" thickBot="1" x14ac:dyDescent="0.25">
      <c r="B6412" s="4">
        <v>6407</v>
      </c>
      <c r="C6412" s="4">
        <v>152.22435677828733</v>
      </c>
      <c r="D6412" s="45"/>
    </row>
    <row r="6413" spans="2:4" ht="16" thickBot="1" x14ac:dyDescent="0.25">
      <c r="B6413" s="5">
        <v>6408</v>
      </c>
      <c r="C6413" s="5">
        <v>106.76496853965327</v>
      </c>
      <c r="D6413" s="45"/>
    </row>
    <row r="6414" spans="2:4" ht="16" thickBot="1" x14ac:dyDescent="0.25">
      <c r="B6414" s="4">
        <v>6409</v>
      </c>
      <c r="C6414" s="4">
        <v>123.99994800845874</v>
      </c>
      <c r="D6414" s="45"/>
    </row>
    <row r="6415" spans="2:4" ht="16" thickBot="1" x14ac:dyDescent="0.25">
      <c r="B6415" s="5">
        <v>6410</v>
      </c>
      <c r="C6415" s="5">
        <v>278.08412619776027</v>
      </c>
      <c r="D6415" s="45"/>
    </row>
    <row r="6416" spans="2:4" ht="16" thickBot="1" x14ac:dyDescent="0.25">
      <c r="B6416" s="4">
        <v>6411</v>
      </c>
      <c r="C6416" s="4">
        <v>310.28176378841323</v>
      </c>
      <c r="D6416" s="45"/>
    </row>
    <row r="6417" spans="2:4" ht="16" thickBot="1" x14ac:dyDescent="0.25">
      <c r="B6417" s="5">
        <v>6412</v>
      </c>
      <c r="C6417" s="5">
        <v>350.9549891159939</v>
      </c>
      <c r="D6417" s="45"/>
    </row>
    <row r="6418" spans="2:4" ht="16" thickBot="1" x14ac:dyDescent="0.25">
      <c r="B6418" s="4">
        <v>6413</v>
      </c>
      <c r="C6418" s="4">
        <v>79.33982262755184</v>
      </c>
      <c r="D6418" s="45"/>
    </row>
    <row r="6419" spans="2:4" ht="16" thickBot="1" x14ac:dyDescent="0.25">
      <c r="B6419" s="5">
        <v>6414</v>
      </c>
      <c r="C6419" s="5">
        <v>278.93464639047846</v>
      </c>
      <c r="D6419" s="45"/>
    </row>
    <row r="6420" spans="2:4" ht="16" thickBot="1" x14ac:dyDescent="0.25">
      <c r="B6420" s="4">
        <v>6415</v>
      </c>
      <c r="C6420" s="4">
        <v>125.31152893680695</v>
      </c>
      <c r="D6420" s="45"/>
    </row>
    <row r="6421" spans="2:4" ht="16" thickBot="1" x14ac:dyDescent="0.25">
      <c r="B6421" s="5">
        <v>6416</v>
      </c>
      <c r="C6421" s="5">
        <v>243.72477814791145</v>
      </c>
      <c r="D6421" s="45"/>
    </row>
    <row r="6422" spans="2:4" ht="16" thickBot="1" x14ac:dyDescent="0.25">
      <c r="B6422" s="4">
        <v>6417</v>
      </c>
      <c r="C6422" s="4">
        <v>115.83977394976776</v>
      </c>
      <c r="D6422" s="45"/>
    </row>
    <row r="6423" spans="2:4" ht="16" thickBot="1" x14ac:dyDescent="0.25">
      <c r="B6423" s="5">
        <v>6418</v>
      </c>
      <c r="C6423" s="5">
        <v>207.78960755976723</v>
      </c>
      <c r="D6423" s="45"/>
    </row>
    <row r="6424" spans="2:4" ht="16" thickBot="1" x14ac:dyDescent="0.25">
      <c r="B6424" s="4">
        <v>6419</v>
      </c>
      <c r="C6424" s="4">
        <v>211.31788791732453</v>
      </c>
      <c r="D6424" s="45"/>
    </row>
    <row r="6425" spans="2:4" ht="16" thickBot="1" x14ac:dyDescent="0.25">
      <c r="B6425" s="5">
        <v>6420</v>
      </c>
      <c r="C6425" s="5">
        <v>396.49216063165579</v>
      </c>
      <c r="D6425" s="45"/>
    </row>
    <row r="6426" spans="2:4" ht="16" thickBot="1" x14ac:dyDescent="0.25">
      <c r="B6426" s="4">
        <v>6421</v>
      </c>
      <c r="C6426" s="4">
        <v>189.05675324311056</v>
      </c>
      <c r="D6426" s="45"/>
    </row>
    <row r="6427" spans="2:4" ht="16" thickBot="1" x14ac:dyDescent="0.25">
      <c r="B6427" s="5">
        <v>6422</v>
      </c>
      <c r="C6427" s="5">
        <v>90.167652109242027</v>
      </c>
      <c r="D6427" s="45"/>
    </row>
    <row r="6428" spans="2:4" ht="16" thickBot="1" x14ac:dyDescent="0.25">
      <c r="B6428" s="4">
        <v>6423</v>
      </c>
      <c r="C6428" s="4">
        <v>88.260287829611144</v>
      </c>
      <c r="D6428" s="45"/>
    </row>
    <row r="6429" spans="2:4" ht="16" thickBot="1" x14ac:dyDescent="0.25">
      <c r="B6429" s="5">
        <v>6424</v>
      </c>
      <c r="C6429" s="5">
        <v>152.67434470030719</v>
      </c>
      <c r="D6429" s="45"/>
    </row>
    <row r="6430" spans="2:4" ht="16" thickBot="1" x14ac:dyDescent="0.25">
      <c r="B6430" s="4">
        <v>6425</v>
      </c>
      <c r="C6430" s="4">
        <v>98.11552609448772</v>
      </c>
      <c r="D6430" s="45"/>
    </row>
    <row r="6431" spans="2:4" ht="16" thickBot="1" x14ac:dyDescent="0.25">
      <c r="B6431" s="5">
        <v>6426</v>
      </c>
      <c r="C6431" s="5">
        <v>167.59825909894928</v>
      </c>
      <c r="D6431" s="45"/>
    </row>
    <row r="6432" spans="2:4" ht="16" thickBot="1" x14ac:dyDescent="0.25">
      <c r="B6432" s="4">
        <v>6427</v>
      </c>
      <c r="C6432" s="4">
        <v>283.43961815727704</v>
      </c>
      <c r="D6432" s="45"/>
    </row>
    <row r="6433" spans="2:4" ht="16" thickBot="1" x14ac:dyDescent="0.25">
      <c r="B6433" s="5">
        <v>6428</v>
      </c>
      <c r="C6433" s="5">
        <v>157.61842731489358</v>
      </c>
      <c r="D6433" s="45"/>
    </row>
    <row r="6434" spans="2:4" ht="16" thickBot="1" x14ac:dyDescent="0.25">
      <c r="B6434" s="4">
        <v>6429</v>
      </c>
      <c r="C6434" s="4">
        <v>55.308376415149937</v>
      </c>
      <c r="D6434" s="45"/>
    </row>
    <row r="6435" spans="2:4" ht="16" thickBot="1" x14ac:dyDescent="0.25">
      <c r="B6435" s="5">
        <v>6430</v>
      </c>
      <c r="C6435" s="5">
        <v>74.078957517807467</v>
      </c>
      <c r="D6435" s="45"/>
    </row>
    <row r="6436" spans="2:4" ht="16" thickBot="1" x14ac:dyDescent="0.25">
      <c r="B6436" s="4">
        <v>6431</v>
      </c>
      <c r="C6436" s="4">
        <v>97.890309515964091</v>
      </c>
      <c r="D6436" s="45"/>
    </row>
    <row r="6437" spans="2:4" ht="16" thickBot="1" x14ac:dyDescent="0.25">
      <c r="B6437" s="5">
        <v>6432</v>
      </c>
      <c r="C6437" s="5">
        <v>353.60237577712587</v>
      </c>
      <c r="D6437" s="45"/>
    </row>
    <row r="6438" spans="2:4" ht="16" thickBot="1" x14ac:dyDescent="0.25">
      <c r="B6438" s="4">
        <v>6433</v>
      </c>
      <c r="C6438" s="4">
        <v>97.694318908212921</v>
      </c>
      <c r="D6438" s="45"/>
    </row>
    <row r="6439" spans="2:4" ht="16" thickBot="1" x14ac:dyDescent="0.25">
      <c r="B6439" s="5">
        <v>6434</v>
      </c>
      <c r="C6439" s="5">
        <v>170.42521950805113</v>
      </c>
      <c r="D6439" s="45"/>
    </row>
    <row r="6440" spans="2:4" ht="16" thickBot="1" x14ac:dyDescent="0.25">
      <c r="B6440" s="4">
        <v>6435</v>
      </c>
      <c r="C6440" s="4">
        <v>61.082090319088209</v>
      </c>
      <c r="D6440" s="45"/>
    </row>
    <row r="6441" spans="2:4" ht="16" thickBot="1" x14ac:dyDescent="0.25">
      <c r="B6441" s="5">
        <v>6436</v>
      </c>
      <c r="C6441" s="5">
        <v>62.171777000579219</v>
      </c>
      <c r="D6441" s="45"/>
    </row>
    <row r="6442" spans="2:4" ht="16" thickBot="1" x14ac:dyDescent="0.25">
      <c r="B6442" s="4">
        <v>6437</v>
      </c>
      <c r="C6442" s="4">
        <v>76.433394246437132</v>
      </c>
      <c r="D6442" s="45"/>
    </row>
    <row r="6443" spans="2:4" ht="16" thickBot="1" x14ac:dyDescent="0.25">
      <c r="B6443" s="5">
        <v>6438</v>
      </c>
      <c r="C6443" s="5">
        <v>205.90887759254198</v>
      </c>
      <c r="D6443" s="45"/>
    </row>
    <row r="6444" spans="2:4" ht="16" thickBot="1" x14ac:dyDescent="0.25">
      <c r="B6444" s="4">
        <v>6439</v>
      </c>
      <c r="C6444" s="4">
        <v>172.39760075092482</v>
      </c>
      <c r="D6444" s="45"/>
    </row>
    <row r="6445" spans="2:4" ht="16" thickBot="1" x14ac:dyDescent="0.25">
      <c r="B6445" s="5">
        <v>6440</v>
      </c>
      <c r="C6445" s="5">
        <v>124.63258059203355</v>
      </c>
      <c r="D6445" s="45"/>
    </row>
    <row r="6446" spans="2:4" ht="16" thickBot="1" x14ac:dyDescent="0.25">
      <c r="B6446" s="4">
        <v>6441</v>
      </c>
      <c r="C6446" s="4">
        <v>110.33477727797245</v>
      </c>
      <c r="D6446" s="45"/>
    </row>
    <row r="6447" spans="2:4" ht="16" thickBot="1" x14ac:dyDescent="0.25">
      <c r="B6447" s="5">
        <v>6442</v>
      </c>
      <c r="C6447" s="5">
        <v>105.86101866688936</v>
      </c>
      <c r="D6447" s="45"/>
    </row>
    <row r="6448" spans="2:4" ht="16" thickBot="1" x14ac:dyDescent="0.25">
      <c r="B6448" s="4">
        <v>6443</v>
      </c>
      <c r="C6448" s="4">
        <v>97.087459285162396</v>
      </c>
      <c r="D6448" s="45"/>
    </row>
    <row r="6449" spans="2:4" ht="16" thickBot="1" x14ac:dyDescent="0.25">
      <c r="B6449" s="5">
        <v>6444</v>
      </c>
      <c r="C6449" s="5">
        <v>189.7545563123943</v>
      </c>
      <c r="D6449" s="45"/>
    </row>
    <row r="6450" spans="2:4" ht="16" thickBot="1" x14ac:dyDescent="0.25">
      <c r="B6450" s="4">
        <v>6445</v>
      </c>
      <c r="C6450" s="4">
        <v>134.58935492687527</v>
      </c>
      <c r="D6450" s="45"/>
    </row>
    <row r="6451" spans="2:4" ht="16" thickBot="1" x14ac:dyDescent="0.25">
      <c r="B6451" s="5">
        <v>6446</v>
      </c>
      <c r="C6451" s="5">
        <v>175.75740338752158</v>
      </c>
      <c r="D6451" s="45"/>
    </row>
    <row r="6452" spans="2:4" ht="16" thickBot="1" x14ac:dyDescent="0.25">
      <c r="B6452" s="4">
        <v>6447</v>
      </c>
      <c r="C6452" s="4">
        <v>110.52151298466518</v>
      </c>
      <c r="D6452" s="45"/>
    </row>
    <row r="6453" spans="2:4" ht="16" thickBot="1" x14ac:dyDescent="0.25">
      <c r="B6453" s="5">
        <v>6448</v>
      </c>
      <c r="C6453" s="5">
        <v>105.24470143708265</v>
      </c>
      <c r="D6453" s="45"/>
    </row>
    <row r="6454" spans="2:4" ht="16" thickBot="1" x14ac:dyDescent="0.25">
      <c r="B6454" s="4">
        <v>6449</v>
      </c>
      <c r="C6454" s="4">
        <v>276.51304567458646</v>
      </c>
      <c r="D6454" s="45"/>
    </row>
    <row r="6455" spans="2:4" ht="16" thickBot="1" x14ac:dyDescent="0.25">
      <c r="B6455" s="5">
        <v>6450</v>
      </c>
      <c r="C6455" s="5">
        <v>198.98300166132717</v>
      </c>
      <c r="D6455" s="45"/>
    </row>
    <row r="6456" spans="2:4" ht="16" thickBot="1" x14ac:dyDescent="0.25">
      <c r="B6456" s="4">
        <v>6451</v>
      </c>
      <c r="C6456" s="4">
        <v>87.735287519489702</v>
      </c>
      <c r="D6456" s="45"/>
    </row>
    <row r="6457" spans="2:4" ht="16" thickBot="1" x14ac:dyDescent="0.25">
      <c r="B6457" s="5">
        <v>6452</v>
      </c>
      <c r="C6457" s="5">
        <v>96.332052263053754</v>
      </c>
      <c r="D6457" s="45"/>
    </row>
    <row r="6458" spans="2:4" ht="16" thickBot="1" x14ac:dyDescent="0.25">
      <c r="B6458" s="4">
        <v>6453</v>
      </c>
      <c r="C6458" s="4">
        <v>151.45530329119498</v>
      </c>
      <c r="D6458" s="45"/>
    </row>
    <row r="6459" spans="2:4" ht="16" thickBot="1" x14ac:dyDescent="0.25">
      <c r="B6459" s="5">
        <v>6454</v>
      </c>
      <c r="C6459" s="5">
        <v>152.22225045185203</v>
      </c>
      <c r="D6459" s="45"/>
    </row>
    <row r="6460" spans="2:4" ht="16" thickBot="1" x14ac:dyDescent="0.25">
      <c r="B6460" s="4">
        <v>6455</v>
      </c>
      <c r="C6460" s="4">
        <v>160.81917638557061</v>
      </c>
      <c r="D6460" s="45"/>
    </row>
    <row r="6461" spans="2:4" ht="16" thickBot="1" x14ac:dyDescent="0.25">
      <c r="B6461" s="5">
        <v>6456</v>
      </c>
      <c r="C6461" s="5">
        <v>129.91522799005935</v>
      </c>
      <c r="D6461" s="45"/>
    </row>
    <row r="6462" spans="2:4" ht="16" thickBot="1" x14ac:dyDescent="0.25">
      <c r="B6462" s="4">
        <v>6457</v>
      </c>
      <c r="C6462" s="4">
        <v>95.166188365206821</v>
      </c>
      <c r="D6462" s="45"/>
    </row>
    <row r="6463" spans="2:4" ht="16" thickBot="1" x14ac:dyDescent="0.25">
      <c r="B6463" s="5">
        <v>6458</v>
      </c>
      <c r="C6463" s="5">
        <v>56.731193705070275</v>
      </c>
      <c r="D6463" s="45"/>
    </row>
    <row r="6464" spans="2:4" ht="16" thickBot="1" x14ac:dyDescent="0.25">
      <c r="B6464" s="4">
        <v>6459</v>
      </c>
      <c r="C6464" s="4">
        <v>183.62270047205794</v>
      </c>
      <c r="D6464" s="45"/>
    </row>
    <row r="6465" spans="2:4" ht="16" thickBot="1" x14ac:dyDescent="0.25">
      <c r="B6465" s="5">
        <v>6460</v>
      </c>
      <c r="C6465" s="5">
        <v>99.020682381381363</v>
      </c>
      <c r="D6465" s="45"/>
    </row>
    <row r="6466" spans="2:4" ht="16" thickBot="1" x14ac:dyDescent="0.25">
      <c r="B6466" s="4">
        <v>6461</v>
      </c>
      <c r="C6466" s="4">
        <v>119.37564643855058</v>
      </c>
      <c r="D6466" s="45"/>
    </row>
    <row r="6467" spans="2:4" ht="16" thickBot="1" x14ac:dyDescent="0.25">
      <c r="B6467" s="5">
        <v>6462</v>
      </c>
      <c r="C6467" s="5">
        <v>169.05945540524337</v>
      </c>
      <c r="D6467" s="45"/>
    </row>
    <row r="6468" spans="2:4" ht="16" thickBot="1" x14ac:dyDescent="0.25">
      <c r="B6468" s="4">
        <v>6463</v>
      </c>
      <c r="C6468" s="4">
        <v>286.65406858378628</v>
      </c>
      <c r="D6468" s="45"/>
    </row>
    <row r="6469" spans="2:4" ht="16" thickBot="1" x14ac:dyDescent="0.25">
      <c r="B6469" s="5">
        <v>6464</v>
      </c>
      <c r="C6469" s="5">
        <v>90.110829229798043</v>
      </c>
      <c r="D6469" s="45"/>
    </row>
    <row r="6470" spans="2:4" ht="16" thickBot="1" x14ac:dyDescent="0.25">
      <c r="B6470" s="4">
        <v>6465</v>
      </c>
      <c r="C6470" s="4">
        <v>535.50458215985361</v>
      </c>
      <c r="D6470" s="45"/>
    </row>
    <row r="6471" spans="2:4" ht="16" thickBot="1" x14ac:dyDescent="0.25">
      <c r="B6471" s="5">
        <v>6466</v>
      </c>
      <c r="C6471" s="5">
        <v>195.96470411741396</v>
      </c>
      <c r="D6471" s="45"/>
    </row>
    <row r="6472" spans="2:4" ht="16" thickBot="1" x14ac:dyDescent="0.25">
      <c r="B6472" s="4">
        <v>6467</v>
      </c>
      <c r="C6472" s="4">
        <v>227.47263453972988</v>
      </c>
      <c r="D6472" s="45"/>
    </row>
    <row r="6473" spans="2:4" ht="16" thickBot="1" x14ac:dyDescent="0.25">
      <c r="B6473" s="5">
        <v>6468</v>
      </c>
      <c r="C6473" s="5">
        <v>130.22912210740006</v>
      </c>
      <c r="D6473" s="45"/>
    </row>
    <row r="6474" spans="2:4" ht="16" thickBot="1" x14ac:dyDescent="0.25">
      <c r="B6474" s="4">
        <v>6469</v>
      </c>
      <c r="C6474" s="4">
        <v>138.3717325787002</v>
      </c>
      <c r="D6474" s="45"/>
    </row>
    <row r="6475" spans="2:4" ht="16" thickBot="1" x14ac:dyDescent="0.25">
      <c r="B6475" s="5">
        <v>6470</v>
      </c>
      <c r="C6475" s="5">
        <v>90.651194869961515</v>
      </c>
      <c r="D6475" s="45"/>
    </row>
    <row r="6476" spans="2:4" ht="16" thickBot="1" x14ac:dyDescent="0.25">
      <c r="B6476" s="4">
        <v>6471</v>
      </c>
      <c r="C6476" s="4">
        <v>120.47264177230763</v>
      </c>
      <c r="D6476" s="45"/>
    </row>
    <row r="6477" spans="2:4" ht="16" thickBot="1" x14ac:dyDescent="0.25">
      <c r="B6477" s="5">
        <v>6472</v>
      </c>
      <c r="C6477" s="5">
        <v>143.42280446045581</v>
      </c>
      <c r="D6477" s="45"/>
    </row>
    <row r="6478" spans="2:4" ht="16" thickBot="1" x14ac:dyDescent="0.25">
      <c r="B6478" s="4">
        <v>6473</v>
      </c>
      <c r="C6478" s="4">
        <v>387.90170048635821</v>
      </c>
      <c r="D6478" s="45"/>
    </row>
    <row r="6479" spans="2:4" ht="16" thickBot="1" x14ac:dyDescent="0.25">
      <c r="B6479" s="5">
        <v>6474</v>
      </c>
      <c r="C6479" s="5">
        <v>148.97429805276516</v>
      </c>
      <c r="D6479" s="45"/>
    </row>
    <row r="6480" spans="2:4" ht="16" thickBot="1" x14ac:dyDescent="0.25">
      <c r="B6480" s="4">
        <v>6475</v>
      </c>
      <c r="C6480" s="4">
        <v>95.699966000463448</v>
      </c>
      <c r="D6480" s="45"/>
    </row>
    <row r="6481" spans="2:4" ht="16" thickBot="1" x14ac:dyDescent="0.25">
      <c r="B6481" s="5">
        <v>6476</v>
      </c>
      <c r="C6481" s="5">
        <v>76.496802516146914</v>
      </c>
      <c r="D6481" s="45"/>
    </row>
    <row r="6482" spans="2:4" ht="16" thickBot="1" x14ac:dyDescent="0.25">
      <c r="B6482" s="4">
        <v>6477</v>
      </c>
      <c r="C6482" s="4">
        <v>248.74593375601944</v>
      </c>
      <c r="D6482" s="45"/>
    </row>
    <row r="6483" spans="2:4" ht="16" thickBot="1" x14ac:dyDescent="0.25">
      <c r="B6483" s="5">
        <v>6478</v>
      </c>
      <c r="C6483" s="5">
        <v>65.94470399485111</v>
      </c>
      <c r="D6483" s="45"/>
    </row>
    <row r="6484" spans="2:4" ht="16" thickBot="1" x14ac:dyDescent="0.25">
      <c r="B6484" s="4">
        <v>6479</v>
      </c>
      <c r="C6484" s="4">
        <v>175.96501673303734</v>
      </c>
      <c r="D6484" s="45"/>
    </row>
    <row r="6485" spans="2:4" ht="16" thickBot="1" x14ac:dyDescent="0.25">
      <c r="B6485" s="5">
        <v>6480</v>
      </c>
      <c r="C6485" s="5">
        <v>95.070460313871507</v>
      </c>
      <c r="D6485" s="45"/>
    </row>
    <row r="6486" spans="2:4" ht="16" thickBot="1" x14ac:dyDescent="0.25">
      <c r="B6486" s="4">
        <v>6481</v>
      </c>
      <c r="C6486" s="4">
        <v>177.77599829973261</v>
      </c>
      <c r="D6486" s="45"/>
    </row>
    <row r="6487" spans="2:4" ht="16" thickBot="1" x14ac:dyDescent="0.25">
      <c r="B6487" s="5">
        <v>6482</v>
      </c>
      <c r="C6487" s="5">
        <v>106.16837806377248</v>
      </c>
      <c r="D6487" s="45"/>
    </row>
    <row r="6488" spans="2:4" ht="16" thickBot="1" x14ac:dyDescent="0.25">
      <c r="B6488" s="4">
        <v>6483</v>
      </c>
      <c r="C6488" s="4">
        <v>249.94434534570419</v>
      </c>
      <c r="D6488" s="45"/>
    </row>
    <row r="6489" spans="2:4" ht="16" thickBot="1" x14ac:dyDescent="0.25">
      <c r="B6489" s="5">
        <v>6484</v>
      </c>
      <c r="C6489" s="5">
        <v>86.235125025266967</v>
      </c>
      <c r="D6489" s="45"/>
    </row>
    <row r="6490" spans="2:4" ht="16" thickBot="1" x14ac:dyDescent="0.25">
      <c r="B6490" s="4">
        <v>6485</v>
      </c>
      <c r="C6490" s="4">
        <v>109.52014809476591</v>
      </c>
      <c r="D6490" s="45"/>
    </row>
    <row r="6491" spans="2:4" ht="16" thickBot="1" x14ac:dyDescent="0.25">
      <c r="B6491" s="5">
        <v>6486</v>
      </c>
      <c r="C6491" s="5">
        <v>54.382880113779443</v>
      </c>
      <c r="D6491" s="45"/>
    </row>
    <row r="6492" spans="2:4" ht="16" thickBot="1" x14ac:dyDescent="0.25">
      <c r="B6492" s="4">
        <v>6487</v>
      </c>
      <c r="C6492" s="4">
        <v>118.46547945804811</v>
      </c>
      <c r="D6492" s="45"/>
    </row>
    <row r="6493" spans="2:4" ht="16" thickBot="1" x14ac:dyDescent="0.25">
      <c r="B6493" s="5">
        <v>6488</v>
      </c>
      <c r="C6493" s="5">
        <v>252.0344100314812</v>
      </c>
      <c r="D6493" s="45"/>
    </row>
    <row r="6494" spans="2:4" ht="16" thickBot="1" x14ac:dyDescent="0.25">
      <c r="B6494" s="4">
        <v>6489</v>
      </c>
      <c r="C6494" s="4">
        <v>49.543121898516297</v>
      </c>
      <c r="D6494" s="45"/>
    </row>
    <row r="6495" spans="2:4" ht="16" thickBot="1" x14ac:dyDescent="0.25">
      <c r="B6495" s="5">
        <v>6490</v>
      </c>
      <c r="C6495" s="5">
        <v>103.90345642789461</v>
      </c>
      <c r="D6495" s="45"/>
    </row>
    <row r="6496" spans="2:4" ht="16" thickBot="1" x14ac:dyDescent="0.25">
      <c r="B6496" s="4">
        <v>6491</v>
      </c>
      <c r="C6496" s="4">
        <v>65.453186799976905</v>
      </c>
      <c r="D6496" s="45"/>
    </row>
    <row r="6497" spans="2:4" ht="16" thickBot="1" x14ac:dyDescent="0.25">
      <c r="B6497" s="5">
        <v>6492</v>
      </c>
      <c r="C6497" s="5">
        <v>114.64247634689394</v>
      </c>
      <c r="D6497" s="45"/>
    </row>
    <row r="6498" spans="2:4" ht="16" thickBot="1" x14ac:dyDescent="0.25">
      <c r="B6498" s="4">
        <v>6493</v>
      </c>
      <c r="C6498" s="4">
        <v>203.10228472026918</v>
      </c>
      <c r="D6498" s="45"/>
    </row>
    <row r="6499" spans="2:4" ht="16" thickBot="1" x14ac:dyDescent="0.25">
      <c r="B6499" s="5">
        <v>6494</v>
      </c>
      <c r="C6499" s="5">
        <v>156.01727692860638</v>
      </c>
      <c r="D6499" s="45"/>
    </row>
    <row r="6500" spans="2:4" ht="16" thickBot="1" x14ac:dyDescent="0.25">
      <c r="B6500" s="4">
        <v>6495</v>
      </c>
      <c r="C6500" s="4">
        <v>158.75898310456969</v>
      </c>
      <c r="D6500" s="45"/>
    </row>
    <row r="6501" spans="2:4" ht="16" thickBot="1" x14ac:dyDescent="0.25">
      <c r="B6501" s="5">
        <v>6496</v>
      </c>
      <c r="C6501" s="5">
        <v>309.85807459589256</v>
      </c>
      <c r="D6501" s="45"/>
    </row>
    <row r="6502" spans="2:4" ht="16" thickBot="1" x14ac:dyDescent="0.25">
      <c r="B6502" s="4">
        <v>6497</v>
      </c>
      <c r="C6502" s="4">
        <v>46.284174197158627</v>
      </c>
      <c r="D6502" s="45"/>
    </row>
    <row r="6503" spans="2:4" ht="16" thickBot="1" x14ac:dyDescent="0.25">
      <c r="B6503" s="5">
        <v>6498</v>
      </c>
      <c r="C6503" s="5">
        <v>139.05591816378703</v>
      </c>
      <c r="D6503" s="45"/>
    </row>
    <row r="6504" spans="2:4" ht="16" thickBot="1" x14ac:dyDescent="0.25">
      <c r="B6504" s="4">
        <v>6499</v>
      </c>
      <c r="C6504" s="4">
        <v>125.48813500868725</v>
      </c>
      <c r="D6504" s="45"/>
    </row>
    <row r="6505" spans="2:4" ht="16" thickBot="1" x14ac:dyDescent="0.25">
      <c r="B6505" s="5">
        <v>6500</v>
      </c>
      <c r="C6505" s="5">
        <v>101.30285677983723</v>
      </c>
      <c r="D6505" s="45"/>
    </row>
    <row r="6506" spans="2:4" ht="16" thickBot="1" x14ac:dyDescent="0.25">
      <c r="B6506" s="4">
        <v>6501</v>
      </c>
      <c r="C6506" s="4">
        <v>85.538265062848666</v>
      </c>
      <c r="D6506" s="45"/>
    </row>
    <row r="6507" spans="2:4" ht="16" thickBot="1" x14ac:dyDescent="0.25">
      <c r="B6507" s="5">
        <v>6502</v>
      </c>
      <c r="C6507" s="5">
        <v>214.02957870990642</v>
      </c>
      <c r="D6507" s="45"/>
    </row>
    <row r="6508" spans="2:4" ht="16" thickBot="1" x14ac:dyDescent="0.25">
      <c r="B6508" s="4">
        <v>6503</v>
      </c>
      <c r="C6508" s="4">
        <v>103.02266379070429</v>
      </c>
      <c r="D6508" s="45"/>
    </row>
    <row r="6509" spans="2:4" ht="16" thickBot="1" x14ac:dyDescent="0.25">
      <c r="B6509" s="5">
        <v>6504</v>
      </c>
      <c r="C6509" s="5">
        <v>150.11067667340185</v>
      </c>
      <c r="D6509" s="45"/>
    </row>
    <row r="6510" spans="2:4" ht="16" thickBot="1" x14ac:dyDescent="0.25">
      <c r="B6510" s="4">
        <v>6505</v>
      </c>
      <c r="C6510" s="4">
        <v>236.12158607858686</v>
      </c>
      <c r="D6510" s="45"/>
    </row>
    <row r="6511" spans="2:4" ht="16" thickBot="1" x14ac:dyDescent="0.25">
      <c r="B6511" s="5">
        <v>6506</v>
      </c>
      <c r="C6511" s="5">
        <v>194.79811322130419</v>
      </c>
      <c r="D6511" s="45"/>
    </row>
    <row r="6512" spans="2:4" ht="16" thickBot="1" x14ac:dyDescent="0.25">
      <c r="B6512" s="4">
        <v>6507</v>
      </c>
      <c r="C6512" s="4">
        <v>189.08745334658127</v>
      </c>
      <c r="D6512" s="45"/>
    </row>
    <row r="6513" spans="2:4" ht="16" thickBot="1" x14ac:dyDescent="0.25">
      <c r="B6513" s="5">
        <v>6508</v>
      </c>
      <c r="C6513" s="5">
        <v>88.058778586071071</v>
      </c>
      <c r="D6513" s="45"/>
    </row>
    <row r="6514" spans="2:4" ht="16" thickBot="1" x14ac:dyDescent="0.25">
      <c r="B6514" s="4">
        <v>6509</v>
      </c>
      <c r="C6514" s="4">
        <v>122.60251227066479</v>
      </c>
      <c r="D6514" s="45"/>
    </row>
    <row r="6515" spans="2:4" ht="16" thickBot="1" x14ac:dyDescent="0.25">
      <c r="B6515" s="5">
        <v>6510</v>
      </c>
      <c r="C6515" s="5">
        <v>105.84841980718689</v>
      </c>
      <c r="D6515" s="45"/>
    </row>
    <row r="6516" spans="2:4" ht="16" thickBot="1" x14ac:dyDescent="0.25">
      <c r="B6516" s="4">
        <v>6511</v>
      </c>
      <c r="C6516" s="4">
        <v>154.26437865093658</v>
      </c>
      <c r="D6516" s="45"/>
    </row>
    <row r="6517" spans="2:4" ht="16" thickBot="1" x14ac:dyDescent="0.25">
      <c r="B6517" s="5">
        <v>6512</v>
      </c>
      <c r="C6517" s="5">
        <v>98.861140369595546</v>
      </c>
      <c r="D6517" s="45"/>
    </row>
    <row r="6518" spans="2:4" ht="16" thickBot="1" x14ac:dyDescent="0.25">
      <c r="B6518" s="4">
        <v>6513</v>
      </c>
      <c r="C6518" s="4">
        <v>127.47623880278604</v>
      </c>
      <c r="D6518" s="45"/>
    </row>
    <row r="6519" spans="2:4" ht="16" thickBot="1" x14ac:dyDescent="0.25">
      <c r="B6519" s="5">
        <v>6514</v>
      </c>
      <c r="C6519" s="5">
        <v>232.36978207241776</v>
      </c>
      <c r="D6519" s="45"/>
    </row>
    <row r="6520" spans="2:4" ht="16" thickBot="1" x14ac:dyDescent="0.25">
      <c r="B6520" s="4">
        <v>6515</v>
      </c>
      <c r="C6520" s="4">
        <v>244.43722594902704</v>
      </c>
      <c r="D6520" s="45"/>
    </row>
    <row r="6521" spans="2:4" ht="16" thickBot="1" x14ac:dyDescent="0.25">
      <c r="B6521" s="5">
        <v>6516</v>
      </c>
      <c r="C6521" s="5">
        <v>125.51817666625469</v>
      </c>
      <c r="D6521" s="45"/>
    </row>
    <row r="6522" spans="2:4" ht="16" thickBot="1" x14ac:dyDescent="0.25">
      <c r="B6522" s="4">
        <v>6517</v>
      </c>
      <c r="C6522" s="4">
        <v>133.05974792061946</v>
      </c>
      <c r="D6522" s="45"/>
    </row>
    <row r="6523" spans="2:4" ht="16" thickBot="1" x14ac:dyDescent="0.25">
      <c r="B6523" s="5">
        <v>6518</v>
      </c>
      <c r="C6523" s="5">
        <v>88.433753480216637</v>
      </c>
      <c r="D6523" s="45"/>
    </row>
    <row r="6524" spans="2:4" ht="16" thickBot="1" x14ac:dyDescent="0.25">
      <c r="B6524" s="4">
        <v>6519</v>
      </c>
      <c r="C6524" s="4">
        <v>123.15883130743012</v>
      </c>
      <c r="D6524" s="45"/>
    </row>
    <row r="6525" spans="2:4" ht="16" thickBot="1" x14ac:dyDescent="0.25">
      <c r="B6525" s="5">
        <v>6520</v>
      </c>
      <c r="C6525" s="5">
        <v>216.31870192223019</v>
      </c>
      <c r="D6525" s="45"/>
    </row>
    <row r="6526" spans="2:4" ht="16" thickBot="1" x14ac:dyDescent="0.25">
      <c r="B6526" s="4">
        <v>6521</v>
      </c>
      <c r="C6526" s="4">
        <v>170.26693734010394</v>
      </c>
      <c r="D6526" s="45"/>
    </row>
    <row r="6527" spans="2:4" ht="16" thickBot="1" x14ac:dyDescent="0.25">
      <c r="B6527" s="5">
        <v>6522</v>
      </c>
      <c r="C6527" s="5">
        <v>226.59068851376975</v>
      </c>
      <c r="D6527" s="45"/>
    </row>
    <row r="6528" spans="2:4" ht="16" thickBot="1" x14ac:dyDescent="0.25">
      <c r="B6528" s="4">
        <v>6523</v>
      </c>
      <c r="C6528" s="4">
        <v>153.62397317459008</v>
      </c>
      <c r="D6528" s="45"/>
    </row>
    <row r="6529" spans="2:4" ht="16" thickBot="1" x14ac:dyDescent="0.25">
      <c r="B6529" s="5">
        <v>6524</v>
      </c>
      <c r="C6529" s="5">
        <v>121.60590256401508</v>
      </c>
      <c r="D6529" s="45"/>
    </row>
    <row r="6530" spans="2:4" ht="16" thickBot="1" x14ac:dyDescent="0.25">
      <c r="B6530" s="4">
        <v>6525</v>
      </c>
      <c r="C6530" s="4">
        <v>63.632214487341379</v>
      </c>
      <c r="D6530" s="45"/>
    </row>
    <row r="6531" spans="2:4" ht="16" thickBot="1" x14ac:dyDescent="0.25">
      <c r="B6531" s="5">
        <v>6526</v>
      </c>
      <c r="C6531" s="5">
        <v>167.56192652974173</v>
      </c>
      <c r="D6531" s="45"/>
    </row>
    <row r="6532" spans="2:4" ht="16" thickBot="1" x14ac:dyDescent="0.25">
      <c r="B6532" s="4">
        <v>6527</v>
      </c>
      <c r="C6532" s="4">
        <v>179.12176519185036</v>
      </c>
      <c r="D6532" s="45"/>
    </row>
    <row r="6533" spans="2:4" ht="16" thickBot="1" x14ac:dyDescent="0.25">
      <c r="B6533" s="5">
        <v>6528</v>
      </c>
      <c r="C6533" s="5">
        <v>147.39694552485216</v>
      </c>
      <c r="D6533" s="45"/>
    </row>
    <row r="6534" spans="2:4" ht="16" thickBot="1" x14ac:dyDescent="0.25">
      <c r="B6534" s="4">
        <v>6529</v>
      </c>
      <c r="C6534" s="4">
        <v>97.188473363320668</v>
      </c>
      <c r="D6534" s="45"/>
    </row>
    <row r="6535" spans="2:4" ht="16" thickBot="1" x14ac:dyDescent="0.25">
      <c r="B6535" s="5">
        <v>6530</v>
      </c>
      <c r="C6535" s="5">
        <v>138.27299844184742</v>
      </c>
      <c r="D6535" s="45"/>
    </row>
    <row r="6536" spans="2:4" ht="16" thickBot="1" x14ac:dyDescent="0.25">
      <c r="B6536" s="4">
        <v>6531</v>
      </c>
      <c r="C6536" s="4">
        <v>102.36246254940691</v>
      </c>
      <c r="D6536" s="45"/>
    </row>
    <row r="6537" spans="2:4" ht="16" thickBot="1" x14ac:dyDescent="0.25">
      <c r="B6537" s="5">
        <v>6532</v>
      </c>
      <c r="C6537" s="5">
        <v>276.7008577199872</v>
      </c>
      <c r="D6537" s="45"/>
    </row>
    <row r="6538" spans="2:4" ht="16" thickBot="1" x14ac:dyDescent="0.25">
      <c r="B6538" s="4">
        <v>6533</v>
      </c>
      <c r="C6538" s="4">
        <v>109.80177370879154</v>
      </c>
      <c r="D6538" s="45"/>
    </row>
    <row r="6539" spans="2:4" ht="16" thickBot="1" x14ac:dyDescent="0.25">
      <c r="B6539" s="5">
        <v>6534</v>
      </c>
      <c r="C6539" s="5">
        <v>126.67491093825653</v>
      </c>
      <c r="D6539" s="45"/>
    </row>
    <row r="6540" spans="2:4" ht="16" thickBot="1" x14ac:dyDescent="0.25">
      <c r="B6540" s="4">
        <v>6535</v>
      </c>
      <c r="C6540" s="4">
        <v>149.16743415345499</v>
      </c>
      <c r="D6540" s="45"/>
    </row>
    <row r="6541" spans="2:4" ht="16" thickBot="1" x14ac:dyDescent="0.25">
      <c r="B6541" s="5">
        <v>6536</v>
      </c>
      <c r="C6541" s="5">
        <v>155.64337360058693</v>
      </c>
      <c r="D6541" s="45"/>
    </row>
    <row r="6542" spans="2:4" ht="16" thickBot="1" x14ac:dyDescent="0.25">
      <c r="B6542" s="4">
        <v>6537</v>
      </c>
      <c r="C6542" s="4">
        <v>266.8213133021618</v>
      </c>
      <c r="D6542" s="45"/>
    </row>
    <row r="6543" spans="2:4" ht="16" thickBot="1" x14ac:dyDescent="0.25">
      <c r="B6543" s="5">
        <v>6538</v>
      </c>
      <c r="C6543" s="5">
        <v>157.9257400208042</v>
      </c>
      <c r="D6543" s="45"/>
    </row>
    <row r="6544" spans="2:4" ht="16" thickBot="1" x14ac:dyDescent="0.25">
      <c r="B6544" s="4">
        <v>6539</v>
      </c>
      <c r="C6544" s="4">
        <v>109.13892376719264</v>
      </c>
      <c r="D6544" s="45"/>
    </row>
    <row r="6545" spans="2:4" ht="16" thickBot="1" x14ac:dyDescent="0.25">
      <c r="B6545" s="5">
        <v>6540</v>
      </c>
      <c r="C6545" s="5">
        <v>82.207121967340868</v>
      </c>
      <c r="D6545" s="45"/>
    </row>
    <row r="6546" spans="2:4" ht="16" thickBot="1" x14ac:dyDescent="0.25">
      <c r="B6546" s="4">
        <v>6541</v>
      </c>
      <c r="C6546" s="4">
        <v>84.622038018073482</v>
      </c>
      <c r="D6546" s="45"/>
    </row>
    <row r="6547" spans="2:4" ht="16" thickBot="1" x14ac:dyDescent="0.25">
      <c r="B6547" s="5">
        <v>6542</v>
      </c>
      <c r="C6547" s="5">
        <v>96.220938981730413</v>
      </c>
      <c r="D6547" s="45"/>
    </row>
    <row r="6548" spans="2:4" ht="16" thickBot="1" x14ac:dyDescent="0.25">
      <c r="B6548" s="4">
        <v>6543</v>
      </c>
      <c r="C6548" s="4">
        <v>180.89135906838197</v>
      </c>
      <c r="D6548" s="45"/>
    </row>
    <row r="6549" spans="2:4" ht="16" thickBot="1" x14ac:dyDescent="0.25">
      <c r="B6549" s="5">
        <v>6544</v>
      </c>
      <c r="C6549" s="5">
        <v>319.88257665770323</v>
      </c>
      <c r="D6549" s="45"/>
    </row>
    <row r="6550" spans="2:4" ht="16" thickBot="1" x14ac:dyDescent="0.25">
      <c r="B6550" s="4">
        <v>6545</v>
      </c>
      <c r="C6550" s="4">
        <v>259.45216587547196</v>
      </c>
      <c r="D6550" s="45"/>
    </row>
    <row r="6551" spans="2:4" ht="16" thickBot="1" x14ac:dyDescent="0.25">
      <c r="B6551" s="5">
        <v>6546</v>
      </c>
      <c r="C6551" s="5">
        <v>75.989335973059767</v>
      </c>
      <c r="D6551" s="45"/>
    </row>
    <row r="6552" spans="2:4" ht="16" thickBot="1" x14ac:dyDescent="0.25">
      <c r="B6552" s="4">
        <v>6547</v>
      </c>
      <c r="C6552" s="4">
        <v>196.06598462422554</v>
      </c>
      <c r="D6552" s="45"/>
    </row>
    <row r="6553" spans="2:4" ht="16" thickBot="1" x14ac:dyDescent="0.25">
      <c r="B6553" s="5">
        <v>6548</v>
      </c>
      <c r="C6553" s="5">
        <v>106.36607620730774</v>
      </c>
      <c r="D6553" s="45"/>
    </row>
    <row r="6554" spans="2:4" ht="16" thickBot="1" x14ac:dyDescent="0.25">
      <c r="B6554" s="4">
        <v>6549</v>
      </c>
      <c r="C6554" s="4">
        <v>92.208194332826039</v>
      </c>
      <c r="D6554" s="45"/>
    </row>
    <row r="6555" spans="2:4" ht="16" thickBot="1" x14ac:dyDescent="0.25">
      <c r="B6555" s="5">
        <v>6550</v>
      </c>
      <c r="C6555" s="5">
        <v>58.725925030648852</v>
      </c>
      <c r="D6555" s="45"/>
    </row>
    <row r="6556" spans="2:4" ht="16" thickBot="1" x14ac:dyDescent="0.25">
      <c r="B6556" s="4">
        <v>6551</v>
      </c>
      <c r="C6556" s="4">
        <v>209.0046813406766</v>
      </c>
      <c r="D6556" s="45"/>
    </row>
    <row r="6557" spans="2:4" ht="16" thickBot="1" x14ac:dyDescent="0.25">
      <c r="B6557" s="5">
        <v>6552</v>
      </c>
      <c r="C6557" s="5">
        <v>127.3200477437866</v>
      </c>
      <c r="D6557" s="45"/>
    </row>
    <row r="6558" spans="2:4" ht="16" thickBot="1" x14ac:dyDescent="0.25">
      <c r="B6558" s="4">
        <v>6553</v>
      </c>
      <c r="C6558" s="4">
        <v>118.60131863879528</v>
      </c>
      <c r="D6558" s="45"/>
    </row>
    <row r="6559" spans="2:4" ht="16" thickBot="1" x14ac:dyDescent="0.25">
      <c r="B6559" s="5">
        <v>6554</v>
      </c>
      <c r="C6559" s="5">
        <v>94.958458477006985</v>
      </c>
      <c r="D6559" s="45"/>
    </row>
    <row r="6560" spans="2:4" ht="16" thickBot="1" x14ac:dyDescent="0.25">
      <c r="B6560" s="4">
        <v>6555</v>
      </c>
      <c r="C6560" s="4">
        <v>77.632932006099779</v>
      </c>
      <c r="D6560" s="45"/>
    </row>
    <row r="6561" spans="2:4" ht="16" thickBot="1" x14ac:dyDescent="0.25">
      <c r="B6561" s="5">
        <v>6556</v>
      </c>
      <c r="C6561" s="5">
        <v>68.104219138377275</v>
      </c>
      <c r="D6561" s="45"/>
    </row>
    <row r="6562" spans="2:4" ht="16" thickBot="1" x14ac:dyDescent="0.25">
      <c r="B6562" s="4">
        <v>6557</v>
      </c>
      <c r="C6562" s="4">
        <v>145.25160935143728</v>
      </c>
      <c r="D6562" s="45"/>
    </row>
    <row r="6563" spans="2:4" ht="16" thickBot="1" x14ac:dyDescent="0.25">
      <c r="B6563" s="5">
        <v>6558</v>
      </c>
      <c r="C6563" s="5">
        <v>115.67769764276059</v>
      </c>
      <c r="D6563" s="45"/>
    </row>
    <row r="6564" spans="2:4" ht="16" thickBot="1" x14ac:dyDescent="0.25">
      <c r="B6564" s="4">
        <v>6559</v>
      </c>
      <c r="C6564" s="4">
        <v>334.78436367728801</v>
      </c>
      <c r="D6564" s="45"/>
    </row>
    <row r="6565" spans="2:4" ht="16" thickBot="1" x14ac:dyDescent="0.25">
      <c r="B6565" s="5">
        <v>6560</v>
      </c>
      <c r="C6565" s="5">
        <v>59.197393788521303</v>
      </c>
      <c r="D6565" s="45"/>
    </row>
    <row r="6566" spans="2:4" ht="16" thickBot="1" x14ac:dyDescent="0.25">
      <c r="B6566" s="4">
        <v>6561</v>
      </c>
      <c r="C6566" s="4">
        <v>261.04067463188073</v>
      </c>
      <c r="D6566" s="45"/>
    </row>
    <row r="6567" spans="2:4" ht="16" thickBot="1" x14ac:dyDescent="0.25">
      <c r="B6567" s="5">
        <v>6562</v>
      </c>
      <c r="C6567" s="5">
        <v>251.75998299514737</v>
      </c>
      <c r="D6567" s="45"/>
    </row>
    <row r="6568" spans="2:4" ht="16" thickBot="1" x14ac:dyDescent="0.25">
      <c r="B6568" s="4">
        <v>6563</v>
      </c>
      <c r="C6568" s="4">
        <v>121.56575326735332</v>
      </c>
      <c r="D6568" s="45"/>
    </row>
    <row r="6569" spans="2:4" ht="16" thickBot="1" x14ac:dyDescent="0.25">
      <c r="B6569" s="5">
        <v>6564</v>
      </c>
      <c r="C6569" s="5">
        <v>226.20279491171391</v>
      </c>
      <c r="D6569" s="45"/>
    </row>
    <row r="6570" spans="2:4" ht="16" thickBot="1" x14ac:dyDescent="0.25">
      <c r="B6570" s="4">
        <v>6565</v>
      </c>
      <c r="C6570" s="4">
        <v>124.83384282485879</v>
      </c>
      <c r="D6570" s="45"/>
    </row>
    <row r="6571" spans="2:4" ht="16" thickBot="1" x14ac:dyDescent="0.25">
      <c r="B6571" s="5">
        <v>6566</v>
      </c>
      <c r="C6571" s="5">
        <v>184.13986032961375</v>
      </c>
      <c r="D6571" s="45"/>
    </row>
    <row r="6572" spans="2:4" ht="16" thickBot="1" x14ac:dyDescent="0.25">
      <c r="B6572" s="4">
        <v>6567</v>
      </c>
      <c r="C6572" s="4">
        <v>152.95906598847333</v>
      </c>
      <c r="D6572" s="45"/>
    </row>
    <row r="6573" spans="2:4" ht="16" thickBot="1" x14ac:dyDescent="0.25">
      <c r="B6573" s="5">
        <v>6568</v>
      </c>
      <c r="C6573" s="5">
        <v>122.39645619033431</v>
      </c>
      <c r="D6573" s="45"/>
    </row>
    <row r="6574" spans="2:4" ht="16" thickBot="1" x14ac:dyDescent="0.25">
      <c r="B6574" s="4">
        <v>6569</v>
      </c>
      <c r="C6574" s="4">
        <v>212.90916019306957</v>
      </c>
      <c r="D6574" s="45"/>
    </row>
    <row r="6575" spans="2:4" ht="16" thickBot="1" x14ac:dyDescent="0.25">
      <c r="B6575" s="5">
        <v>6570</v>
      </c>
      <c r="C6575" s="5">
        <v>183.87835654581912</v>
      </c>
      <c r="D6575" s="45"/>
    </row>
    <row r="6576" spans="2:4" ht="16" thickBot="1" x14ac:dyDescent="0.25">
      <c r="B6576" s="4">
        <v>6571</v>
      </c>
      <c r="C6576" s="4">
        <v>181.30001612723728</v>
      </c>
      <c r="D6576" s="45"/>
    </row>
    <row r="6577" spans="2:4" ht="16" thickBot="1" x14ac:dyDescent="0.25">
      <c r="B6577" s="5">
        <v>6572</v>
      </c>
      <c r="C6577" s="5">
        <v>154.19864525874075</v>
      </c>
      <c r="D6577" s="45"/>
    </row>
    <row r="6578" spans="2:4" ht="16" thickBot="1" x14ac:dyDescent="0.25">
      <c r="B6578" s="4">
        <v>6573</v>
      </c>
      <c r="C6578" s="4">
        <v>91.834093447902035</v>
      </c>
      <c r="D6578" s="45"/>
    </row>
    <row r="6579" spans="2:4" ht="16" thickBot="1" x14ac:dyDescent="0.25">
      <c r="B6579" s="5">
        <v>6574</v>
      </c>
      <c r="C6579" s="5">
        <v>82.579893192161663</v>
      </c>
      <c r="D6579" s="45"/>
    </row>
    <row r="6580" spans="2:4" ht="16" thickBot="1" x14ac:dyDescent="0.25">
      <c r="B6580" s="4">
        <v>6575</v>
      </c>
      <c r="C6580" s="4">
        <v>106.89317241054427</v>
      </c>
      <c r="D6580" s="45"/>
    </row>
    <row r="6581" spans="2:4" ht="16" thickBot="1" x14ac:dyDescent="0.25">
      <c r="B6581" s="5">
        <v>6576</v>
      </c>
      <c r="C6581" s="5">
        <v>189.06663542837302</v>
      </c>
      <c r="D6581" s="45"/>
    </row>
    <row r="6582" spans="2:4" ht="16" thickBot="1" x14ac:dyDescent="0.25">
      <c r="B6582" s="4">
        <v>6577</v>
      </c>
      <c r="C6582" s="4">
        <v>106.9522103681978</v>
      </c>
      <c r="D6582" s="45"/>
    </row>
    <row r="6583" spans="2:4" ht="16" thickBot="1" x14ac:dyDescent="0.25">
      <c r="B6583" s="5">
        <v>6578</v>
      </c>
      <c r="C6583" s="5">
        <v>125.21345330327675</v>
      </c>
      <c r="D6583" s="45"/>
    </row>
    <row r="6584" spans="2:4" ht="16" thickBot="1" x14ac:dyDescent="0.25">
      <c r="B6584" s="4">
        <v>6579</v>
      </c>
      <c r="C6584" s="4">
        <v>232.18122689649402</v>
      </c>
      <c r="D6584" s="45"/>
    </row>
    <row r="6585" spans="2:4" ht="16" thickBot="1" x14ac:dyDescent="0.25">
      <c r="B6585" s="5">
        <v>6580</v>
      </c>
      <c r="C6585" s="5">
        <v>204.39818535163602</v>
      </c>
      <c r="D6585" s="45"/>
    </row>
    <row r="6586" spans="2:4" ht="16" thickBot="1" x14ac:dyDescent="0.25">
      <c r="B6586" s="4">
        <v>6581</v>
      </c>
      <c r="C6586" s="4">
        <v>107.01763399430223</v>
      </c>
      <c r="D6586" s="45"/>
    </row>
    <row r="6587" spans="2:4" ht="16" thickBot="1" x14ac:dyDescent="0.25">
      <c r="B6587" s="5">
        <v>6582</v>
      </c>
      <c r="C6587" s="5">
        <v>296.87655047450784</v>
      </c>
      <c r="D6587" s="45"/>
    </row>
    <row r="6588" spans="2:4" ht="16" thickBot="1" x14ac:dyDescent="0.25">
      <c r="B6588" s="4">
        <v>6583</v>
      </c>
      <c r="C6588" s="4">
        <v>92.841872543527714</v>
      </c>
      <c r="D6588" s="45"/>
    </row>
    <row r="6589" spans="2:4" ht="16" thickBot="1" x14ac:dyDescent="0.25">
      <c r="B6589" s="5">
        <v>6584</v>
      </c>
      <c r="C6589" s="5">
        <v>423.01432634905365</v>
      </c>
      <c r="D6589" s="45"/>
    </row>
    <row r="6590" spans="2:4" ht="16" thickBot="1" x14ac:dyDescent="0.25">
      <c r="B6590" s="4">
        <v>6585</v>
      </c>
      <c r="C6590" s="4">
        <v>202.71659851202693</v>
      </c>
      <c r="D6590" s="45"/>
    </row>
    <row r="6591" spans="2:4" ht="16" thickBot="1" x14ac:dyDescent="0.25">
      <c r="B6591" s="5">
        <v>6586</v>
      </c>
      <c r="C6591" s="5">
        <v>75.393126956341803</v>
      </c>
      <c r="D6591" s="45"/>
    </row>
    <row r="6592" spans="2:4" ht="16" thickBot="1" x14ac:dyDescent="0.25">
      <c r="B6592" s="4">
        <v>6587</v>
      </c>
      <c r="C6592" s="4">
        <v>242.2472326210748</v>
      </c>
      <c r="D6592" s="45"/>
    </row>
    <row r="6593" spans="2:4" ht="16" thickBot="1" x14ac:dyDescent="0.25">
      <c r="B6593" s="5">
        <v>6588</v>
      </c>
      <c r="C6593" s="5">
        <v>92.161856919163569</v>
      </c>
      <c r="D6593" s="45"/>
    </row>
    <row r="6594" spans="2:4" ht="16" thickBot="1" x14ac:dyDescent="0.25">
      <c r="B6594" s="4">
        <v>6589</v>
      </c>
      <c r="C6594" s="4">
        <v>92.690388726629493</v>
      </c>
      <c r="D6594" s="45"/>
    </row>
    <row r="6595" spans="2:4" ht="16" thickBot="1" x14ac:dyDescent="0.25">
      <c r="B6595" s="5">
        <v>6590</v>
      </c>
      <c r="C6595" s="5">
        <v>108.7042905518083</v>
      </c>
      <c r="D6595" s="45"/>
    </row>
    <row r="6596" spans="2:4" ht="16" thickBot="1" x14ac:dyDescent="0.25">
      <c r="B6596" s="4">
        <v>6591</v>
      </c>
      <c r="C6596" s="4">
        <v>232.80943146179888</v>
      </c>
      <c r="D6596" s="45"/>
    </row>
    <row r="6597" spans="2:4" ht="16" thickBot="1" x14ac:dyDescent="0.25">
      <c r="B6597" s="5">
        <v>6592</v>
      </c>
      <c r="C6597" s="5">
        <v>231.72697523644567</v>
      </c>
      <c r="D6597" s="45"/>
    </row>
    <row r="6598" spans="2:4" ht="16" thickBot="1" x14ac:dyDescent="0.25">
      <c r="B6598" s="4">
        <v>6593</v>
      </c>
      <c r="C6598" s="4">
        <v>228.70276528515441</v>
      </c>
      <c r="D6598" s="45"/>
    </row>
    <row r="6599" spans="2:4" ht="16" thickBot="1" x14ac:dyDescent="0.25">
      <c r="B6599" s="5">
        <v>6594</v>
      </c>
      <c r="C6599" s="5">
        <v>157.80981006050573</v>
      </c>
      <c r="D6599" s="45"/>
    </row>
    <row r="6600" spans="2:4" ht="16" thickBot="1" x14ac:dyDescent="0.25">
      <c r="B6600" s="4">
        <v>6595</v>
      </c>
      <c r="C6600" s="4">
        <v>69.305771076365048</v>
      </c>
      <c r="D6600" s="45"/>
    </row>
    <row r="6601" spans="2:4" ht="16" thickBot="1" x14ac:dyDescent="0.25">
      <c r="B6601" s="5">
        <v>6596</v>
      </c>
      <c r="C6601" s="5">
        <v>224.9352055117821</v>
      </c>
      <c r="D6601" s="45"/>
    </row>
    <row r="6602" spans="2:4" ht="16" thickBot="1" x14ac:dyDescent="0.25">
      <c r="B6602" s="4">
        <v>6597</v>
      </c>
      <c r="C6602" s="4">
        <v>125.80804750972445</v>
      </c>
      <c r="D6602" s="45"/>
    </row>
    <row r="6603" spans="2:4" ht="16" thickBot="1" x14ac:dyDescent="0.25">
      <c r="B6603" s="5">
        <v>6598</v>
      </c>
      <c r="C6603" s="5">
        <v>105.82689009575371</v>
      </c>
      <c r="D6603" s="45"/>
    </row>
    <row r="6604" spans="2:4" ht="16" thickBot="1" x14ac:dyDescent="0.25">
      <c r="B6604" s="4">
        <v>6599</v>
      </c>
      <c r="C6604" s="4">
        <v>77.636351309349507</v>
      </c>
      <c r="D6604" s="45"/>
    </row>
    <row r="6605" spans="2:4" ht="16" thickBot="1" x14ac:dyDescent="0.25">
      <c r="B6605" s="5">
        <v>6600</v>
      </c>
      <c r="C6605" s="5">
        <v>174.93000806520504</v>
      </c>
      <c r="D6605" s="45"/>
    </row>
    <row r="6606" spans="2:4" ht="16" thickBot="1" x14ac:dyDescent="0.25">
      <c r="B6606" s="4">
        <v>6601</v>
      </c>
      <c r="C6606" s="4">
        <v>108.5511559132987</v>
      </c>
      <c r="D6606" s="45"/>
    </row>
    <row r="6607" spans="2:4" ht="16" thickBot="1" x14ac:dyDescent="0.25">
      <c r="B6607" s="5">
        <v>6602</v>
      </c>
      <c r="C6607" s="5">
        <v>254.31885511019863</v>
      </c>
      <c r="D6607" s="45"/>
    </row>
    <row r="6608" spans="2:4" ht="16" thickBot="1" x14ac:dyDescent="0.25">
      <c r="B6608" s="4">
        <v>6603</v>
      </c>
      <c r="C6608" s="4">
        <v>233.41402590593822</v>
      </c>
      <c r="D6608" s="45"/>
    </row>
    <row r="6609" spans="2:4" ht="16" thickBot="1" x14ac:dyDescent="0.25">
      <c r="B6609" s="5">
        <v>6604</v>
      </c>
      <c r="C6609" s="5">
        <v>153.08316893225495</v>
      </c>
      <c r="D6609" s="45"/>
    </row>
    <row r="6610" spans="2:4" ht="16" thickBot="1" x14ac:dyDescent="0.25">
      <c r="B6610" s="4">
        <v>6605</v>
      </c>
      <c r="C6610" s="4">
        <v>64.05893295503769</v>
      </c>
      <c r="D6610" s="45"/>
    </row>
    <row r="6611" spans="2:4" ht="16" thickBot="1" x14ac:dyDescent="0.25">
      <c r="B6611" s="5">
        <v>6606</v>
      </c>
      <c r="C6611" s="5">
        <v>145.43590967799778</v>
      </c>
      <c r="D6611" s="45"/>
    </row>
    <row r="6612" spans="2:4" ht="16" thickBot="1" x14ac:dyDescent="0.25">
      <c r="B6612" s="4">
        <v>6607</v>
      </c>
      <c r="C6612" s="4">
        <v>175.11310947306004</v>
      </c>
      <c r="D6612" s="45"/>
    </row>
    <row r="6613" spans="2:4" ht="16" thickBot="1" x14ac:dyDescent="0.25">
      <c r="B6613" s="5">
        <v>6608</v>
      </c>
      <c r="C6613" s="5">
        <v>208.74846863003762</v>
      </c>
      <c r="D6613" s="45"/>
    </row>
    <row r="6614" spans="2:4" ht="16" thickBot="1" x14ac:dyDescent="0.25">
      <c r="B6614" s="4">
        <v>6609</v>
      </c>
      <c r="C6614" s="4">
        <v>175.14283126097382</v>
      </c>
      <c r="D6614" s="45"/>
    </row>
    <row r="6615" spans="2:4" ht="16" thickBot="1" x14ac:dyDescent="0.25">
      <c r="B6615" s="5">
        <v>6610</v>
      </c>
      <c r="C6615" s="5">
        <v>128.05977986525235</v>
      </c>
      <c r="D6615" s="45"/>
    </row>
    <row r="6616" spans="2:4" ht="16" thickBot="1" x14ac:dyDescent="0.25">
      <c r="B6616" s="4">
        <v>6611</v>
      </c>
      <c r="C6616" s="4">
        <v>308.9234403881859</v>
      </c>
      <c r="D6616" s="45"/>
    </row>
    <row r="6617" spans="2:4" ht="16" thickBot="1" x14ac:dyDescent="0.25">
      <c r="B6617" s="5">
        <v>6612</v>
      </c>
      <c r="C6617" s="5">
        <v>126.50525991581411</v>
      </c>
      <c r="D6617" s="45"/>
    </row>
    <row r="6618" spans="2:4" ht="16" thickBot="1" x14ac:dyDescent="0.25">
      <c r="B6618" s="4">
        <v>6613</v>
      </c>
      <c r="C6618" s="4">
        <v>71.30884921426923</v>
      </c>
      <c r="D6618" s="45"/>
    </row>
    <row r="6619" spans="2:4" ht="16" thickBot="1" x14ac:dyDescent="0.25">
      <c r="B6619" s="5">
        <v>6614</v>
      </c>
      <c r="C6619" s="5">
        <v>128.0014212882819</v>
      </c>
      <c r="D6619" s="45"/>
    </row>
    <row r="6620" spans="2:4" ht="16" thickBot="1" x14ac:dyDescent="0.25">
      <c r="B6620" s="4">
        <v>6615</v>
      </c>
      <c r="C6620" s="4">
        <v>178.72881452195566</v>
      </c>
      <c r="D6620" s="45"/>
    </row>
    <row r="6621" spans="2:4" ht="16" thickBot="1" x14ac:dyDescent="0.25">
      <c r="B6621" s="5">
        <v>6616</v>
      </c>
      <c r="C6621" s="5">
        <v>296.05691383970156</v>
      </c>
      <c r="D6621" s="45"/>
    </row>
    <row r="6622" spans="2:4" ht="16" thickBot="1" x14ac:dyDescent="0.25">
      <c r="B6622" s="4">
        <v>6617</v>
      </c>
      <c r="C6622" s="4">
        <v>100.6209442846399</v>
      </c>
      <c r="D6622" s="45"/>
    </row>
    <row r="6623" spans="2:4" ht="16" thickBot="1" x14ac:dyDescent="0.25">
      <c r="B6623" s="5">
        <v>6618</v>
      </c>
      <c r="C6623" s="5">
        <v>79.963622895753574</v>
      </c>
      <c r="D6623" s="45"/>
    </row>
    <row r="6624" spans="2:4" ht="16" thickBot="1" x14ac:dyDescent="0.25">
      <c r="B6624" s="4">
        <v>6619</v>
      </c>
      <c r="C6624" s="4">
        <v>223.58748267715063</v>
      </c>
      <c r="D6624" s="45"/>
    </row>
    <row r="6625" spans="2:4" ht="16" thickBot="1" x14ac:dyDescent="0.25">
      <c r="B6625" s="5">
        <v>6620</v>
      </c>
      <c r="C6625" s="5">
        <v>177.01478436321696</v>
      </c>
      <c r="D6625" s="45"/>
    </row>
    <row r="6626" spans="2:4" ht="16" thickBot="1" x14ac:dyDescent="0.25">
      <c r="B6626" s="4">
        <v>6621</v>
      </c>
      <c r="C6626" s="4">
        <v>226.20974070478857</v>
      </c>
      <c r="D6626" s="45"/>
    </row>
    <row r="6627" spans="2:4" ht="16" thickBot="1" x14ac:dyDescent="0.25">
      <c r="B6627" s="5">
        <v>6622</v>
      </c>
      <c r="C6627" s="5">
        <v>93.691975143909417</v>
      </c>
      <c r="D6627" s="45"/>
    </row>
    <row r="6628" spans="2:4" ht="16" thickBot="1" x14ac:dyDescent="0.25">
      <c r="B6628" s="4">
        <v>6623</v>
      </c>
      <c r="C6628" s="4">
        <v>118.2265014644461</v>
      </c>
      <c r="D6628" s="45"/>
    </row>
    <row r="6629" spans="2:4" ht="16" thickBot="1" x14ac:dyDescent="0.25">
      <c r="B6629" s="5">
        <v>6624</v>
      </c>
      <c r="C6629" s="5">
        <v>84.0791118894725</v>
      </c>
      <c r="D6629" s="45"/>
    </row>
    <row r="6630" spans="2:4" ht="16" thickBot="1" x14ac:dyDescent="0.25">
      <c r="B6630" s="4">
        <v>6625</v>
      </c>
      <c r="C6630" s="4">
        <v>130.16005591478063</v>
      </c>
      <c r="D6630" s="45"/>
    </row>
    <row r="6631" spans="2:4" ht="16" thickBot="1" x14ac:dyDescent="0.25">
      <c r="B6631" s="5">
        <v>6626</v>
      </c>
      <c r="C6631" s="5">
        <v>173.07186698157068</v>
      </c>
      <c r="D6631" s="45"/>
    </row>
    <row r="6632" spans="2:4" ht="16" thickBot="1" x14ac:dyDescent="0.25">
      <c r="B6632" s="4">
        <v>6627</v>
      </c>
      <c r="C6632" s="4">
        <v>72.274767605386103</v>
      </c>
      <c r="D6632" s="45"/>
    </row>
    <row r="6633" spans="2:4" ht="16" thickBot="1" x14ac:dyDescent="0.25">
      <c r="B6633" s="5">
        <v>6628</v>
      </c>
      <c r="C6633" s="5">
        <v>325.13416971671649</v>
      </c>
      <c r="D6633" s="45"/>
    </row>
    <row r="6634" spans="2:4" ht="16" thickBot="1" x14ac:dyDescent="0.25">
      <c r="B6634" s="4">
        <v>6629</v>
      </c>
      <c r="C6634" s="4">
        <v>162.62308455696737</v>
      </c>
      <c r="D6634" s="45"/>
    </row>
    <row r="6635" spans="2:4" ht="16" thickBot="1" x14ac:dyDescent="0.25">
      <c r="B6635" s="5">
        <v>6630</v>
      </c>
      <c r="C6635" s="5">
        <v>92.097883547479356</v>
      </c>
      <c r="D6635" s="45"/>
    </row>
    <row r="6636" spans="2:4" ht="16" thickBot="1" x14ac:dyDescent="0.25">
      <c r="B6636" s="4">
        <v>6631</v>
      </c>
      <c r="C6636" s="4">
        <v>250.66612198881441</v>
      </c>
      <c r="D6636" s="45"/>
    </row>
    <row r="6637" spans="2:4" ht="16" thickBot="1" x14ac:dyDescent="0.25">
      <c r="B6637" s="5">
        <v>6632</v>
      </c>
      <c r="C6637" s="5">
        <v>402.74028043918543</v>
      </c>
      <c r="D6637" s="45"/>
    </row>
    <row r="6638" spans="2:4" ht="16" thickBot="1" x14ac:dyDescent="0.25">
      <c r="B6638" s="4">
        <v>6633</v>
      </c>
      <c r="C6638" s="4">
        <v>84.201547757036508</v>
      </c>
      <c r="D6638" s="45"/>
    </row>
    <row r="6639" spans="2:4" ht="16" thickBot="1" x14ac:dyDescent="0.25">
      <c r="B6639" s="5">
        <v>6634</v>
      </c>
      <c r="C6639" s="5">
        <v>172.31775070050949</v>
      </c>
      <c r="D6639" s="45"/>
    </row>
    <row r="6640" spans="2:4" ht="16" thickBot="1" x14ac:dyDescent="0.25">
      <c r="B6640" s="4">
        <v>6635</v>
      </c>
      <c r="C6640" s="4">
        <v>515.35732499507048</v>
      </c>
      <c r="D6640" s="45"/>
    </row>
    <row r="6641" spans="2:4" ht="16" thickBot="1" x14ac:dyDescent="0.25">
      <c r="B6641" s="5">
        <v>6636</v>
      </c>
      <c r="C6641" s="5">
        <v>105.39224472009342</v>
      </c>
      <c r="D6641" s="45"/>
    </row>
    <row r="6642" spans="2:4" ht="16" thickBot="1" x14ac:dyDescent="0.25">
      <c r="B6642" s="4">
        <v>6637</v>
      </c>
      <c r="C6642" s="4">
        <v>107.15482312140657</v>
      </c>
      <c r="D6642" s="45"/>
    </row>
    <row r="6643" spans="2:4" ht="16" thickBot="1" x14ac:dyDescent="0.25">
      <c r="B6643" s="5">
        <v>6638</v>
      </c>
      <c r="C6643" s="5">
        <v>124.37120693232185</v>
      </c>
      <c r="D6643" s="45"/>
    </row>
    <row r="6644" spans="2:4" ht="16" thickBot="1" x14ac:dyDescent="0.25">
      <c r="B6644" s="4">
        <v>6639</v>
      </c>
      <c r="C6644" s="4">
        <v>274.93047733919462</v>
      </c>
      <c r="D6644" s="45"/>
    </row>
    <row r="6645" spans="2:4" ht="16" thickBot="1" x14ac:dyDescent="0.25">
      <c r="B6645" s="5">
        <v>6640</v>
      </c>
      <c r="C6645" s="5">
        <v>230.9665626071143</v>
      </c>
      <c r="D6645" s="45"/>
    </row>
    <row r="6646" spans="2:4" ht="16" thickBot="1" x14ac:dyDescent="0.25">
      <c r="B6646" s="4">
        <v>6641</v>
      </c>
      <c r="C6646" s="4">
        <v>225.531979116842</v>
      </c>
      <c r="D6646" s="45"/>
    </row>
    <row r="6647" spans="2:4" ht="16" thickBot="1" x14ac:dyDescent="0.25">
      <c r="B6647" s="5">
        <v>6642</v>
      </c>
      <c r="C6647" s="5">
        <v>124.02814629268637</v>
      </c>
      <c r="D6647" s="45"/>
    </row>
    <row r="6648" spans="2:4" ht="16" thickBot="1" x14ac:dyDescent="0.25">
      <c r="B6648" s="4">
        <v>6643</v>
      </c>
      <c r="C6648" s="4">
        <v>88.478948544585492</v>
      </c>
      <c r="D6648" s="45"/>
    </row>
    <row r="6649" spans="2:4" ht="16" thickBot="1" x14ac:dyDescent="0.25">
      <c r="B6649" s="5">
        <v>6644</v>
      </c>
      <c r="C6649" s="5">
        <v>111.97411897957507</v>
      </c>
      <c r="D6649" s="45"/>
    </row>
    <row r="6650" spans="2:4" ht="16" thickBot="1" x14ac:dyDescent="0.25">
      <c r="B6650" s="4">
        <v>6645</v>
      </c>
      <c r="C6650" s="4">
        <v>36.451066622202184</v>
      </c>
      <c r="D6650" s="45"/>
    </row>
    <row r="6651" spans="2:4" ht="16" thickBot="1" x14ac:dyDescent="0.25">
      <c r="B6651" s="5">
        <v>6646</v>
      </c>
      <c r="C6651" s="5">
        <v>63.863585161063455</v>
      </c>
      <c r="D6651" s="45"/>
    </row>
    <row r="6652" spans="2:4" ht="16" thickBot="1" x14ac:dyDescent="0.25">
      <c r="B6652" s="4">
        <v>6647</v>
      </c>
      <c r="C6652" s="4">
        <v>61.187511627670752</v>
      </c>
      <c r="D6652" s="45"/>
    </row>
    <row r="6653" spans="2:4" ht="16" thickBot="1" x14ac:dyDescent="0.25">
      <c r="B6653" s="5">
        <v>6648</v>
      </c>
      <c r="C6653" s="5">
        <v>343.85534860143451</v>
      </c>
      <c r="D6653" s="45"/>
    </row>
    <row r="6654" spans="2:4" ht="16" thickBot="1" x14ac:dyDescent="0.25">
      <c r="B6654" s="4">
        <v>6649</v>
      </c>
      <c r="C6654" s="4">
        <v>74.404754367383703</v>
      </c>
      <c r="D6654" s="45"/>
    </row>
    <row r="6655" spans="2:4" ht="16" thickBot="1" x14ac:dyDescent="0.25">
      <c r="B6655" s="5">
        <v>6650</v>
      </c>
      <c r="C6655" s="5">
        <v>175.83991681230398</v>
      </c>
      <c r="D6655" s="45"/>
    </row>
    <row r="6656" spans="2:4" ht="16" thickBot="1" x14ac:dyDescent="0.25">
      <c r="B6656" s="4">
        <v>6651</v>
      </c>
      <c r="C6656" s="4">
        <v>115.40692561657258</v>
      </c>
      <c r="D6656" s="45"/>
    </row>
    <row r="6657" spans="2:4" ht="16" thickBot="1" x14ac:dyDescent="0.25">
      <c r="B6657" s="5">
        <v>6652</v>
      </c>
      <c r="C6657" s="5">
        <v>428.80497366818514</v>
      </c>
      <c r="D6657" s="45"/>
    </row>
    <row r="6658" spans="2:4" ht="16" thickBot="1" x14ac:dyDescent="0.25">
      <c r="B6658" s="4">
        <v>6653</v>
      </c>
      <c r="C6658" s="4">
        <v>92.495024478854731</v>
      </c>
      <c r="D6658" s="45"/>
    </row>
    <row r="6659" spans="2:4" ht="16" thickBot="1" x14ac:dyDescent="0.25">
      <c r="B6659" s="5">
        <v>6654</v>
      </c>
      <c r="C6659" s="5">
        <v>196.20134950044127</v>
      </c>
      <c r="D6659" s="45"/>
    </row>
    <row r="6660" spans="2:4" ht="16" thickBot="1" x14ac:dyDescent="0.25">
      <c r="B6660" s="4">
        <v>6655</v>
      </c>
      <c r="C6660" s="4">
        <v>215.83389288115558</v>
      </c>
      <c r="D6660" s="45"/>
    </row>
    <row r="6661" spans="2:4" ht="16" thickBot="1" x14ac:dyDescent="0.25">
      <c r="B6661" s="5">
        <v>6656</v>
      </c>
      <c r="C6661" s="5">
        <v>205.33478764144456</v>
      </c>
      <c r="D6661" s="45"/>
    </row>
    <row r="6662" spans="2:4" ht="16" thickBot="1" x14ac:dyDescent="0.25">
      <c r="B6662" s="4">
        <v>6657</v>
      </c>
      <c r="C6662" s="4">
        <v>470.30206180680142</v>
      </c>
      <c r="D6662" s="45"/>
    </row>
    <row r="6663" spans="2:4" ht="16" thickBot="1" x14ac:dyDescent="0.25">
      <c r="B6663" s="5">
        <v>6658</v>
      </c>
      <c r="C6663" s="5">
        <v>467.70485784471532</v>
      </c>
      <c r="D6663" s="45"/>
    </row>
    <row r="6664" spans="2:4" ht="16" thickBot="1" x14ac:dyDescent="0.25">
      <c r="B6664" s="4">
        <v>6659</v>
      </c>
      <c r="C6664" s="4">
        <v>101.98608042293819</v>
      </c>
      <c r="D6664" s="45"/>
    </row>
    <row r="6665" spans="2:4" ht="16" thickBot="1" x14ac:dyDescent="0.25">
      <c r="B6665" s="5">
        <v>6660</v>
      </c>
      <c r="C6665" s="5">
        <v>124.25562485802425</v>
      </c>
      <c r="D6665" s="45"/>
    </row>
    <row r="6666" spans="2:4" ht="16" thickBot="1" x14ac:dyDescent="0.25">
      <c r="B6666" s="4">
        <v>6661</v>
      </c>
      <c r="C6666" s="4">
        <v>171.42881981564642</v>
      </c>
      <c r="D6666" s="45"/>
    </row>
    <row r="6667" spans="2:4" ht="16" thickBot="1" x14ac:dyDescent="0.25">
      <c r="B6667" s="5">
        <v>6662</v>
      </c>
      <c r="C6667" s="5">
        <v>100.2274482560877</v>
      </c>
      <c r="D6667" s="45"/>
    </row>
    <row r="6668" spans="2:4" ht="16" thickBot="1" x14ac:dyDescent="0.25">
      <c r="B6668" s="4">
        <v>6663</v>
      </c>
      <c r="C6668" s="4">
        <v>198.10891034072628</v>
      </c>
      <c r="D6668" s="45"/>
    </row>
    <row r="6669" spans="2:4" ht="16" thickBot="1" x14ac:dyDescent="0.25">
      <c r="B6669" s="5">
        <v>6664</v>
      </c>
      <c r="C6669" s="5">
        <v>131.54111526918055</v>
      </c>
      <c r="D6669" s="45"/>
    </row>
    <row r="6670" spans="2:4" ht="16" thickBot="1" x14ac:dyDescent="0.25">
      <c r="B6670" s="4">
        <v>6665</v>
      </c>
      <c r="C6670" s="4">
        <v>192.66963653644032</v>
      </c>
      <c r="D6670" s="45"/>
    </row>
    <row r="6671" spans="2:4" ht="16" thickBot="1" x14ac:dyDescent="0.25">
      <c r="B6671" s="5">
        <v>6666</v>
      </c>
      <c r="C6671" s="5">
        <v>117.16773933530258</v>
      </c>
      <c r="D6671" s="45"/>
    </row>
    <row r="6672" spans="2:4" ht="16" thickBot="1" x14ac:dyDescent="0.25">
      <c r="B6672" s="4">
        <v>6667</v>
      </c>
      <c r="C6672" s="4">
        <v>383.23741679359603</v>
      </c>
      <c r="D6672" s="45"/>
    </row>
    <row r="6673" spans="2:4" ht="16" thickBot="1" x14ac:dyDescent="0.25">
      <c r="B6673" s="5">
        <v>6668</v>
      </c>
      <c r="C6673" s="5">
        <v>205.52402674473547</v>
      </c>
      <c r="D6673" s="45"/>
    </row>
    <row r="6674" spans="2:4" ht="16" thickBot="1" x14ac:dyDescent="0.25">
      <c r="B6674" s="4">
        <v>6669</v>
      </c>
      <c r="C6674" s="4">
        <v>137.82844498303399</v>
      </c>
      <c r="D6674" s="45"/>
    </row>
    <row r="6675" spans="2:4" ht="16" thickBot="1" x14ac:dyDescent="0.25">
      <c r="B6675" s="5">
        <v>6670</v>
      </c>
      <c r="C6675" s="5">
        <v>166.99439155562294</v>
      </c>
      <c r="D6675" s="45"/>
    </row>
    <row r="6676" spans="2:4" ht="16" thickBot="1" x14ac:dyDescent="0.25">
      <c r="B6676" s="4">
        <v>6671</v>
      </c>
      <c r="C6676" s="4">
        <v>96.405664590381164</v>
      </c>
      <c r="D6676" s="45"/>
    </row>
    <row r="6677" spans="2:4" ht="16" thickBot="1" x14ac:dyDescent="0.25">
      <c r="B6677" s="5">
        <v>6672</v>
      </c>
      <c r="C6677" s="5">
        <v>127.74555653282668</v>
      </c>
      <c r="D6677" s="45"/>
    </row>
    <row r="6678" spans="2:4" ht="16" thickBot="1" x14ac:dyDescent="0.25">
      <c r="B6678" s="4">
        <v>6673</v>
      </c>
      <c r="C6678" s="4">
        <v>57.630629077742505</v>
      </c>
      <c r="D6678" s="45"/>
    </row>
    <row r="6679" spans="2:4" ht="16" thickBot="1" x14ac:dyDescent="0.25">
      <c r="B6679" s="5">
        <v>6674</v>
      </c>
      <c r="C6679" s="5">
        <v>156.36032876767214</v>
      </c>
      <c r="D6679" s="45"/>
    </row>
    <row r="6680" spans="2:4" ht="16" thickBot="1" x14ac:dyDescent="0.25">
      <c r="B6680" s="4">
        <v>6675</v>
      </c>
      <c r="C6680" s="4">
        <v>241.42630999902693</v>
      </c>
      <c r="D6680" s="45"/>
    </row>
    <row r="6681" spans="2:4" ht="16" thickBot="1" x14ac:dyDescent="0.25">
      <c r="B6681" s="5">
        <v>6676</v>
      </c>
      <c r="C6681" s="5">
        <v>89.055228752998957</v>
      </c>
      <c r="D6681" s="45"/>
    </row>
    <row r="6682" spans="2:4" ht="16" thickBot="1" x14ac:dyDescent="0.25">
      <c r="B6682" s="4">
        <v>6677</v>
      </c>
      <c r="C6682" s="4">
        <v>111.22771818061331</v>
      </c>
      <c r="D6682" s="45"/>
    </row>
    <row r="6683" spans="2:4" ht="16" thickBot="1" x14ac:dyDescent="0.25">
      <c r="B6683" s="5">
        <v>6678</v>
      </c>
      <c r="C6683" s="5">
        <v>137.41985463848985</v>
      </c>
      <c r="D6683" s="45"/>
    </row>
    <row r="6684" spans="2:4" ht="16" thickBot="1" x14ac:dyDescent="0.25">
      <c r="B6684" s="4">
        <v>6679</v>
      </c>
      <c r="C6684" s="4">
        <v>125.70319586194634</v>
      </c>
      <c r="D6684" s="45"/>
    </row>
    <row r="6685" spans="2:4" ht="16" thickBot="1" x14ac:dyDescent="0.25">
      <c r="B6685" s="5">
        <v>6680</v>
      </c>
      <c r="C6685" s="5">
        <v>158.64974385876025</v>
      </c>
      <c r="D6685" s="45"/>
    </row>
    <row r="6686" spans="2:4" ht="16" thickBot="1" x14ac:dyDescent="0.25">
      <c r="B6686" s="4">
        <v>6681</v>
      </c>
      <c r="C6686" s="4">
        <v>239.13366560310203</v>
      </c>
      <c r="D6686" s="45"/>
    </row>
    <row r="6687" spans="2:4" ht="16" thickBot="1" x14ac:dyDescent="0.25">
      <c r="B6687" s="5">
        <v>6682</v>
      </c>
      <c r="C6687" s="5">
        <v>424.96452883919949</v>
      </c>
      <c r="D6687" s="45"/>
    </row>
    <row r="6688" spans="2:4" ht="16" thickBot="1" x14ac:dyDescent="0.25">
      <c r="B6688" s="4">
        <v>6683</v>
      </c>
      <c r="C6688" s="4">
        <v>108.55826751617788</v>
      </c>
      <c r="D6688" s="45"/>
    </row>
    <row r="6689" spans="2:4" ht="16" thickBot="1" x14ac:dyDescent="0.25">
      <c r="B6689" s="5">
        <v>6684</v>
      </c>
      <c r="C6689" s="5">
        <v>188.88950923622221</v>
      </c>
      <c r="D6689" s="45"/>
    </row>
    <row r="6690" spans="2:4" ht="16" thickBot="1" x14ac:dyDescent="0.25">
      <c r="B6690" s="4">
        <v>6685</v>
      </c>
      <c r="C6690" s="4">
        <v>479.14188336382688</v>
      </c>
      <c r="D6690" s="45"/>
    </row>
    <row r="6691" spans="2:4" ht="16" thickBot="1" x14ac:dyDescent="0.25">
      <c r="B6691" s="5">
        <v>6686</v>
      </c>
      <c r="C6691" s="5">
        <v>115.66307269460142</v>
      </c>
      <c r="D6691" s="45"/>
    </row>
    <row r="6692" spans="2:4" ht="16" thickBot="1" x14ac:dyDescent="0.25">
      <c r="B6692" s="4">
        <v>6687</v>
      </c>
      <c r="C6692" s="4">
        <v>291.185752766294</v>
      </c>
      <c r="D6692" s="45"/>
    </row>
    <row r="6693" spans="2:4" ht="16" thickBot="1" x14ac:dyDescent="0.25">
      <c r="B6693" s="5">
        <v>6688</v>
      </c>
      <c r="C6693" s="5">
        <v>305.57033261980644</v>
      </c>
      <c r="D6693" s="45"/>
    </row>
    <row r="6694" spans="2:4" ht="16" thickBot="1" x14ac:dyDescent="0.25">
      <c r="B6694" s="4">
        <v>6689</v>
      </c>
      <c r="C6694" s="4">
        <v>148.19838377434598</v>
      </c>
      <c r="D6694" s="45"/>
    </row>
    <row r="6695" spans="2:4" ht="16" thickBot="1" x14ac:dyDescent="0.25">
      <c r="B6695" s="5">
        <v>6690</v>
      </c>
      <c r="C6695" s="5">
        <v>98.706212107348151</v>
      </c>
      <c r="D6695" s="45"/>
    </row>
    <row r="6696" spans="2:4" ht="16" thickBot="1" x14ac:dyDescent="0.25">
      <c r="B6696" s="4">
        <v>6691</v>
      </c>
      <c r="C6696" s="4">
        <v>539.97077285995294</v>
      </c>
      <c r="D6696" s="45"/>
    </row>
    <row r="6697" spans="2:4" ht="16" thickBot="1" x14ac:dyDescent="0.25">
      <c r="B6697" s="5">
        <v>6692</v>
      </c>
      <c r="C6697" s="5">
        <v>163.43097210102096</v>
      </c>
      <c r="D6697" s="45"/>
    </row>
    <row r="6698" spans="2:4" ht="16" thickBot="1" x14ac:dyDescent="0.25">
      <c r="B6698" s="4">
        <v>6693</v>
      </c>
      <c r="C6698" s="4">
        <v>123.29629048887132</v>
      </c>
      <c r="D6698" s="45"/>
    </row>
    <row r="6699" spans="2:4" ht="16" thickBot="1" x14ac:dyDescent="0.25">
      <c r="B6699" s="5">
        <v>6694</v>
      </c>
      <c r="C6699" s="5">
        <v>151.85893585391977</v>
      </c>
      <c r="D6699" s="45"/>
    </row>
    <row r="6700" spans="2:4" ht="16" thickBot="1" x14ac:dyDescent="0.25">
      <c r="B6700" s="4">
        <v>6695</v>
      </c>
      <c r="C6700" s="4">
        <v>211.8182398962382</v>
      </c>
      <c r="D6700" s="45"/>
    </row>
    <row r="6701" spans="2:4" ht="16" thickBot="1" x14ac:dyDescent="0.25">
      <c r="B6701" s="5">
        <v>6696</v>
      </c>
      <c r="C6701" s="5">
        <v>207.84508575639057</v>
      </c>
      <c r="D6701" s="45"/>
    </row>
    <row r="6702" spans="2:4" ht="16" thickBot="1" x14ac:dyDescent="0.25">
      <c r="B6702" s="4">
        <v>6697</v>
      </c>
      <c r="C6702" s="4">
        <v>165.27474804187713</v>
      </c>
      <c r="D6702" s="45"/>
    </row>
    <row r="6703" spans="2:4" ht="16" thickBot="1" x14ac:dyDescent="0.25">
      <c r="B6703" s="5">
        <v>6698</v>
      </c>
      <c r="C6703" s="5">
        <v>173.66648419593434</v>
      </c>
      <c r="D6703" s="45"/>
    </row>
    <row r="6704" spans="2:4" ht="16" thickBot="1" x14ac:dyDescent="0.25">
      <c r="B6704" s="4">
        <v>6699</v>
      </c>
      <c r="C6704" s="4">
        <v>153.02555805575292</v>
      </c>
      <c r="D6704" s="45"/>
    </row>
    <row r="6705" spans="2:4" ht="16" thickBot="1" x14ac:dyDescent="0.25">
      <c r="B6705" s="5">
        <v>6700</v>
      </c>
      <c r="C6705" s="5">
        <v>229.08474765871122</v>
      </c>
      <c r="D6705" s="45"/>
    </row>
    <row r="6706" spans="2:4" ht="16" thickBot="1" x14ac:dyDescent="0.25">
      <c r="B6706" s="4">
        <v>6701</v>
      </c>
      <c r="C6706" s="4">
        <v>213.66578295170413</v>
      </c>
      <c r="D6706" s="45"/>
    </row>
    <row r="6707" spans="2:4" ht="16" thickBot="1" x14ac:dyDescent="0.25">
      <c r="B6707" s="5">
        <v>6702</v>
      </c>
      <c r="C6707" s="5">
        <v>51.533431299910937</v>
      </c>
      <c r="D6707" s="45"/>
    </row>
    <row r="6708" spans="2:4" ht="16" thickBot="1" x14ac:dyDescent="0.25">
      <c r="B6708" s="4">
        <v>6703</v>
      </c>
      <c r="C6708" s="4">
        <v>214.19849506590035</v>
      </c>
      <c r="D6708" s="45"/>
    </row>
    <row r="6709" spans="2:4" ht="16" thickBot="1" x14ac:dyDescent="0.25">
      <c r="B6709" s="5">
        <v>6704</v>
      </c>
      <c r="C6709" s="5">
        <v>146.37316588717979</v>
      </c>
      <c r="D6709" s="45"/>
    </row>
    <row r="6710" spans="2:4" ht="16" thickBot="1" x14ac:dyDescent="0.25">
      <c r="B6710" s="4">
        <v>6705</v>
      </c>
      <c r="C6710" s="4">
        <v>47.195583070549411</v>
      </c>
      <c r="D6710" s="45"/>
    </row>
    <row r="6711" spans="2:4" ht="16" thickBot="1" x14ac:dyDescent="0.25">
      <c r="B6711" s="5">
        <v>6706</v>
      </c>
      <c r="C6711" s="5">
        <v>65.81048506615258</v>
      </c>
      <c r="D6711" s="45"/>
    </row>
    <row r="6712" spans="2:4" ht="16" thickBot="1" x14ac:dyDescent="0.25">
      <c r="B6712" s="4">
        <v>6707</v>
      </c>
      <c r="C6712" s="4">
        <v>330.68386849618469</v>
      </c>
      <c r="D6712" s="45"/>
    </row>
    <row r="6713" spans="2:4" ht="16" thickBot="1" x14ac:dyDescent="0.25">
      <c r="B6713" s="5">
        <v>6708</v>
      </c>
      <c r="C6713" s="5">
        <v>114.36768134442269</v>
      </c>
      <c r="D6713" s="45"/>
    </row>
    <row r="6714" spans="2:4" ht="16" thickBot="1" x14ac:dyDescent="0.25">
      <c r="B6714" s="4">
        <v>6709</v>
      </c>
      <c r="C6714" s="4">
        <v>171.83180185186188</v>
      </c>
      <c r="D6714" s="45"/>
    </row>
    <row r="6715" spans="2:4" ht="16" thickBot="1" x14ac:dyDescent="0.25">
      <c r="B6715" s="5">
        <v>6710</v>
      </c>
      <c r="C6715" s="5">
        <v>140.99247597829344</v>
      </c>
      <c r="D6715" s="45"/>
    </row>
    <row r="6716" spans="2:4" ht="16" thickBot="1" x14ac:dyDescent="0.25">
      <c r="B6716" s="4">
        <v>6711</v>
      </c>
      <c r="C6716" s="4">
        <v>132.70062228638321</v>
      </c>
      <c r="D6716" s="45"/>
    </row>
    <row r="6717" spans="2:4" ht="16" thickBot="1" x14ac:dyDescent="0.25">
      <c r="B6717" s="5">
        <v>6712</v>
      </c>
      <c r="C6717" s="5">
        <v>116.1745513040137</v>
      </c>
      <c r="D6717" s="45"/>
    </row>
    <row r="6718" spans="2:4" ht="16" thickBot="1" x14ac:dyDescent="0.25">
      <c r="B6718" s="4">
        <v>6713</v>
      </c>
      <c r="C6718" s="4">
        <v>212.1207064059609</v>
      </c>
      <c r="D6718" s="45"/>
    </row>
    <row r="6719" spans="2:4" ht="16" thickBot="1" x14ac:dyDescent="0.25">
      <c r="B6719" s="5">
        <v>6714</v>
      </c>
      <c r="C6719" s="5">
        <v>206.1364650813496</v>
      </c>
      <c r="D6719" s="45"/>
    </row>
    <row r="6720" spans="2:4" ht="16" thickBot="1" x14ac:dyDescent="0.25">
      <c r="B6720" s="4">
        <v>6715</v>
      </c>
      <c r="C6720" s="4">
        <v>129.78807999919019</v>
      </c>
      <c r="D6720" s="45"/>
    </row>
    <row r="6721" spans="2:4" ht="16" thickBot="1" x14ac:dyDescent="0.25">
      <c r="B6721" s="5">
        <v>6716</v>
      </c>
      <c r="C6721" s="5">
        <v>395.87601074055607</v>
      </c>
      <c r="D6721" s="45"/>
    </row>
    <row r="6722" spans="2:4" ht="16" thickBot="1" x14ac:dyDescent="0.25">
      <c r="B6722" s="4">
        <v>6717</v>
      </c>
      <c r="C6722" s="4">
        <v>278.56249621170804</v>
      </c>
      <c r="D6722" s="45"/>
    </row>
    <row r="6723" spans="2:4" ht="16" thickBot="1" x14ac:dyDescent="0.25">
      <c r="B6723" s="5">
        <v>6718</v>
      </c>
      <c r="C6723" s="5">
        <v>104.70959381670707</v>
      </c>
      <c r="D6723" s="45"/>
    </row>
    <row r="6724" spans="2:4" ht="16" thickBot="1" x14ac:dyDescent="0.25">
      <c r="B6724" s="4">
        <v>6719</v>
      </c>
      <c r="C6724" s="4">
        <v>127.09543520084166</v>
      </c>
      <c r="D6724" s="45"/>
    </row>
    <row r="6725" spans="2:4" ht="16" thickBot="1" x14ac:dyDescent="0.25">
      <c r="B6725" s="5">
        <v>6720</v>
      </c>
      <c r="C6725" s="5">
        <v>162.25308551796991</v>
      </c>
      <c r="D6725" s="45"/>
    </row>
    <row r="6726" spans="2:4" ht="16" thickBot="1" x14ac:dyDescent="0.25">
      <c r="B6726" s="4">
        <v>6721</v>
      </c>
      <c r="C6726" s="4">
        <v>339.96955933927273</v>
      </c>
      <c r="D6726" s="45"/>
    </row>
    <row r="6727" spans="2:4" ht="16" thickBot="1" x14ac:dyDescent="0.25">
      <c r="B6727" s="5">
        <v>6722</v>
      </c>
      <c r="C6727" s="5">
        <v>221.26161530006806</v>
      </c>
      <c r="D6727" s="45"/>
    </row>
    <row r="6728" spans="2:4" ht="16" thickBot="1" x14ac:dyDescent="0.25">
      <c r="B6728" s="4">
        <v>6723</v>
      </c>
      <c r="C6728" s="4">
        <v>165.81518314504982</v>
      </c>
      <c r="D6728" s="45"/>
    </row>
    <row r="6729" spans="2:4" ht="16" thickBot="1" x14ac:dyDescent="0.25">
      <c r="B6729" s="5">
        <v>6724</v>
      </c>
      <c r="C6729" s="5">
        <v>282.67835665578133</v>
      </c>
      <c r="D6729" s="45"/>
    </row>
    <row r="6730" spans="2:4" ht="16" thickBot="1" x14ac:dyDescent="0.25">
      <c r="B6730" s="4">
        <v>6725</v>
      </c>
      <c r="C6730" s="4">
        <v>116.8256940430003</v>
      </c>
      <c r="D6730" s="45"/>
    </row>
    <row r="6731" spans="2:4" ht="16" thickBot="1" x14ac:dyDescent="0.25">
      <c r="B6731" s="5">
        <v>6726</v>
      </c>
      <c r="C6731" s="5">
        <v>109.07225369695946</v>
      </c>
      <c r="D6731" s="45"/>
    </row>
    <row r="6732" spans="2:4" ht="16" thickBot="1" x14ac:dyDescent="0.25">
      <c r="B6732" s="4">
        <v>6727</v>
      </c>
      <c r="C6732" s="4">
        <v>217.6194874111595</v>
      </c>
      <c r="D6732" s="45"/>
    </row>
    <row r="6733" spans="2:4" ht="16" thickBot="1" x14ac:dyDescent="0.25">
      <c r="B6733" s="5">
        <v>6728</v>
      </c>
      <c r="C6733" s="5">
        <v>186.35141018127274</v>
      </c>
      <c r="D6733" s="45"/>
    </row>
    <row r="6734" spans="2:4" ht="16" thickBot="1" x14ac:dyDescent="0.25">
      <c r="B6734" s="4">
        <v>6729</v>
      </c>
      <c r="C6734" s="4">
        <v>94.011075327685276</v>
      </c>
      <c r="D6734" s="45"/>
    </row>
    <row r="6735" spans="2:4" ht="16" thickBot="1" x14ac:dyDescent="0.25">
      <c r="B6735" s="5">
        <v>6730</v>
      </c>
      <c r="C6735" s="5">
        <v>226.33518274791672</v>
      </c>
      <c r="D6735" s="45"/>
    </row>
    <row r="6736" spans="2:4" ht="16" thickBot="1" x14ac:dyDescent="0.25">
      <c r="B6736" s="4">
        <v>6731</v>
      </c>
      <c r="C6736" s="4">
        <v>349.62848604831817</v>
      </c>
      <c r="D6736" s="45"/>
    </row>
    <row r="6737" spans="2:4" ht="16" thickBot="1" x14ac:dyDescent="0.25">
      <c r="B6737" s="5">
        <v>6732</v>
      </c>
      <c r="C6737" s="5">
        <v>188.68540125355091</v>
      </c>
      <c r="D6737" s="45"/>
    </row>
    <row r="6738" spans="2:4" ht="16" thickBot="1" x14ac:dyDescent="0.25">
      <c r="B6738" s="4">
        <v>6733</v>
      </c>
      <c r="C6738" s="4">
        <v>54.149854901791272</v>
      </c>
      <c r="D6738" s="45"/>
    </row>
    <row r="6739" spans="2:4" ht="16" thickBot="1" x14ac:dyDescent="0.25">
      <c r="B6739" s="5">
        <v>6734</v>
      </c>
      <c r="C6739" s="5">
        <v>258.98497309577516</v>
      </c>
      <c r="D6739" s="45"/>
    </row>
    <row r="6740" spans="2:4" ht="16" thickBot="1" x14ac:dyDescent="0.25">
      <c r="B6740" s="4">
        <v>6735</v>
      </c>
      <c r="C6740" s="4">
        <v>229.67648140161236</v>
      </c>
      <c r="D6740" s="45"/>
    </row>
    <row r="6741" spans="2:4" ht="16" thickBot="1" x14ac:dyDescent="0.25">
      <c r="B6741" s="5">
        <v>6736</v>
      </c>
      <c r="C6741" s="5">
        <v>185.90978318291729</v>
      </c>
      <c r="D6741" s="45"/>
    </row>
    <row r="6742" spans="2:4" ht="16" thickBot="1" x14ac:dyDescent="0.25">
      <c r="B6742" s="4">
        <v>6737</v>
      </c>
      <c r="C6742" s="4">
        <v>236.98087830543949</v>
      </c>
      <c r="D6742" s="45"/>
    </row>
    <row r="6743" spans="2:4" ht="16" thickBot="1" x14ac:dyDescent="0.25">
      <c r="B6743" s="5">
        <v>6738</v>
      </c>
      <c r="C6743" s="5">
        <v>135.99149512951163</v>
      </c>
      <c r="D6743" s="45"/>
    </row>
    <row r="6744" spans="2:4" ht="16" thickBot="1" x14ac:dyDescent="0.25">
      <c r="B6744" s="4">
        <v>6739</v>
      </c>
      <c r="C6744" s="4">
        <v>141.46862235727747</v>
      </c>
      <c r="D6744" s="45"/>
    </row>
    <row r="6745" spans="2:4" ht="16" thickBot="1" x14ac:dyDescent="0.25">
      <c r="B6745" s="5">
        <v>6740</v>
      </c>
      <c r="C6745" s="5">
        <v>77.215179151722836</v>
      </c>
      <c r="D6745" s="45"/>
    </row>
    <row r="6746" spans="2:4" ht="16" thickBot="1" x14ac:dyDescent="0.25">
      <c r="B6746" s="4">
        <v>6741</v>
      </c>
      <c r="C6746" s="4">
        <v>168.51687409503083</v>
      </c>
      <c r="D6746" s="45"/>
    </row>
    <row r="6747" spans="2:4" ht="16" thickBot="1" x14ac:dyDescent="0.25">
      <c r="B6747" s="5">
        <v>6742</v>
      </c>
      <c r="C6747" s="5">
        <v>68.531043885371929</v>
      </c>
      <c r="D6747" s="45"/>
    </row>
    <row r="6748" spans="2:4" ht="16" thickBot="1" x14ac:dyDescent="0.25">
      <c r="B6748" s="4">
        <v>6743</v>
      </c>
      <c r="C6748" s="4">
        <v>100.59406731879555</v>
      </c>
      <c r="D6748" s="45"/>
    </row>
    <row r="6749" spans="2:4" ht="16" thickBot="1" x14ac:dyDescent="0.25">
      <c r="B6749" s="5">
        <v>6744</v>
      </c>
      <c r="C6749" s="5">
        <v>122.86407786941243</v>
      </c>
      <c r="D6749" s="45"/>
    </row>
    <row r="6750" spans="2:4" ht="16" thickBot="1" x14ac:dyDescent="0.25">
      <c r="B6750" s="4">
        <v>6745</v>
      </c>
      <c r="C6750" s="4">
        <v>183.47358001901776</v>
      </c>
      <c r="D6750" s="45"/>
    </row>
    <row r="6751" spans="2:4" ht="16" thickBot="1" x14ac:dyDescent="0.25">
      <c r="B6751" s="5">
        <v>6746</v>
      </c>
      <c r="C6751" s="5">
        <v>178.89843365792768</v>
      </c>
      <c r="D6751" s="45"/>
    </row>
    <row r="6752" spans="2:4" ht="16" thickBot="1" x14ac:dyDescent="0.25">
      <c r="B6752" s="4">
        <v>6747</v>
      </c>
      <c r="C6752" s="4">
        <v>138.3119089690129</v>
      </c>
      <c r="D6752" s="45"/>
    </row>
    <row r="6753" spans="2:4" ht="16" thickBot="1" x14ac:dyDescent="0.25">
      <c r="B6753" s="5">
        <v>6748</v>
      </c>
      <c r="C6753" s="5">
        <v>245.22318000712175</v>
      </c>
      <c r="D6753" s="45"/>
    </row>
    <row r="6754" spans="2:4" ht="16" thickBot="1" x14ac:dyDescent="0.25">
      <c r="B6754" s="4">
        <v>6749</v>
      </c>
      <c r="C6754" s="4">
        <v>70.513121306631845</v>
      </c>
      <c r="D6754" s="45"/>
    </row>
    <row r="6755" spans="2:4" ht="16" thickBot="1" x14ac:dyDescent="0.25">
      <c r="B6755" s="5">
        <v>6750</v>
      </c>
      <c r="C6755" s="5">
        <v>308.45661119041966</v>
      </c>
      <c r="D6755" s="45"/>
    </row>
    <row r="6756" spans="2:4" ht="16" thickBot="1" x14ac:dyDescent="0.25">
      <c r="B6756" s="4">
        <v>6751</v>
      </c>
      <c r="C6756" s="4">
        <v>110.70197050363521</v>
      </c>
      <c r="D6756" s="45"/>
    </row>
    <row r="6757" spans="2:4" ht="16" thickBot="1" x14ac:dyDescent="0.25">
      <c r="B6757" s="5">
        <v>6752</v>
      </c>
      <c r="C6757" s="5">
        <v>289.1812289195077</v>
      </c>
      <c r="D6757" s="45"/>
    </row>
    <row r="6758" spans="2:4" ht="16" thickBot="1" x14ac:dyDescent="0.25">
      <c r="B6758" s="4">
        <v>6753</v>
      </c>
      <c r="C6758" s="4">
        <v>159.19977759541899</v>
      </c>
      <c r="D6758" s="45"/>
    </row>
    <row r="6759" spans="2:4" ht="16" thickBot="1" x14ac:dyDescent="0.25">
      <c r="B6759" s="5">
        <v>6754</v>
      </c>
      <c r="C6759" s="5">
        <v>295.82805504965916</v>
      </c>
      <c r="D6759" s="45"/>
    </row>
    <row r="6760" spans="2:4" ht="16" thickBot="1" x14ac:dyDescent="0.25">
      <c r="B6760" s="4">
        <v>6755</v>
      </c>
      <c r="C6760" s="4">
        <v>91.534481907265089</v>
      </c>
      <c r="D6760" s="45"/>
    </row>
    <row r="6761" spans="2:4" ht="16" thickBot="1" x14ac:dyDescent="0.25">
      <c r="B6761" s="5">
        <v>6756</v>
      </c>
      <c r="C6761" s="5">
        <v>394.43949870266567</v>
      </c>
      <c r="D6761" s="45"/>
    </row>
    <row r="6762" spans="2:4" ht="16" thickBot="1" x14ac:dyDescent="0.25">
      <c r="B6762" s="4">
        <v>6757</v>
      </c>
      <c r="C6762" s="4">
        <v>164.34415878857334</v>
      </c>
      <c r="D6762" s="45"/>
    </row>
    <row r="6763" spans="2:4" ht="16" thickBot="1" x14ac:dyDescent="0.25">
      <c r="B6763" s="5">
        <v>6758</v>
      </c>
      <c r="C6763" s="5">
        <v>48.285335030232197</v>
      </c>
      <c r="D6763" s="45"/>
    </row>
    <row r="6764" spans="2:4" ht="16" thickBot="1" x14ac:dyDescent="0.25">
      <c r="B6764" s="4">
        <v>6759</v>
      </c>
      <c r="C6764" s="4">
        <v>425.08400460537518</v>
      </c>
      <c r="D6764" s="45"/>
    </row>
    <row r="6765" spans="2:4" ht="16" thickBot="1" x14ac:dyDescent="0.25">
      <c r="B6765" s="5">
        <v>6760</v>
      </c>
      <c r="C6765" s="5">
        <v>140.22422366903814</v>
      </c>
      <c r="D6765" s="45"/>
    </row>
    <row r="6766" spans="2:4" ht="16" thickBot="1" x14ac:dyDescent="0.25">
      <c r="B6766" s="4">
        <v>6761</v>
      </c>
      <c r="C6766" s="4">
        <v>93.949516923146263</v>
      </c>
      <c r="D6766" s="45"/>
    </row>
    <row r="6767" spans="2:4" ht="16" thickBot="1" x14ac:dyDescent="0.25">
      <c r="B6767" s="5">
        <v>6762</v>
      </c>
      <c r="C6767" s="5">
        <v>111.52890171686442</v>
      </c>
      <c r="D6767" s="45"/>
    </row>
    <row r="6768" spans="2:4" ht="16" thickBot="1" x14ac:dyDescent="0.25">
      <c r="B6768" s="4">
        <v>6763</v>
      </c>
      <c r="C6768" s="4">
        <v>150.52543438658671</v>
      </c>
      <c r="D6768" s="45"/>
    </row>
    <row r="6769" spans="2:4" ht="16" thickBot="1" x14ac:dyDescent="0.25">
      <c r="B6769" s="5">
        <v>6764</v>
      </c>
      <c r="C6769" s="5">
        <v>253.40477271559499</v>
      </c>
      <c r="D6769" s="45"/>
    </row>
    <row r="6770" spans="2:4" ht="16" thickBot="1" x14ac:dyDescent="0.25">
      <c r="B6770" s="4">
        <v>6765</v>
      </c>
      <c r="C6770" s="4">
        <v>185.60175209982722</v>
      </c>
      <c r="D6770" s="45"/>
    </row>
    <row r="6771" spans="2:4" ht="16" thickBot="1" x14ac:dyDescent="0.25">
      <c r="B6771" s="5">
        <v>6766</v>
      </c>
      <c r="C6771" s="5">
        <v>125.80079144672898</v>
      </c>
      <c r="D6771" s="45"/>
    </row>
    <row r="6772" spans="2:4" ht="16" thickBot="1" x14ac:dyDescent="0.25">
      <c r="B6772" s="4">
        <v>6767</v>
      </c>
      <c r="C6772" s="4">
        <v>263.4596791966282</v>
      </c>
      <c r="D6772" s="45"/>
    </row>
    <row r="6773" spans="2:4" ht="16" thickBot="1" x14ac:dyDescent="0.25">
      <c r="B6773" s="5">
        <v>6768</v>
      </c>
      <c r="C6773" s="5">
        <v>144.62436859754973</v>
      </c>
      <c r="D6773" s="45"/>
    </row>
    <row r="6774" spans="2:4" ht="16" thickBot="1" x14ac:dyDescent="0.25">
      <c r="B6774" s="4">
        <v>6769</v>
      </c>
      <c r="C6774" s="4">
        <v>219.66250677883062</v>
      </c>
      <c r="D6774" s="45"/>
    </row>
    <row r="6775" spans="2:4" ht="16" thickBot="1" x14ac:dyDescent="0.25">
      <c r="B6775" s="5">
        <v>6770</v>
      </c>
      <c r="C6775" s="5">
        <v>204.74045454348794</v>
      </c>
      <c r="D6775" s="45"/>
    </row>
    <row r="6776" spans="2:4" ht="16" thickBot="1" x14ac:dyDescent="0.25">
      <c r="B6776" s="4">
        <v>6771</v>
      </c>
      <c r="C6776" s="4">
        <v>99.109254547751547</v>
      </c>
      <c r="D6776" s="45"/>
    </row>
    <row r="6777" spans="2:4" ht="16" thickBot="1" x14ac:dyDescent="0.25">
      <c r="B6777" s="5">
        <v>6772</v>
      </c>
      <c r="C6777" s="5">
        <v>150.40220425888458</v>
      </c>
      <c r="D6777" s="45"/>
    </row>
    <row r="6778" spans="2:4" ht="16" thickBot="1" x14ac:dyDescent="0.25">
      <c r="B6778" s="4">
        <v>6773</v>
      </c>
      <c r="C6778" s="4">
        <v>269.45676813984073</v>
      </c>
      <c r="D6778" s="45"/>
    </row>
    <row r="6779" spans="2:4" ht="16" thickBot="1" x14ac:dyDescent="0.25">
      <c r="B6779" s="5">
        <v>6774</v>
      </c>
      <c r="C6779" s="5">
        <v>152.7214454442028</v>
      </c>
      <c r="D6779" s="45"/>
    </row>
    <row r="6780" spans="2:4" ht="16" thickBot="1" x14ac:dyDescent="0.25">
      <c r="B6780" s="4">
        <v>6775</v>
      </c>
      <c r="C6780" s="4">
        <v>306.4784637084465</v>
      </c>
      <c r="D6780" s="45"/>
    </row>
    <row r="6781" spans="2:4" ht="16" thickBot="1" x14ac:dyDescent="0.25">
      <c r="B6781" s="5">
        <v>6776</v>
      </c>
      <c r="C6781" s="5">
        <v>75.534974005544271</v>
      </c>
      <c r="D6781" s="45"/>
    </row>
    <row r="6782" spans="2:4" ht="16" thickBot="1" x14ac:dyDescent="0.25">
      <c r="B6782" s="4">
        <v>6777</v>
      </c>
      <c r="C6782" s="4">
        <v>163.82600243163355</v>
      </c>
      <c r="D6782" s="45"/>
    </row>
    <row r="6783" spans="2:4" ht="16" thickBot="1" x14ac:dyDescent="0.25">
      <c r="B6783" s="5">
        <v>6778</v>
      </c>
      <c r="C6783" s="5">
        <v>122.43467087438451</v>
      </c>
      <c r="D6783" s="45"/>
    </row>
    <row r="6784" spans="2:4" ht="16" thickBot="1" x14ac:dyDescent="0.25">
      <c r="B6784" s="4">
        <v>6779</v>
      </c>
      <c r="C6784" s="4">
        <v>261.06713449765437</v>
      </c>
      <c r="D6784" s="45"/>
    </row>
    <row r="6785" spans="2:4" ht="16" thickBot="1" x14ac:dyDescent="0.25">
      <c r="B6785" s="5">
        <v>6780</v>
      </c>
      <c r="C6785" s="5">
        <v>232.05823240007734</v>
      </c>
      <c r="D6785" s="45"/>
    </row>
    <row r="6786" spans="2:4" ht="16" thickBot="1" x14ac:dyDescent="0.25">
      <c r="B6786" s="4">
        <v>6781</v>
      </c>
      <c r="C6786" s="4">
        <v>262.85676315237168</v>
      </c>
      <c r="D6786" s="45"/>
    </row>
    <row r="6787" spans="2:4" ht="16" thickBot="1" x14ac:dyDescent="0.25">
      <c r="B6787" s="5">
        <v>6782</v>
      </c>
      <c r="C6787" s="5">
        <v>140.38171747315366</v>
      </c>
      <c r="D6787" s="45"/>
    </row>
    <row r="6788" spans="2:4" ht="16" thickBot="1" x14ac:dyDescent="0.25">
      <c r="B6788" s="4">
        <v>6783</v>
      </c>
      <c r="C6788" s="4">
        <v>58.026326181978447</v>
      </c>
      <c r="D6788" s="45"/>
    </row>
    <row r="6789" spans="2:4" ht="16" thickBot="1" x14ac:dyDescent="0.25">
      <c r="B6789" s="5">
        <v>6784</v>
      </c>
      <c r="C6789" s="5">
        <v>171.702650834211</v>
      </c>
      <c r="D6789" s="45"/>
    </row>
    <row r="6790" spans="2:4" ht="16" thickBot="1" x14ac:dyDescent="0.25">
      <c r="B6790" s="4">
        <v>6785</v>
      </c>
      <c r="C6790" s="4">
        <v>115.04886312167655</v>
      </c>
      <c r="D6790" s="45"/>
    </row>
    <row r="6791" spans="2:4" ht="16" thickBot="1" x14ac:dyDescent="0.25">
      <c r="B6791" s="5">
        <v>6786</v>
      </c>
      <c r="C6791" s="5">
        <v>122.53944604535158</v>
      </c>
      <c r="D6791" s="45"/>
    </row>
    <row r="6792" spans="2:4" ht="16" thickBot="1" x14ac:dyDescent="0.25">
      <c r="B6792" s="4">
        <v>6787</v>
      </c>
      <c r="C6792" s="4">
        <v>257.91535968481168</v>
      </c>
      <c r="D6792" s="45"/>
    </row>
    <row r="6793" spans="2:4" ht="16" thickBot="1" x14ac:dyDescent="0.25">
      <c r="B6793" s="5">
        <v>6788</v>
      </c>
      <c r="C6793" s="5">
        <v>353.62391565346422</v>
      </c>
      <c r="D6793" s="45"/>
    </row>
    <row r="6794" spans="2:4" ht="16" thickBot="1" x14ac:dyDescent="0.25">
      <c r="B6794" s="4">
        <v>6789</v>
      </c>
      <c r="C6794" s="4">
        <v>159.24853027875344</v>
      </c>
      <c r="D6794" s="45"/>
    </row>
    <row r="6795" spans="2:4" ht="16" thickBot="1" x14ac:dyDescent="0.25">
      <c r="B6795" s="5">
        <v>6790</v>
      </c>
      <c r="C6795" s="5">
        <v>162.74601099749106</v>
      </c>
      <c r="D6795" s="45"/>
    </row>
    <row r="6796" spans="2:4" ht="16" thickBot="1" x14ac:dyDescent="0.25">
      <c r="B6796" s="4">
        <v>6791</v>
      </c>
      <c r="C6796" s="4">
        <v>69.442303295360418</v>
      </c>
      <c r="D6796" s="45"/>
    </row>
    <row r="6797" spans="2:4" ht="16" thickBot="1" x14ac:dyDescent="0.25">
      <c r="B6797" s="5">
        <v>6792</v>
      </c>
      <c r="C6797" s="5">
        <v>362.11928879101328</v>
      </c>
      <c r="D6797" s="45"/>
    </row>
    <row r="6798" spans="2:4" ht="16" thickBot="1" x14ac:dyDescent="0.25">
      <c r="B6798" s="4">
        <v>6793</v>
      </c>
      <c r="C6798" s="4">
        <v>174.16577827683065</v>
      </c>
      <c r="D6798" s="45"/>
    </row>
    <row r="6799" spans="2:4" ht="16" thickBot="1" x14ac:dyDescent="0.25">
      <c r="B6799" s="5">
        <v>6794</v>
      </c>
      <c r="C6799" s="5">
        <v>126.97090565244599</v>
      </c>
      <c r="D6799" s="45"/>
    </row>
    <row r="6800" spans="2:4" ht="16" thickBot="1" x14ac:dyDescent="0.25">
      <c r="B6800" s="4">
        <v>6795</v>
      </c>
      <c r="C6800" s="4">
        <v>95.752778066786775</v>
      </c>
      <c r="D6800" s="45"/>
    </row>
    <row r="6801" spans="2:4" ht="16" thickBot="1" x14ac:dyDescent="0.25">
      <c r="B6801" s="5">
        <v>6796</v>
      </c>
      <c r="C6801" s="5">
        <v>153.26170501723405</v>
      </c>
      <c r="D6801" s="45"/>
    </row>
    <row r="6802" spans="2:4" ht="16" thickBot="1" x14ac:dyDescent="0.25">
      <c r="B6802" s="4">
        <v>6797</v>
      </c>
      <c r="C6802" s="4">
        <v>52.826859035250813</v>
      </c>
      <c r="D6802" s="45"/>
    </row>
    <row r="6803" spans="2:4" ht="16" thickBot="1" x14ac:dyDescent="0.25">
      <c r="B6803" s="5">
        <v>6798</v>
      </c>
      <c r="C6803" s="5">
        <v>64.357692130694403</v>
      </c>
      <c r="D6803" s="45"/>
    </row>
    <row r="6804" spans="2:4" ht="16" thickBot="1" x14ac:dyDescent="0.25">
      <c r="B6804" s="4">
        <v>6799</v>
      </c>
      <c r="C6804" s="4">
        <v>178.19375207048833</v>
      </c>
      <c r="D6804" s="45"/>
    </row>
    <row r="6805" spans="2:4" ht="16" thickBot="1" x14ac:dyDescent="0.25">
      <c r="B6805" s="5">
        <v>6800</v>
      </c>
      <c r="C6805" s="5">
        <v>276.89274959108991</v>
      </c>
      <c r="D6805" s="45"/>
    </row>
    <row r="6806" spans="2:4" ht="16" thickBot="1" x14ac:dyDescent="0.25">
      <c r="B6806" s="4">
        <v>6801</v>
      </c>
      <c r="C6806" s="4">
        <v>105.38017024725271</v>
      </c>
      <c r="D6806" s="45"/>
    </row>
    <row r="6807" spans="2:4" ht="16" thickBot="1" x14ac:dyDescent="0.25">
      <c r="B6807" s="5">
        <v>6802</v>
      </c>
      <c r="C6807" s="5">
        <v>186.61887566667812</v>
      </c>
      <c r="D6807" s="45"/>
    </row>
    <row r="6808" spans="2:4" ht="16" thickBot="1" x14ac:dyDescent="0.25">
      <c r="B6808" s="4">
        <v>6803</v>
      </c>
      <c r="C6808" s="4">
        <v>157.43982232780868</v>
      </c>
      <c r="D6808" s="45"/>
    </row>
    <row r="6809" spans="2:4" ht="16" thickBot="1" x14ac:dyDescent="0.25">
      <c r="B6809" s="5">
        <v>6804</v>
      </c>
      <c r="C6809" s="5">
        <v>231.27032663734622</v>
      </c>
      <c r="D6809" s="45"/>
    </row>
    <row r="6810" spans="2:4" ht="16" thickBot="1" x14ac:dyDescent="0.25">
      <c r="B6810" s="4">
        <v>6805</v>
      </c>
      <c r="C6810" s="4">
        <v>85.178886033914452</v>
      </c>
      <c r="D6810" s="45"/>
    </row>
    <row r="6811" spans="2:4" ht="16" thickBot="1" x14ac:dyDescent="0.25">
      <c r="B6811" s="5">
        <v>6806</v>
      </c>
      <c r="C6811" s="5">
        <v>208.51545494838388</v>
      </c>
      <c r="D6811" s="45"/>
    </row>
    <row r="6812" spans="2:4" ht="16" thickBot="1" x14ac:dyDescent="0.25">
      <c r="B6812" s="4">
        <v>6807</v>
      </c>
      <c r="C6812" s="4">
        <v>126.5235922691646</v>
      </c>
      <c r="D6812" s="45"/>
    </row>
    <row r="6813" spans="2:4" ht="16" thickBot="1" x14ac:dyDescent="0.25">
      <c r="B6813" s="5">
        <v>6808</v>
      </c>
      <c r="C6813" s="5">
        <v>229.87086830325833</v>
      </c>
      <c r="D6813" s="45"/>
    </row>
    <row r="6814" spans="2:4" ht="16" thickBot="1" x14ac:dyDescent="0.25">
      <c r="B6814" s="4">
        <v>6809</v>
      </c>
      <c r="C6814" s="4">
        <v>94.313304477048689</v>
      </c>
      <c r="D6814" s="45"/>
    </row>
    <row r="6815" spans="2:4" ht="16" thickBot="1" x14ac:dyDescent="0.25">
      <c r="B6815" s="5">
        <v>6810</v>
      </c>
      <c r="C6815" s="5">
        <v>218.59805555609697</v>
      </c>
      <c r="D6815" s="45"/>
    </row>
    <row r="6816" spans="2:4" ht="16" thickBot="1" x14ac:dyDescent="0.25">
      <c r="B6816" s="4">
        <v>6811</v>
      </c>
      <c r="C6816" s="4">
        <v>103.15348458654246</v>
      </c>
      <c r="D6816" s="45"/>
    </row>
    <row r="6817" spans="2:4" ht="16" thickBot="1" x14ac:dyDescent="0.25">
      <c r="B6817" s="5">
        <v>6812</v>
      </c>
      <c r="C6817" s="5">
        <v>101.74523993091992</v>
      </c>
      <c r="D6817" s="45"/>
    </row>
    <row r="6818" spans="2:4" ht="16" thickBot="1" x14ac:dyDescent="0.25">
      <c r="B6818" s="4">
        <v>6813</v>
      </c>
      <c r="C6818" s="4">
        <v>75.801818458302776</v>
      </c>
      <c r="D6818" s="45"/>
    </row>
    <row r="6819" spans="2:4" ht="16" thickBot="1" x14ac:dyDescent="0.25">
      <c r="B6819" s="5">
        <v>6814</v>
      </c>
      <c r="C6819" s="5">
        <v>86.831218942960788</v>
      </c>
      <c r="D6819" s="45"/>
    </row>
    <row r="6820" spans="2:4" ht="16" thickBot="1" x14ac:dyDescent="0.25">
      <c r="B6820" s="4">
        <v>6815</v>
      </c>
      <c r="C6820" s="4">
        <v>175.91383624713538</v>
      </c>
      <c r="D6820" s="45"/>
    </row>
    <row r="6821" spans="2:4" ht="16" thickBot="1" x14ac:dyDescent="0.25">
      <c r="B6821" s="5">
        <v>6816</v>
      </c>
      <c r="C6821" s="5">
        <v>218.24563968451153</v>
      </c>
      <c r="D6821" s="45"/>
    </row>
    <row r="6822" spans="2:4" ht="16" thickBot="1" x14ac:dyDescent="0.25">
      <c r="B6822" s="4">
        <v>6817</v>
      </c>
      <c r="C6822" s="4">
        <v>109.32264958467074</v>
      </c>
      <c r="D6822" s="45"/>
    </row>
    <row r="6823" spans="2:4" ht="16" thickBot="1" x14ac:dyDescent="0.25">
      <c r="B6823" s="5">
        <v>6818</v>
      </c>
      <c r="C6823" s="5">
        <v>375.13286711596953</v>
      </c>
      <c r="D6823" s="45"/>
    </row>
    <row r="6824" spans="2:4" ht="16" thickBot="1" x14ac:dyDescent="0.25">
      <c r="B6824" s="4">
        <v>6819</v>
      </c>
      <c r="C6824" s="4">
        <v>73.355139277270553</v>
      </c>
      <c r="D6824" s="45"/>
    </row>
    <row r="6825" spans="2:4" ht="16" thickBot="1" x14ac:dyDescent="0.25">
      <c r="B6825" s="5">
        <v>6820</v>
      </c>
      <c r="C6825" s="5">
        <v>82.218107831485298</v>
      </c>
      <c r="D6825" s="45"/>
    </row>
    <row r="6826" spans="2:4" ht="16" thickBot="1" x14ac:dyDescent="0.25">
      <c r="B6826" s="4">
        <v>6821</v>
      </c>
      <c r="C6826" s="4">
        <v>268.71551471409697</v>
      </c>
      <c r="D6826" s="45"/>
    </row>
    <row r="6827" spans="2:4" ht="16" thickBot="1" x14ac:dyDescent="0.25">
      <c r="B6827" s="5">
        <v>6822</v>
      </c>
      <c r="C6827" s="5">
        <v>62.355178020054751</v>
      </c>
      <c r="D6827" s="45"/>
    </row>
    <row r="6828" spans="2:4" ht="16" thickBot="1" x14ac:dyDescent="0.25">
      <c r="B6828" s="4">
        <v>6823</v>
      </c>
      <c r="C6828" s="4">
        <v>91.08325418033769</v>
      </c>
      <c r="D6828" s="45"/>
    </row>
    <row r="6829" spans="2:4" ht="16" thickBot="1" x14ac:dyDescent="0.25">
      <c r="B6829" s="5">
        <v>6824</v>
      </c>
      <c r="C6829" s="5">
        <v>156.99178007248599</v>
      </c>
      <c r="D6829" s="45"/>
    </row>
    <row r="6830" spans="2:4" ht="16" thickBot="1" x14ac:dyDescent="0.25">
      <c r="B6830" s="4">
        <v>6825</v>
      </c>
      <c r="C6830" s="4">
        <v>226.03928967295084</v>
      </c>
      <c r="D6830" s="45"/>
    </row>
    <row r="6831" spans="2:4" ht="16" thickBot="1" x14ac:dyDescent="0.25">
      <c r="B6831" s="5">
        <v>6826</v>
      </c>
      <c r="C6831" s="5">
        <v>184.20337584153836</v>
      </c>
      <c r="D6831" s="45"/>
    </row>
    <row r="6832" spans="2:4" ht="16" thickBot="1" x14ac:dyDescent="0.25">
      <c r="B6832" s="4">
        <v>6827</v>
      </c>
      <c r="C6832" s="4">
        <v>71.612855381532327</v>
      </c>
      <c r="D6832" s="45"/>
    </row>
    <row r="6833" spans="2:4" ht="16" thickBot="1" x14ac:dyDescent="0.25">
      <c r="B6833" s="5">
        <v>6828</v>
      </c>
      <c r="C6833" s="5">
        <v>176.97296415995118</v>
      </c>
      <c r="D6833" s="45"/>
    </row>
    <row r="6834" spans="2:4" ht="16" thickBot="1" x14ac:dyDescent="0.25">
      <c r="B6834" s="4">
        <v>6829</v>
      </c>
      <c r="C6834" s="4">
        <v>274.12202823558522</v>
      </c>
      <c r="D6834" s="45"/>
    </row>
    <row r="6835" spans="2:4" ht="16" thickBot="1" x14ac:dyDescent="0.25">
      <c r="B6835" s="5">
        <v>6830</v>
      </c>
      <c r="C6835" s="5">
        <v>194.90724781450902</v>
      </c>
      <c r="D6835" s="45"/>
    </row>
    <row r="6836" spans="2:4" ht="16" thickBot="1" x14ac:dyDescent="0.25">
      <c r="B6836" s="4">
        <v>6831</v>
      </c>
      <c r="C6836" s="4">
        <v>246.48283864341684</v>
      </c>
      <c r="D6836" s="45"/>
    </row>
    <row r="6837" spans="2:4" ht="16" thickBot="1" x14ac:dyDescent="0.25">
      <c r="B6837" s="5">
        <v>6832</v>
      </c>
      <c r="C6837" s="5">
        <v>243.62473940597607</v>
      </c>
      <c r="D6837" s="45"/>
    </row>
    <row r="6838" spans="2:4" ht="16" thickBot="1" x14ac:dyDescent="0.25">
      <c r="B6838" s="4">
        <v>6833</v>
      </c>
      <c r="C6838" s="4">
        <v>83.566969930642784</v>
      </c>
      <c r="D6838" s="45"/>
    </row>
    <row r="6839" spans="2:4" ht="16" thickBot="1" x14ac:dyDescent="0.25">
      <c r="B6839" s="5">
        <v>6834</v>
      </c>
      <c r="C6839" s="5">
        <v>228.9393299477033</v>
      </c>
      <c r="D6839" s="45"/>
    </row>
    <row r="6840" spans="2:4" ht="16" thickBot="1" x14ac:dyDescent="0.25">
      <c r="B6840" s="4">
        <v>6835</v>
      </c>
      <c r="C6840" s="4">
        <v>169.16755752586278</v>
      </c>
      <c r="D6840" s="45"/>
    </row>
    <row r="6841" spans="2:4" ht="16" thickBot="1" x14ac:dyDescent="0.25">
      <c r="B6841" s="5">
        <v>6836</v>
      </c>
      <c r="C6841" s="5">
        <v>49.561837783524091</v>
      </c>
      <c r="D6841" s="45"/>
    </row>
    <row r="6842" spans="2:4" ht="16" thickBot="1" x14ac:dyDescent="0.25">
      <c r="B6842" s="4">
        <v>6837</v>
      </c>
      <c r="C6842" s="4">
        <v>191.34524184686973</v>
      </c>
      <c r="D6842" s="45"/>
    </row>
    <row r="6843" spans="2:4" ht="16" thickBot="1" x14ac:dyDescent="0.25">
      <c r="B6843" s="5">
        <v>6838</v>
      </c>
      <c r="C6843" s="5">
        <v>84.631292065752206</v>
      </c>
      <c r="D6843" s="45"/>
    </row>
    <row r="6844" spans="2:4" ht="16" thickBot="1" x14ac:dyDescent="0.25">
      <c r="B6844" s="4">
        <v>6839</v>
      </c>
      <c r="C6844" s="4">
        <v>175.81589417183932</v>
      </c>
      <c r="D6844" s="45"/>
    </row>
    <row r="6845" spans="2:4" ht="16" thickBot="1" x14ac:dyDescent="0.25">
      <c r="B6845" s="5">
        <v>6840</v>
      </c>
      <c r="C6845" s="5">
        <v>116.54585270716171</v>
      </c>
      <c r="D6845" s="45"/>
    </row>
    <row r="6846" spans="2:4" ht="16" thickBot="1" x14ac:dyDescent="0.25">
      <c r="B6846" s="4">
        <v>6841</v>
      </c>
      <c r="C6846" s="4">
        <v>269.82348188986742</v>
      </c>
      <c r="D6846" s="45"/>
    </row>
    <row r="6847" spans="2:4" ht="16" thickBot="1" x14ac:dyDescent="0.25">
      <c r="B6847" s="5">
        <v>6842</v>
      </c>
      <c r="C6847" s="5">
        <v>265.57974121272304</v>
      </c>
      <c r="D6847" s="45"/>
    </row>
    <row r="6848" spans="2:4" ht="16" thickBot="1" x14ac:dyDescent="0.25">
      <c r="B6848" s="4">
        <v>6843</v>
      </c>
      <c r="C6848" s="4">
        <v>110.12970352751573</v>
      </c>
      <c r="D6848" s="45"/>
    </row>
    <row r="6849" spans="2:4" ht="16" thickBot="1" x14ac:dyDescent="0.25">
      <c r="B6849" s="5">
        <v>6844</v>
      </c>
      <c r="C6849" s="5">
        <v>118.03245347915346</v>
      </c>
      <c r="D6849" s="45"/>
    </row>
    <row r="6850" spans="2:4" ht="16" thickBot="1" x14ac:dyDescent="0.25">
      <c r="B6850" s="4">
        <v>6845</v>
      </c>
      <c r="C6850" s="4">
        <v>261.80694027976324</v>
      </c>
      <c r="D6850" s="45"/>
    </row>
    <row r="6851" spans="2:4" ht="16" thickBot="1" x14ac:dyDescent="0.25">
      <c r="B6851" s="5">
        <v>6846</v>
      </c>
      <c r="C6851" s="5">
        <v>276.6751803423258</v>
      </c>
      <c r="D6851" s="45"/>
    </row>
    <row r="6852" spans="2:4" ht="16" thickBot="1" x14ac:dyDescent="0.25">
      <c r="B6852" s="4">
        <v>6847</v>
      </c>
      <c r="C6852" s="4">
        <v>124.55826825056019</v>
      </c>
      <c r="D6852" s="45"/>
    </row>
    <row r="6853" spans="2:4" ht="16" thickBot="1" x14ac:dyDescent="0.25">
      <c r="B6853" s="5">
        <v>6848</v>
      </c>
      <c r="C6853" s="5">
        <v>241.3826891018378</v>
      </c>
      <c r="D6853" s="45"/>
    </row>
    <row r="6854" spans="2:4" ht="16" thickBot="1" x14ac:dyDescent="0.25">
      <c r="B6854" s="4">
        <v>6849</v>
      </c>
      <c r="C6854" s="4">
        <v>82.869083054998725</v>
      </c>
      <c r="D6854" s="45"/>
    </row>
    <row r="6855" spans="2:4" ht="16" thickBot="1" x14ac:dyDescent="0.25">
      <c r="B6855" s="5">
        <v>6850</v>
      </c>
      <c r="C6855" s="5">
        <v>165.35048326711777</v>
      </c>
      <c r="D6855" s="45"/>
    </row>
    <row r="6856" spans="2:4" ht="16" thickBot="1" x14ac:dyDescent="0.25">
      <c r="B6856" s="4">
        <v>6851</v>
      </c>
      <c r="C6856" s="4">
        <v>250.20542290138459</v>
      </c>
      <c r="D6856" s="45"/>
    </row>
    <row r="6857" spans="2:4" ht="16" thickBot="1" x14ac:dyDescent="0.25">
      <c r="B6857" s="5">
        <v>6852</v>
      </c>
      <c r="C6857" s="5">
        <v>156.56829672322851</v>
      </c>
      <c r="D6857" s="45"/>
    </row>
    <row r="6858" spans="2:4" ht="16" thickBot="1" x14ac:dyDescent="0.25">
      <c r="B6858" s="4">
        <v>6853</v>
      </c>
      <c r="C6858" s="4">
        <v>133.25855247839041</v>
      </c>
      <c r="D6858" s="45"/>
    </row>
    <row r="6859" spans="2:4" ht="16" thickBot="1" x14ac:dyDescent="0.25">
      <c r="B6859" s="5">
        <v>6854</v>
      </c>
      <c r="C6859" s="5">
        <v>246.19193352490913</v>
      </c>
      <c r="D6859" s="45"/>
    </row>
    <row r="6860" spans="2:4" ht="16" thickBot="1" x14ac:dyDescent="0.25">
      <c r="B6860" s="4">
        <v>6855</v>
      </c>
      <c r="C6860" s="4">
        <v>91.208137747191429</v>
      </c>
      <c r="D6860" s="45"/>
    </row>
    <row r="6861" spans="2:4" ht="16" thickBot="1" x14ac:dyDescent="0.25">
      <c r="B6861" s="5">
        <v>6856</v>
      </c>
      <c r="C6861" s="5">
        <v>82.496615294082929</v>
      </c>
      <c r="D6861" s="45"/>
    </row>
    <row r="6862" spans="2:4" ht="16" thickBot="1" x14ac:dyDescent="0.25">
      <c r="B6862" s="4">
        <v>6857</v>
      </c>
      <c r="C6862" s="4">
        <v>78.517097276537356</v>
      </c>
      <c r="D6862" s="45"/>
    </row>
    <row r="6863" spans="2:4" ht="16" thickBot="1" x14ac:dyDescent="0.25">
      <c r="B6863" s="5">
        <v>6858</v>
      </c>
      <c r="C6863" s="5">
        <v>92.388456190631715</v>
      </c>
      <c r="D6863" s="45"/>
    </row>
    <row r="6864" spans="2:4" ht="16" thickBot="1" x14ac:dyDescent="0.25">
      <c r="B6864" s="4">
        <v>6859</v>
      </c>
      <c r="C6864" s="4">
        <v>127.27659115347659</v>
      </c>
      <c r="D6864" s="45"/>
    </row>
    <row r="6865" spans="2:4" ht="16" thickBot="1" x14ac:dyDescent="0.25">
      <c r="B6865" s="5">
        <v>6860</v>
      </c>
      <c r="C6865" s="5">
        <v>94.950590073456411</v>
      </c>
      <c r="D6865" s="45"/>
    </row>
    <row r="6866" spans="2:4" ht="16" thickBot="1" x14ac:dyDescent="0.25">
      <c r="B6866" s="4">
        <v>6861</v>
      </c>
      <c r="C6866" s="4">
        <v>90.503226544019441</v>
      </c>
      <c r="D6866" s="45"/>
    </row>
    <row r="6867" spans="2:4" ht="16" thickBot="1" x14ac:dyDescent="0.25">
      <c r="B6867" s="5">
        <v>6862</v>
      </c>
      <c r="C6867" s="5">
        <v>229.80995458844123</v>
      </c>
      <c r="D6867" s="45"/>
    </row>
    <row r="6868" spans="2:4" ht="16" thickBot="1" x14ac:dyDescent="0.25">
      <c r="B6868" s="4">
        <v>6863</v>
      </c>
      <c r="C6868" s="4">
        <v>70.557913127061497</v>
      </c>
      <c r="D6868" s="45"/>
    </row>
    <row r="6869" spans="2:4" ht="16" thickBot="1" x14ac:dyDescent="0.25">
      <c r="B6869" s="5">
        <v>6864</v>
      </c>
      <c r="C6869" s="5">
        <v>144.05785558268266</v>
      </c>
      <c r="D6869" s="45"/>
    </row>
    <row r="6870" spans="2:4" ht="16" thickBot="1" x14ac:dyDescent="0.25">
      <c r="B6870" s="4">
        <v>6865</v>
      </c>
      <c r="C6870" s="4">
        <v>163.85650827414327</v>
      </c>
      <c r="D6870" s="45"/>
    </row>
    <row r="6871" spans="2:4" ht="16" thickBot="1" x14ac:dyDescent="0.25">
      <c r="B6871" s="5">
        <v>6866</v>
      </c>
      <c r="C6871" s="5">
        <v>269.08719673518959</v>
      </c>
      <c r="D6871" s="45"/>
    </row>
    <row r="6872" spans="2:4" ht="16" thickBot="1" x14ac:dyDescent="0.25">
      <c r="B6872" s="4">
        <v>6867</v>
      </c>
      <c r="C6872" s="4">
        <v>185.50017426361651</v>
      </c>
      <c r="D6872" s="45"/>
    </row>
    <row r="6873" spans="2:4" ht="16" thickBot="1" x14ac:dyDescent="0.25">
      <c r="B6873" s="5">
        <v>6868</v>
      </c>
      <c r="C6873" s="5">
        <v>273.55137654255662</v>
      </c>
      <c r="D6873" s="45"/>
    </row>
    <row r="6874" spans="2:4" ht="16" thickBot="1" x14ac:dyDescent="0.25">
      <c r="B6874" s="4">
        <v>6869</v>
      </c>
      <c r="C6874" s="4">
        <v>191.35064305808328</v>
      </c>
      <c r="D6874" s="45"/>
    </row>
    <row r="6875" spans="2:4" ht="16" thickBot="1" x14ac:dyDescent="0.25">
      <c r="B6875" s="5">
        <v>6870</v>
      </c>
      <c r="C6875" s="5">
        <v>100.17641861367512</v>
      </c>
      <c r="D6875" s="45"/>
    </row>
    <row r="6876" spans="2:4" ht="16" thickBot="1" x14ac:dyDescent="0.25">
      <c r="B6876" s="4">
        <v>6871</v>
      </c>
      <c r="C6876" s="4">
        <v>132.96618982532121</v>
      </c>
      <c r="D6876" s="45"/>
    </row>
    <row r="6877" spans="2:4" ht="16" thickBot="1" x14ac:dyDescent="0.25">
      <c r="B6877" s="5">
        <v>6872</v>
      </c>
      <c r="C6877" s="5">
        <v>210.68871503797999</v>
      </c>
      <c r="D6877" s="45"/>
    </row>
    <row r="6878" spans="2:4" ht="16" thickBot="1" x14ac:dyDescent="0.25">
      <c r="B6878" s="4">
        <v>6873</v>
      </c>
      <c r="C6878" s="4">
        <v>71.35850841058037</v>
      </c>
      <c r="D6878" s="45"/>
    </row>
    <row r="6879" spans="2:4" ht="16" thickBot="1" x14ac:dyDescent="0.25">
      <c r="B6879" s="5">
        <v>6874</v>
      </c>
      <c r="C6879" s="5">
        <v>138.57991004378167</v>
      </c>
      <c r="D6879" s="45"/>
    </row>
    <row r="6880" spans="2:4" ht="16" thickBot="1" x14ac:dyDescent="0.25">
      <c r="B6880" s="4">
        <v>6875</v>
      </c>
      <c r="C6880" s="4">
        <v>106.89763694147308</v>
      </c>
      <c r="D6880" s="45"/>
    </row>
    <row r="6881" spans="2:4" ht="16" thickBot="1" x14ac:dyDescent="0.25">
      <c r="B6881" s="5">
        <v>6876</v>
      </c>
      <c r="C6881" s="5">
        <v>124.42682187519962</v>
      </c>
      <c r="D6881" s="45"/>
    </row>
    <row r="6882" spans="2:4" ht="16" thickBot="1" x14ac:dyDescent="0.25">
      <c r="B6882" s="4">
        <v>6877</v>
      </c>
      <c r="C6882" s="4">
        <v>138.00747675237596</v>
      </c>
      <c r="D6882" s="45"/>
    </row>
    <row r="6883" spans="2:4" ht="16" thickBot="1" x14ac:dyDescent="0.25">
      <c r="B6883" s="5">
        <v>6878</v>
      </c>
      <c r="C6883" s="5">
        <v>100.16957127437804</v>
      </c>
      <c r="D6883" s="45"/>
    </row>
    <row r="6884" spans="2:4" ht="16" thickBot="1" x14ac:dyDescent="0.25">
      <c r="B6884" s="4">
        <v>6879</v>
      </c>
      <c r="C6884" s="4">
        <v>58.195931247744184</v>
      </c>
      <c r="D6884" s="45"/>
    </row>
    <row r="6885" spans="2:4" ht="16" thickBot="1" x14ac:dyDescent="0.25">
      <c r="B6885" s="5">
        <v>6880</v>
      </c>
      <c r="C6885" s="5">
        <v>277.30755819529259</v>
      </c>
      <c r="D6885" s="45"/>
    </row>
    <row r="6886" spans="2:4" ht="16" thickBot="1" x14ac:dyDescent="0.25">
      <c r="B6886" s="4">
        <v>6881</v>
      </c>
      <c r="C6886" s="4">
        <v>163.88446698657097</v>
      </c>
      <c r="D6886" s="45"/>
    </row>
    <row r="6887" spans="2:4" ht="16" thickBot="1" x14ac:dyDescent="0.25">
      <c r="B6887" s="5">
        <v>6882</v>
      </c>
      <c r="C6887" s="5">
        <v>165.38352571499823</v>
      </c>
      <c r="D6887" s="45"/>
    </row>
    <row r="6888" spans="2:4" ht="16" thickBot="1" x14ac:dyDescent="0.25">
      <c r="B6888" s="4">
        <v>6883</v>
      </c>
      <c r="C6888" s="4">
        <v>177.92299182209152</v>
      </c>
      <c r="D6888" s="45"/>
    </row>
    <row r="6889" spans="2:4" ht="16" thickBot="1" x14ac:dyDescent="0.25">
      <c r="B6889" s="5">
        <v>6884</v>
      </c>
      <c r="C6889" s="5">
        <v>162.68920371103624</v>
      </c>
      <c r="D6889" s="45"/>
    </row>
    <row r="6890" spans="2:4" ht="16" thickBot="1" x14ac:dyDescent="0.25">
      <c r="B6890" s="4">
        <v>6885</v>
      </c>
      <c r="C6890" s="4">
        <v>169.96149491425859</v>
      </c>
      <c r="D6890" s="45"/>
    </row>
    <row r="6891" spans="2:4" ht="16" thickBot="1" x14ac:dyDescent="0.25">
      <c r="B6891" s="5">
        <v>6886</v>
      </c>
      <c r="C6891" s="5">
        <v>504.75974600424234</v>
      </c>
      <c r="D6891" s="45"/>
    </row>
    <row r="6892" spans="2:4" ht="16" thickBot="1" x14ac:dyDescent="0.25">
      <c r="B6892" s="4">
        <v>6887</v>
      </c>
      <c r="C6892" s="4">
        <v>95.908337001405656</v>
      </c>
      <c r="D6892" s="45"/>
    </row>
    <row r="6893" spans="2:4" ht="16" thickBot="1" x14ac:dyDescent="0.25">
      <c r="B6893" s="5">
        <v>6888</v>
      </c>
      <c r="C6893" s="5">
        <v>142.2047791308571</v>
      </c>
      <c r="D6893" s="45"/>
    </row>
    <row r="6894" spans="2:4" ht="16" thickBot="1" x14ac:dyDescent="0.25">
      <c r="B6894" s="4">
        <v>6889</v>
      </c>
      <c r="C6894" s="4">
        <v>108.35058419359554</v>
      </c>
      <c r="D6894" s="45"/>
    </row>
    <row r="6895" spans="2:4" ht="16" thickBot="1" x14ac:dyDescent="0.25">
      <c r="B6895" s="5">
        <v>6890</v>
      </c>
      <c r="C6895" s="5">
        <v>207.97402946868223</v>
      </c>
      <c r="D6895" s="45"/>
    </row>
    <row r="6896" spans="2:4" ht="16" thickBot="1" x14ac:dyDescent="0.25">
      <c r="B6896" s="4">
        <v>6891</v>
      </c>
      <c r="C6896" s="4">
        <v>138.13787892959186</v>
      </c>
      <c r="D6896" s="45"/>
    </row>
    <row r="6897" spans="2:4" ht="16" thickBot="1" x14ac:dyDescent="0.25">
      <c r="B6897" s="5">
        <v>6892</v>
      </c>
      <c r="C6897" s="5">
        <v>384.23002101227388</v>
      </c>
      <c r="D6897" s="45"/>
    </row>
    <row r="6898" spans="2:4" ht="16" thickBot="1" x14ac:dyDescent="0.25">
      <c r="B6898" s="4">
        <v>6893</v>
      </c>
      <c r="C6898" s="4">
        <v>99.071590181170777</v>
      </c>
      <c r="D6898" s="45"/>
    </row>
    <row r="6899" spans="2:4" ht="16" thickBot="1" x14ac:dyDescent="0.25">
      <c r="B6899" s="5">
        <v>6894</v>
      </c>
      <c r="C6899" s="5">
        <v>333.14913012527688</v>
      </c>
      <c r="D6899" s="45"/>
    </row>
    <row r="6900" spans="2:4" ht="16" thickBot="1" x14ac:dyDescent="0.25">
      <c r="B6900" s="4">
        <v>6895</v>
      </c>
      <c r="C6900" s="4">
        <v>372.01152080272806</v>
      </c>
      <c r="D6900" s="45"/>
    </row>
    <row r="6901" spans="2:4" ht="16" thickBot="1" x14ac:dyDescent="0.25">
      <c r="B6901" s="5">
        <v>6896</v>
      </c>
      <c r="C6901" s="5">
        <v>104.2152879274872</v>
      </c>
      <c r="D6901" s="45"/>
    </row>
    <row r="6902" spans="2:4" ht="16" thickBot="1" x14ac:dyDescent="0.25">
      <c r="B6902" s="4">
        <v>6897</v>
      </c>
      <c r="C6902" s="4">
        <v>107.48280630460405</v>
      </c>
      <c r="D6902" s="45"/>
    </row>
    <row r="6903" spans="2:4" ht="16" thickBot="1" x14ac:dyDescent="0.25">
      <c r="B6903" s="5">
        <v>6898</v>
      </c>
      <c r="C6903" s="5">
        <v>221.28120446741158</v>
      </c>
      <c r="D6903" s="45"/>
    </row>
    <row r="6904" spans="2:4" ht="16" thickBot="1" x14ac:dyDescent="0.25">
      <c r="B6904" s="4">
        <v>6899</v>
      </c>
      <c r="C6904" s="4">
        <v>362.31403348651736</v>
      </c>
      <c r="D6904" s="45"/>
    </row>
    <row r="6905" spans="2:4" ht="16" thickBot="1" x14ac:dyDescent="0.25">
      <c r="B6905" s="5">
        <v>6900</v>
      </c>
      <c r="C6905" s="5">
        <v>69.068005143180969</v>
      </c>
      <c r="D6905" s="45"/>
    </row>
    <row r="6906" spans="2:4" ht="16" thickBot="1" x14ac:dyDescent="0.25">
      <c r="B6906" s="4">
        <v>6901</v>
      </c>
      <c r="C6906" s="4">
        <v>119.89449530528927</v>
      </c>
      <c r="D6906" s="45"/>
    </row>
    <row r="6907" spans="2:4" ht="16" thickBot="1" x14ac:dyDescent="0.25">
      <c r="B6907" s="5">
        <v>6902</v>
      </c>
      <c r="C6907" s="5">
        <v>132.45520025781741</v>
      </c>
      <c r="D6907" s="45"/>
    </row>
    <row r="6908" spans="2:4" ht="16" thickBot="1" x14ac:dyDescent="0.25">
      <c r="B6908" s="4">
        <v>6903</v>
      </c>
      <c r="C6908" s="4">
        <v>258.32443408267329</v>
      </c>
      <c r="D6908" s="45"/>
    </row>
    <row r="6909" spans="2:4" ht="16" thickBot="1" x14ac:dyDescent="0.25">
      <c r="B6909" s="5">
        <v>6904</v>
      </c>
      <c r="C6909" s="5">
        <v>88.299278078427704</v>
      </c>
      <c r="D6909" s="45"/>
    </row>
    <row r="6910" spans="2:4" ht="16" thickBot="1" x14ac:dyDescent="0.25">
      <c r="B6910" s="4">
        <v>6905</v>
      </c>
      <c r="C6910" s="4">
        <v>210.42245551917094</v>
      </c>
      <c r="D6910" s="45"/>
    </row>
    <row r="6911" spans="2:4" ht="16" thickBot="1" x14ac:dyDescent="0.25">
      <c r="B6911" s="5">
        <v>6906</v>
      </c>
      <c r="C6911" s="5">
        <v>155.23121342523444</v>
      </c>
      <c r="D6911" s="45"/>
    </row>
    <row r="6912" spans="2:4" ht="16" thickBot="1" x14ac:dyDescent="0.25">
      <c r="B6912" s="4">
        <v>6907</v>
      </c>
      <c r="C6912" s="4">
        <v>113.01665042843251</v>
      </c>
      <c r="D6912" s="45"/>
    </row>
    <row r="6913" spans="2:4" ht="16" thickBot="1" x14ac:dyDescent="0.25">
      <c r="B6913" s="5">
        <v>6908</v>
      </c>
      <c r="C6913" s="5">
        <v>60.837267854810158</v>
      </c>
      <c r="D6913" s="45"/>
    </row>
    <row r="6914" spans="2:4" ht="16" thickBot="1" x14ac:dyDescent="0.25">
      <c r="B6914" s="4">
        <v>6909</v>
      </c>
      <c r="C6914" s="4">
        <v>186.91557948874643</v>
      </c>
      <c r="D6914" s="45"/>
    </row>
    <row r="6915" spans="2:4" ht="16" thickBot="1" x14ac:dyDescent="0.25">
      <c r="B6915" s="5">
        <v>6910</v>
      </c>
      <c r="C6915" s="5">
        <v>139.03835033384846</v>
      </c>
      <c r="D6915" s="45"/>
    </row>
    <row r="6916" spans="2:4" ht="16" thickBot="1" x14ac:dyDescent="0.25">
      <c r="B6916" s="4">
        <v>6911</v>
      </c>
      <c r="C6916" s="4">
        <v>165.98821429665355</v>
      </c>
      <c r="D6916" s="45"/>
    </row>
    <row r="6917" spans="2:4" ht="16" thickBot="1" x14ac:dyDescent="0.25">
      <c r="B6917" s="5">
        <v>6912</v>
      </c>
      <c r="C6917" s="5">
        <v>254.6700342793531</v>
      </c>
      <c r="D6917" s="45"/>
    </row>
    <row r="6918" spans="2:4" ht="16" thickBot="1" x14ac:dyDescent="0.25">
      <c r="B6918" s="4">
        <v>6913</v>
      </c>
      <c r="C6918" s="4">
        <v>42.723647303493237</v>
      </c>
      <c r="D6918" s="45"/>
    </row>
    <row r="6919" spans="2:4" ht="16" thickBot="1" x14ac:dyDescent="0.25">
      <c r="B6919" s="5">
        <v>6914</v>
      </c>
      <c r="C6919" s="5">
        <v>77.592696668190811</v>
      </c>
      <c r="D6919" s="45"/>
    </row>
    <row r="6920" spans="2:4" ht="16" thickBot="1" x14ac:dyDescent="0.25">
      <c r="B6920" s="4">
        <v>6915</v>
      </c>
      <c r="C6920" s="4">
        <v>184.87402522446288</v>
      </c>
      <c r="D6920" s="45"/>
    </row>
    <row r="6921" spans="2:4" ht="16" thickBot="1" x14ac:dyDescent="0.25">
      <c r="B6921" s="5">
        <v>6916</v>
      </c>
      <c r="C6921" s="5">
        <v>93.260113688826323</v>
      </c>
      <c r="D6921" s="45"/>
    </row>
    <row r="6922" spans="2:4" ht="16" thickBot="1" x14ac:dyDescent="0.25">
      <c r="B6922" s="4">
        <v>6917</v>
      </c>
      <c r="C6922" s="4">
        <v>82.389076976314897</v>
      </c>
      <c r="D6922" s="45"/>
    </row>
    <row r="6923" spans="2:4" ht="16" thickBot="1" x14ac:dyDescent="0.25">
      <c r="B6923" s="5">
        <v>6918</v>
      </c>
      <c r="C6923" s="5">
        <v>110.79664335407509</v>
      </c>
      <c r="D6923" s="45"/>
    </row>
    <row r="6924" spans="2:4" ht="16" thickBot="1" x14ac:dyDescent="0.25">
      <c r="B6924" s="4">
        <v>6919</v>
      </c>
      <c r="C6924" s="4">
        <v>95.892157233769751</v>
      </c>
      <c r="D6924" s="45"/>
    </row>
    <row r="6925" spans="2:4" ht="16" thickBot="1" x14ac:dyDescent="0.25">
      <c r="B6925" s="5">
        <v>6920</v>
      </c>
      <c r="C6925" s="5">
        <v>260.27109661531182</v>
      </c>
      <c r="D6925" s="45"/>
    </row>
    <row r="6926" spans="2:4" ht="16" thickBot="1" x14ac:dyDescent="0.25">
      <c r="B6926" s="4">
        <v>6921</v>
      </c>
      <c r="C6926" s="4">
        <v>109.87989381438472</v>
      </c>
      <c r="D6926" s="45"/>
    </row>
    <row r="6927" spans="2:4" ht="16" thickBot="1" x14ac:dyDescent="0.25">
      <c r="B6927" s="5">
        <v>6922</v>
      </c>
      <c r="C6927" s="5">
        <v>294.09636435194585</v>
      </c>
      <c r="D6927" s="45"/>
    </row>
    <row r="6928" spans="2:4" ht="16" thickBot="1" x14ac:dyDescent="0.25">
      <c r="B6928" s="4">
        <v>6923</v>
      </c>
      <c r="C6928" s="4">
        <v>152.53234557970927</v>
      </c>
      <c r="D6928" s="45"/>
    </row>
    <row r="6929" spans="2:4" ht="16" thickBot="1" x14ac:dyDescent="0.25">
      <c r="B6929" s="5">
        <v>6924</v>
      </c>
      <c r="C6929" s="5">
        <v>262.73945603051664</v>
      </c>
      <c r="D6929" s="45"/>
    </row>
    <row r="6930" spans="2:4" ht="16" thickBot="1" x14ac:dyDescent="0.25">
      <c r="B6930" s="4">
        <v>6925</v>
      </c>
      <c r="C6930" s="4">
        <v>116.33155795642274</v>
      </c>
      <c r="D6930" s="45"/>
    </row>
    <row r="6931" spans="2:4" ht="16" thickBot="1" x14ac:dyDescent="0.25">
      <c r="B6931" s="5">
        <v>6926</v>
      </c>
      <c r="C6931" s="5">
        <v>201.42666407950486</v>
      </c>
      <c r="D6931" s="45"/>
    </row>
    <row r="6932" spans="2:4" ht="16" thickBot="1" x14ac:dyDescent="0.25">
      <c r="B6932" s="4">
        <v>6927</v>
      </c>
      <c r="C6932" s="4">
        <v>71.271552722018242</v>
      </c>
      <c r="D6932" s="45"/>
    </row>
    <row r="6933" spans="2:4" ht="16" thickBot="1" x14ac:dyDescent="0.25">
      <c r="B6933" s="5">
        <v>6928</v>
      </c>
      <c r="C6933" s="5">
        <v>100.11754823654276</v>
      </c>
      <c r="D6933" s="45"/>
    </row>
    <row r="6934" spans="2:4" ht="16" thickBot="1" x14ac:dyDescent="0.25">
      <c r="B6934" s="4">
        <v>6929</v>
      </c>
      <c r="C6934" s="4">
        <v>131.87929767957544</v>
      </c>
      <c r="D6934" s="45"/>
    </row>
    <row r="6935" spans="2:4" ht="16" thickBot="1" x14ac:dyDescent="0.25">
      <c r="B6935" s="5">
        <v>6930</v>
      </c>
      <c r="C6935" s="5">
        <v>98.023246141613143</v>
      </c>
      <c r="D6935" s="45"/>
    </row>
    <row r="6936" spans="2:4" ht="16" thickBot="1" x14ac:dyDescent="0.25">
      <c r="B6936" s="4">
        <v>6931</v>
      </c>
      <c r="C6936" s="4">
        <v>88.859553564430968</v>
      </c>
      <c r="D6936" s="45"/>
    </row>
    <row r="6937" spans="2:4" ht="16" thickBot="1" x14ac:dyDescent="0.25">
      <c r="B6937" s="5">
        <v>6932</v>
      </c>
      <c r="C6937" s="5">
        <v>138.04203866424822</v>
      </c>
      <c r="D6937" s="45"/>
    </row>
    <row r="6938" spans="2:4" ht="16" thickBot="1" x14ac:dyDescent="0.25">
      <c r="B6938" s="4">
        <v>6933</v>
      </c>
      <c r="C6938" s="4">
        <v>229.13394983008476</v>
      </c>
      <c r="D6938" s="45"/>
    </row>
    <row r="6939" spans="2:4" ht="16" thickBot="1" x14ac:dyDescent="0.25">
      <c r="B6939" s="5">
        <v>6934</v>
      </c>
      <c r="C6939" s="5">
        <v>147.18119651793594</v>
      </c>
      <c r="D6939" s="45"/>
    </row>
    <row r="6940" spans="2:4" ht="16" thickBot="1" x14ac:dyDescent="0.25">
      <c r="B6940" s="4">
        <v>6935</v>
      </c>
      <c r="C6940" s="4">
        <v>237.22691743661707</v>
      </c>
      <c r="D6940" s="45"/>
    </row>
    <row r="6941" spans="2:4" ht="16" thickBot="1" x14ac:dyDescent="0.25">
      <c r="B6941" s="5">
        <v>6936</v>
      </c>
      <c r="C6941" s="5">
        <v>106.86378628199124</v>
      </c>
      <c r="D6941" s="45"/>
    </row>
    <row r="6942" spans="2:4" ht="16" thickBot="1" x14ac:dyDescent="0.25">
      <c r="B6942" s="4">
        <v>6937</v>
      </c>
      <c r="C6942" s="4">
        <v>312.71888219783017</v>
      </c>
      <c r="D6942" s="45"/>
    </row>
    <row r="6943" spans="2:4" ht="16" thickBot="1" x14ac:dyDescent="0.25">
      <c r="B6943" s="5">
        <v>6938</v>
      </c>
      <c r="C6943" s="5">
        <v>321.88593182448579</v>
      </c>
      <c r="D6943" s="45"/>
    </row>
    <row r="6944" spans="2:4" ht="16" thickBot="1" x14ac:dyDescent="0.25">
      <c r="B6944" s="4">
        <v>6939</v>
      </c>
      <c r="C6944" s="4">
        <v>214.86002417959708</v>
      </c>
      <c r="D6944" s="45"/>
    </row>
    <row r="6945" spans="2:4" ht="16" thickBot="1" x14ac:dyDescent="0.25">
      <c r="B6945" s="5">
        <v>6940</v>
      </c>
      <c r="C6945" s="5">
        <v>183.89967285249628</v>
      </c>
      <c r="D6945" s="45"/>
    </row>
    <row r="6946" spans="2:4" ht="16" thickBot="1" x14ac:dyDescent="0.25">
      <c r="B6946" s="4">
        <v>6941</v>
      </c>
      <c r="C6946" s="4">
        <v>239.26812336497824</v>
      </c>
      <c r="D6946" s="45"/>
    </row>
    <row r="6947" spans="2:4" ht="16" thickBot="1" x14ac:dyDescent="0.25">
      <c r="B6947" s="5">
        <v>6942</v>
      </c>
      <c r="C6947" s="5">
        <v>70.99964553332272</v>
      </c>
      <c r="D6947" s="45"/>
    </row>
    <row r="6948" spans="2:4" ht="16" thickBot="1" x14ac:dyDescent="0.25">
      <c r="B6948" s="4">
        <v>6943</v>
      </c>
      <c r="C6948" s="4">
        <v>128.08347175395053</v>
      </c>
      <c r="D6948" s="45"/>
    </row>
    <row r="6949" spans="2:4" ht="16" thickBot="1" x14ac:dyDescent="0.25">
      <c r="B6949" s="5">
        <v>6944</v>
      </c>
      <c r="C6949" s="5">
        <v>190.5510419573688</v>
      </c>
      <c r="D6949" s="45"/>
    </row>
    <row r="6950" spans="2:4" ht="16" thickBot="1" x14ac:dyDescent="0.25">
      <c r="B6950" s="4">
        <v>6945</v>
      </c>
      <c r="C6950" s="4">
        <v>83.9319956354867</v>
      </c>
      <c r="D6950" s="45"/>
    </row>
    <row r="6951" spans="2:4" ht="16" thickBot="1" x14ac:dyDescent="0.25">
      <c r="B6951" s="5">
        <v>6946</v>
      </c>
      <c r="C6951" s="5">
        <v>153.39982711640613</v>
      </c>
      <c r="D6951" s="45"/>
    </row>
    <row r="6952" spans="2:4" ht="16" thickBot="1" x14ac:dyDescent="0.25">
      <c r="B6952" s="4">
        <v>6947</v>
      </c>
      <c r="C6952" s="4">
        <v>198.35671387705403</v>
      </c>
      <c r="D6952" s="45"/>
    </row>
    <row r="6953" spans="2:4" ht="16" thickBot="1" x14ac:dyDescent="0.25">
      <c r="B6953" s="5">
        <v>6948</v>
      </c>
      <c r="C6953" s="5">
        <v>183.26925158413874</v>
      </c>
      <c r="D6953" s="45"/>
    </row>
    <row r="6954" spans="2:4" ht="16" thickBot="1" x14ac:dyDescent="0.25">
      <c r="B6954" s="4">
        <v>6949</v>
      </c>
      <c r="C6954" s="4">
        <v>115.12022660629945</v>
      </c>
      <c r="D6954" s="45"/>
    </row>
    <row r="6955" spans="2:4" ht="16" thickBot="1" x14ac:dyDescent="0.25">
      <c r="B6955" s="5">
        <v>6950</v>
      </c>
      <c r="C6955" s="5">
        <v>239.37294176800566</v>
      </c>
      <c r="D6955" s="45"/>
    </row>
    <row r="6956" spans="2:4" ht="16" thickBot="1" x14ac:dyDescent="0.25">
      <c r="B6956" s="4">
        <v>6951</v>
      </c>
      <c r="C6956" s="4">
        <v>162.64603960310745</v>
      </c>
      <c r="D6956" s="45"/>
    </row>
    <row r="6957" spans="2:4" ht="16" thickBot="1" x14ac:dyDescent="0.25">
      <c r="B6957" s="5">
        <v>6952</v>
      </c>
      <c r="C6957" s="5">
        <v>240.78350311810019</v>
      </c>
      <c r="D6957" s="45"/>
    </row>
    <row r="6958" spans="2:4" ht="16" thickBot="1" x14ac:dyDescent="0.25">
      <c r="B6958" s="4">
        <v>6953</v>
      </c>
      <c r="C6958" s="4">
        <v>66.550127827164943</v>
      </c>
      <c r="D6958" s="45"/>
    </row>
    <row r="6959" spans="2:4" ht="16" thickBot="1" x14ac:dyDescent="0.25">
      <c r="B6959" s="5">
        <v>6954</v>
      </c>
      <c r="C6959" s="5">
        <v>157.97997161346183</v>
      </c>
      <c r="D6959" s="45"/>
    </row>
    <row r="6960" spans="2:4" ht="16" thickBot="1" x14ac:dyDescent="0.25">
      <c r="B6960" s="4">
        <v>6955</v>
      </c>
      <c r="C6960" s="4">
        <v>133.68082199937678</v>
      </c>
      <c r="D6960" s="45"/>
    </row>
    <row r="6961" spans="2:4" ht="16" thickBot="1" x14ac:dyDescent="0.25">
      <c r="B6961" s="5">
        <v>6956</v>
      </c>
      <c r="C6961" s="5">
        <v>118.78314852715958</v>
      </c>
      <c r="D6961" s="45"/>
    </row>
    <row r="6962" spans="2:4" ht="16" thickBot="1" x14ac:dyDescent="0.25">
      <c r="B6962" s="4">
        <v>6957</v>
      </c>
      <c r="C6962" s="4">
        <v>110.46028680983753</v>
      </c>
      <c r="D6962" s="45"/>
    </row>
    <row r="6963" spans="2:4" ht="16" thickBot="1" x14ac:dyDescent="0.25">
      <c r="B6963" s="5">
        <v>6958</v>
      </c>
      <c r="C6963" s="5">
        <v>130.04698208888053</v>
      </c>
      <c r="D6963" s="45"/>
    </row>
    <row r="6964" spans="2:4" ht="16" thickBot="1" x14ac:dyDescent="0.25">
      <c r="B6964" s="4">
        <v>6959</v>
      </c>
      <c r="C6964" s="4">
        <v>108.93593983996554</v>
      </c>
      <c r="D6964" s="45"/>
    </row>
    <row r="6965" spans="2:4" ht="16" thickBot="1" x14ac:dyDescent="0.25">
      <c r="B6965" s="5">
        <v>6960</v>
      </c>
      <c r="C6965" s="5">
        <v>125.46698270984737</v>
      </c>
      <c r="D6965" s="45"/>
    </row>
    <row r="6966" spans="2:4" ht="16" thickBot="1" x14ac:dyDescent="0.25">
      <c r="B6966" s="4">
        <v>6961</v>
      </c>
      <c r="C6966" s="4">
        <v>124.26485482201909</v>
      </c>
      <c r="D6966" s="45"/>
    </row>
    <row r="6967" spans="2:4" ht="16" thickBot="1" x14ac:dyDescent="0.25">
      <c r="B6967" s="5">
        <v>6962</v>
      </c>
      <c r="C6967" s="5">
        <v>101.80841455406953</v>
      </c>
      <c r="D6967" s="45"/>
    </row>
    <row r="6968" spans="2:4" ht="16" thickBot="1" x14ac:dyDescent="0.25">
      <c r="B6968" s="4">
        <v>6963</v>
      </c>
      <c r="C6968" s="4">
        <v>109.72832054920664</v>
      </c>
      <c r="D6968" s="45"/>
    </row>
    <row r="6969" spans="2:4" ht="16" thickBot="1" x14ac:dyDescent="0.25">
      <c r="B6969" s="5">
        <v>6964</v>
      </c>
      <c r="C6969" s="5">
        <v>87.250800200516537</v>
      </c>
      <c r="D6969" s="45"/>
    </row>
    <row r="6970" spans="2:4" ht="16" thickBot="1" x14ac:dyDescent="0.25">
      <c r="B6970" s="4">
        <v>6965</v>
      </c>
      <c r="C6970" s="4">
        <v>157.87337623355435</v>
      </c>
      <c r="D6970" s="45"/>
    </row>
    <row r="6971" spans="2:4" ht="16" thickBot="1" x14ac:dyDescent="0.25">
      <c r="B6971" s="5">
        <v>6966</v>
      </c>
      <c r="C6971" s="5">
        <v>342.14802811332305</v>
      </c>
      <c r="D6971" s="45"/>
    </row>
    <row r="6972" spans="2:4" ht="16" thickBot="1" x14ac:dyDescent="0.25">
      <c r="B6972" s="4">
        <v>6967</v>
      </c>
      <c r="C6972" s="4">
        <v>145.53062665663785</v>
      </c>
      <c r="D6972" s="45"/>
    </row>
    <row r="6973" spans="2:4" ht="16" thickBot="1" x14ac:dyDescent="0.25">
      <c r="B6973" s="5">
        <v>6968</v>
      </c>
      <c r="C6973" s="5">
        <v>177.86541890623295</v>
      </c>
      <c r="D6973" s="45"/>
    </row>
    <row r="6974" spans="2:4" ht="16" thickBot="1" x14ac:dyDescent="0.25">
      <c r="B6974" s="4">
        <v>6969</v>
      </c>
      <c r="C6974" s="4">
        <v>124.1538397985275</v>
      </c>
      <c r="D6974" s="45"/>
    </row>
    <row r="6975" spans="2:4" ht="16" thickBot="1" x14ac:dyDescent="0.25">
      <c r="B6975" s="5">
        <v>6970</v>
      </c>
      <c r="C6975" s="5">
        <v>400.01020822256629</v>
      </c>
      <c r="D6975" s="45"/>
    </row>
    <row r="6976" spans="2:4" ht="16" thickBot="1" x14ac:dyDescent="0.25">
      <c r="B6976" s="4">
        <v>6971</v>
      </c>
      <c r="C6976" s="4">
        <v>193.90447141298088</v>
      </c>
      <c r="D6976" s="45"/>
    </row>
    <row r="6977" spans="2:4" ht="16" thickBot="1" x14ac:dyDescent="0.25">
      <c r="B6977" s="5">
        <v>6972</v>
      </c>
      <c r="C6977" s="5">
        <v>154.79725811466096</v>
      </c>
      <c r="D6977" s="45"/>
    </row>
    <row r="6978" spans="2:4" ht="16" thickBot="1" x14ac:dyDescent="0.25">
      <c r="B6978" s="4">
        <v>6973</v>
      </c>
      <c r="C6978" s="4">
        <v>186.66469259072846</v>
      </c>
      <c r="D6978" s="45"/>
    </row>
    <row r="6979" spans="2:4" ht="16" thickBot="1" x14ac:dyDescent="0.25">
      <c r="B6979" s="5">
        <v>6974</v>
      </c>
      <c r="C6979" s="5">
        <v>267.70906048409842</v>
      </c>
      <c r="D6979" s="45"/>
    </row>
    <row r="6980" spans="2:4" ht="16" thickBot="1" x14ac:dyDescent="0.25">
      <c r="B6980" s="4">
        <v>6975</v>
      </c>
      <c r="C6980" s="4">
        <v>160.59117070477598</v>
      </c>
      <c r="D6980" s="45"/>
    </row>
    <row r="6981" spans="2:4" ht="16" thickBot="1" x14ac:dyDescent="0.25">
      <c r="B6981" s="5">
        <v>6976</v>
      </c>
      <c r="C6981" s="5">
        <v>263.92327224315409</v>
      </c>
      <c r="D6981" s="45"/>
    </row>
    <row r="6982" spans="2:4" ht="16" thickBot="1" x14ac:dyDescent="0.25">
      <c r="B6982" s="4">
        <v>6977</v>
      </c>
      <c r="C6982" s="4">
        <v>122.68897118477796</v>
      </c>
      <c r="D6982" s="45"/>
    </row>
    <row r="6983" spans="2:4" ht="16" thickBot="1" x14ac:dyDescent="0.25">
      <c r="B6983" s="5">
        <v>6978</v>
      </c>
      <c r="C6983" s="5">
        <v>73.323494004993051</v>
      </c>
      <c r="D6983" s="45"/>
    </row>
    <row r="6984" spans="2:4" ht="16" thickBot="1" x14ac:dyDescent="0.25">
      <c r="B6984" s="4">
        <v>6979</v>
      </c>
      <c r="C6984" s="4">
        <v>114.15865540809398</v>
      </c>
      <c r="D6984" s="45"/>
    </row>
    <row r="6985" spans="2:4" ht="16" thickBot="1" x14ac:dyDescent="0.25">
      <c r="B6985" s="5">
        <v>6980</v>
      </c>
      <c r="C6985" s="5">
        <v>174.31445873210052</v>
      </c>
      <c r="D6985" s="45"/>
    </row>
    <row r="6986" spans="2:4" ht="16" thickBot="1" x14ac:dyDescent="0.25">
      <c r="B6986" s="4">
        <v>6981</v>
      </c>
      <c r="C6986" s="4">
        <v>148.97870595816963</v>
      </c>
      <c r="D6986" s="45"/>
    </row>
    <row r="6987" spans="2:4" ht="16" thickBot="1" x14ac:dyDescent="0.25">
      <c r="B6987" s="5">
        <v>6982</v>
      </c>
      <c r="C6987" s="5">
        <v>120.61395217841731</v>
      </c>
      <c r="D6987" s="45"/>
    </row>
    <row r="6988" spans="2:4" ht="16" thickBot="1" x14ac:dyDescent="0.25">
      <c r="B6988" s="4">
        <v>6983</v>
      </c>
      <c r="C6988" s="4">
        <v>40.611979739208266</v>
      </c>
      <c r="D6988" s="45"/>
    </row>
    <row r="6989" spans="2:4" ht="16" thickBot="1" x14ac:dyDescent="0.25">
      <c r="B6989" s="5">
        <v>6984</v>
      </c>
      <c r="C6989" s="5">
        <v>151.12075697991796</v>
      </c>
      <c r="D6989" s="45"/>
    </row>
    <row r="6990" spans="2:4" ht="16" thickBot="1" x14ac:dyDescent="0.25">
      <c r="B6990" s="4">
        <v>6985</v>
      </c>
      <c r="C6990" s="4">
        <v>171.57144776700844</v>
      </c>
      <c r="D6990" s="45"/>
    </row>
    <row r="6991" spans="2:4" ht="16" thickBot="1" x14ac:dyDescent="0.25">
      <c r="B6991" s="5">
        <v>6986</v>
      </c>
      <c r="C6991" s="5">
        <v>54.551623106507115</v>
      </c>
      <c r="D6991" s="45"/>
    </row>
    <row r="6992" spans="2:4" ht="16" thickBot="1" x14ac:dyDescent="0.25">
      <c r="B6992" s="4">
        <v>6987</v>
      </c>
      <c r="C6992" s="4">
        <v>427.94265614788742</v>
      </c>
      <c r="D6992" s="45"/>
    </row>
    <row r="6993" spans="2:4" ht="16" thickBot="1" x14ac:dyDescent="0.25">
      <c r="B6993" s="5">
        <v>6988</v>
      </c>
      <c r="C6993" s="5">
        <v>77.430414344428598</v>
      </c>
      <c r="D6993" s="45"/>
    </row>
    <row r="6994" spans="2:4" ht="16" thickBot="1" x14ac:dyDescent="0.25">
      <c r="B6994" s="4">
        <v>6989</v>
      </c>
      <c r="C6994" s="4">
        <v>83.807418329500251</v>
      </c>
      <c r="D6994" s="45"/>
    </row>
    <row r="6995" spans="2:4" ht="16" thickBot="1" x14ac:dyDescent="0.25">
      <c r="B6995" s="5">
        <v>6990</v>
      </c>
      <c r="C6995" s="5">
        <v>148.35668010939355</v>
      </c>
      <c r="D6995" s="45"/>
    </row>
    <row r="6996" spans="2:4" ht="16" thickBot="1" x14ac:dyDescent="0.25">
      <c r="B6996" s="4">
        <v>6991</v>
      </c>
      <c r="C6996" s="4">
        <v>188.39926938624723</v>
      </c>
      <c r="D6996" s="45"/>
    </row>
    <row r="6997" spans="2:4" ht="16" thickBot="1" x14ac:dyDescent="0.25">
      <c r="B6997" s="5">
        <v>6992</v>
      </c>
      <c r="C6997" s="5">
        <v>157.21225127223224</v>
      </c>
      <c r="D6997" s="45"/>
    </row>
    <row r="6998" spans="2:4" ht="16" thickBot="1" x14ac:dyDescent="0.25">
      <c r="B6998" s="4">
        <v>6993</v>
      </c>
      <c r="C6998" s="4">
        <v>78.880531844483301</v>
      </c>
      <c r="D6998" s="45"/>
    </row>
    <row r="6999" spans="2:4" ht="16" thickBot="1" x14ac:dyDescent="0.25">
      <c r="B6999" s="5">
        <v>6994</v>
      </c>
      <c r="C6999" s="5">
        <v>119.90771460085749</v>
      </c>
      <c r="D6999" s="45"/>
    </row>
    <row r="7000" spans="2:4" ht="16" thickBot="1" x14ac:dyDescent="0.25">
      <c r="B7000" s="4">
        <v>6995</v>
      </c>
      <c r="C7000" s="4">
        <v>77.04531469233622</v>
      </c>
      <c r="D7000" s="45"/>
    </row>
    <row r="7001" spans="2:4" ht="16" thickBot="1" x14ac:dyDescent="0.25">
      <c r="B7001" s="5">
        <v>6996</v>
      </c>
      <c r="C7001" s="5">
        <v>113.98823730422413</v>
      </c>
      <c r="D7001" s="45"/>
    </row>
    <row r="7002" spans="2:4" ht="16" thickBot="1" x14ac:dyDescent="0.25">
      <c r="B7002" s="4">
        <v>6997</v>
      </c>
      <c r="C7002" s="4">
        <v>235.74794255350358</v>
      </c>
      <c r="D7002" s="45"/>
    </row>
    <row r="7003" spans="2:4" ht="16" thickBot="1" x14ac:dyDescent="0.25">
      <c r="B7003" s="5">
        <v>6998</v>
      </c>
      <c r="C7003" s="5">
        <v>229.84885245261498</v>
      </c>
      <c r="D7003" s="45"/>
    </row>
    <row r="7004" spans="2:4" ht="16" thickBot="1" x14ac:dyDescent="0.25">
      <c r="B7004" s="4">
        <v>6999</v>
      </c>
      <c r="C7004" s="4">
        <v>37.372596091035597</v>
      </c>
      <c r="D7004" s="45"/>
    </row>
    <row r="7005" spans="2:4" ht="16" thickBot="1" x14ac:dyDescent="0.25">
      <c r="B7005" s="5">
        <v>7000</v>
      </c>
      <c r="C7005" s="5">
        <v>160.53368555618027</v>
      </c>
      <c r="D7005" s="45"/>
    </row>
    <row r="7006" spans="2:4" ht="16" thickBot="1" x14ac:dyDescent="0.25">
      <c r="B7006" s="4">
        <v>7001</v>
      </c>
      <c r="C7006" s="4">
        <v>187.93621345114758</v>
      </c>
      <c r="D7006" s="45"/>
    </row>
    <row r="7007" spans="2:4" ht="16" thickBot="1" x14ac:dyDescent="0.25">
      <c r="B7007" s="5">
        <v>7002</v>
      </c>
      <c r="C7007" s="5">
        <v>189.25355509046616</v>
      </c>
      <c r="D7007" s="45"/>
    </row>
    <row r="7008" spans="2:4" ht="16" thickBot="1" x14ac:dyDescent="0.25">
      <c r="B7008" s="4">
        <v>7003</v>
      </c>
      <c r="C7008" s="4">
        <v>135.59634794093978</v>
      </c>
      <c r="D7008" s="45"/>
    </row>
    <row r="7009" spans="2:4" ht="16" thickBot="1" x14ac:dyDescent="0.25">
      <c r="B7009" s="5">
        <v>7004</v>
      </c>
      <c r="C7009" s="5">
        <v>81.483645755645711</v>
      </c>
      <c r="D7009" s="45"/>
    </row>
    <row r="7010" spans="2:4" ht="16" thickBot="1" x14ac:dyDescent="0.25">
      <c r="B7010" s="4">
        <v>7005</v>
      </c>
      <c r="C7010" s="4">
        <v>123.54571313602719</v>
      </c>
      <c r="D7010" s="45"/>
    </row>
    <row r="7011" spans="2:4" ht="16" thickBot="1" x14ac:dyDescent="0.25">
      <c r="B7011" s="5">
        <v>7006</v>
      </c>
      <c r="C7011" s="5">
        <v>133.51744074972896</v>
      </c>
      <c r="D7011" s="45"/>
    </row>
    <row r="7012" spans="2:4" ht="16" thickBot="1" x14ac:dyDescent="0.25">
      <c r="B7012" s="4">
        <v>7007</v>
      </c>
      <c r="C7012" s="4">
        <v>197.13598122415075</v>
      </c>
      <c r="D7012" s="45"/>
    </row>
    <row r="7013" spans="2:4" ht="16" thickBot="1" x14ac:dyDescent="0.25">
      <c r="B7013" s="5">
        <v>7008</v>
      </c>
      <c r="C7013" s="5">
        <v>167.36037331747829</v>
      </c>
      <c r="D7013" s="45"/>
    </row>
    <row r="7014" spans="2:4" ht="16" thickBot="1" x14ac:dyDescent="0.25">
      <c r="B7014" s="4">
        <v>7009</v>
      </c>
      <c r="C7014" s="4">
        <v>121.53702594239643</v>
      </c>
      <c r="D7014" s="45"/>
    </row>
    <row r="7015" spans="2:4" ht="16" thickBot="1" x14ac:dyDescent="0.25">
      <c r="B7015" s="5">
        <v>7010</v>
      </c>
      <c r="C7015" s="5">
        <v>136.26098298499227</v>
      </c>
      <c r="D7015" s="45"/>
    </row>
    <row r="7016" spans="2:4" ht="16" thickBot="1" x14ac:dyDescent="0.25">
      <c r="B7016" s="4">
        <v>7011</v>
      </c>
      <c r="C7016" s="4">
        <v>160.32037539276311</v>
      </c>
      <c r="D7016" s="45"/>
    </row>
    <row r="7017" spans="2:4" ht="16" thickBot="1" x14ac:dyDescent="0.25">
      <c r="B7017" s="5">
        <v>7012</v>
      </c>
      <c r="C7017" s="5">
        <v>121.81531588120576</v>
      </c>
      <c r="D7017" s="45"/>
    </row>
    <row r="7018" spans="2:4" ht="16" thickBot="1" x14ac:dyDescent="0.25">
      <c r="B7018" s="4">
        <v>7013</v>
      </c>
      <c r="C7018" s="4">
        <v>157.17985055492031</v>
      </c>
      <c r="D7018" s="45"/>
    </row>
    <row r="7019" spans="2:4" ht="16" thickBot="1" x14ac:dyDescent="0.25">
      <c r="B7019" s="5">
        <v>7014</v>
      </c>
      <c r="C7019" s="5">
        <v>224.73734572844924</v>
      </c>
      <c r="D7019" s="45"/>
    </row>
    <row r="7020" spans="2:4" ht="16" thickBot="1" x14ac:dyDescent="0.25">
      <c r="B7020" s="4">
        <v>7015</v>
      </c>
      <c r="C7020" s="4">
        <v>151.20056387493426</v>
      </c>
      <c r="D7020" s="45"/>
    </row>
    <row r="7021" spans="2:4" ht="16" thickBot="1" x14ac:dyDescent="0.25">
      <c r="B7021" s="5">
        <v>7016</v>
      </c>
      <c r="C7021" s="5">
        <v>341.54743121719815</v>
      </c>
      <c r="D7021" s="45"/>
    </row>
    <row r="7022" spans="2:4" ht="16" thickBot="1" x14ac:dyDescent="0.25">
      <c r="B7022" s="4">
        <v>7017</v>
      </c>
      <c r="C7022" s="4">
        <v>107.93508501838913</v>
      </c>
      <c r="D7022" s="45"/>
    </row>
    <row r="7023" spans="2:4" ht="16" thickBot="1" x14ac:dyDescent="0.25">
      <c r="B7023" s="5">
        <v>7018</v>
      </c>
      <c r="C7023" s="5">
        <v>132.95703234685973</v>
      </c>
      <c r="D7023" s="45"/>
    </row>
    <row r="7024" spans="2:4" ht="16" thickBot="1" x14ac:dyDescent="0.25">
      <c r="B7024" s="4">
        <v>7019</v>
      </c>
      <c r="C7024" s="4">
        <v>169.68059598418208</v>
      </c>
      <c r="D7024" s="45"/>
    </row>
    <row r="7025" spans="2:4" ht="16" thickBot="1" x14ac:dyDescent="0.25">
      <c r="B7025" s="5">
        <v>7020</v>
      </c>
      <c r="C7025" s="5">
        <v>104.65971965552538</v>
      </c>
      <c r="D7025" s="45"/>
    </row>
    <row r="7026" spans="2:4" ht="16" thickBot="1" x14ac:dyDescent="0.25">
      <c r="B7026" s="4">
        <v>7021</v>
      </c>
      <c r="C7026" s="4">
        <v>166.25368173511427</v>
      </c>
      <c r="D7026" s="45"/>
    </row>
    <row r="7027" spans="2:4" ht="16" thickBot="1" x14ac:dyDescent="0.25">
      <c r="B7027" s="5">
        <v>7022</v>
      </c>
      <c r="C7027" s="5">
        <v>63.661052918387803</v>
      </c>
      <c r="D7027" s="45"/>
    </row>
    <row r="7028" spans="2:4" ht="16" thickBot="1" x14ac:dyDescent="0.25">
      <c r="B7028" s="4">
        <v>7023</v>
      </c>
      <c r="C7028" s="4">
        <v>55.085995583475622</v>
      </c>
      <c r="D7028" s="45"/>
    </row>
    <row r="7029" spans="2:4" ht="16" thickBot="1" x14ac:dyDescent="0.25">
      <c r="B7029" s="5">
        <v>7024</v>
      </c>
      <c r="C7029" s="5">
        <v>382.40141725768893</v>
      </c>
      <c r="D7029" s="45"/>
    </row>
    <row r="7030" spans="2:4" ht="16" thickBot="1" x14ac:dyDescent="0.25">
      <c r="B7030" s="4">
        <v>7025</v>
      </c>
      <c r="C7030" s="4">
        <v>164.93916283794945</v>
      </c>
      <c r="D7030" s="45"/>
    </row>
    <row r="7031" spans="2:4" ht="16" thickBot="1" x14ac:dyDescent="0.25">
      <c r="B7031" s="5">
        <v>7026</v>
      </c>
      <c r="C7031" s="5">
        <v>166.94170913037371</v>
      </c>
      <c r="D7031" s="45"/>
    </row>
    <row r="7032" spans="2:4" ht="16" thickBot="1" x14ac:dyDescent="0.25">
      <c r="B7032" s="4">
        <v>7027</v>
      </c>
      <c r="C7032" s="4">
        <v>225.61055826751169</v>
      </c>
      <c r="D7032" s="45"/>
    </row>
    <row r="7033" spans="2:4" ht="16" thickBot="1" x14ac:dyDescent="0.25">
      <c r="B7033" s="5">
        <v>7028</v>
      </c>
      <c r="C7033" s="5">
        <v>151.83432018135704</v>
      </c>
      <c r="D7033" s="45"/>
    </row>
    <row r="7034" spans="2:4" ht="16" thickBot="1" x14ac:dyDescent="0.25">
      <c r="B7034" s="4">
        <v>7029</v>
      </c>
      <c r="C7034" s="4">
        <v>128.32073647994815</v>
      </c>
      <c r="D7034" s="45"/>
    </row>
    <row r="7035" spans="2:4" ht="16" thickBot="1" x14ac:dyDescent="0.25">
      <c r="B7035" s="5">
        <v>7030</v>
      </c>
      <c r="C7035" s="5">
        <v>202.83545495218735</v>
      </c>
      <c r="D7035" s="45"/>
    </row>
    <row r="7036" spans="2:4" ht="16" thickBot="1" x14ac:dyDescent="0.25">
      <c r="B7036" s="4">
        <v>7031</v>
      </c>
      <c r="C7036" s="4">
        <v>66.948104780193617</v>
      </c>
      <c r="D7036" s="45"/>
    </row>
    <row r="7037" spans="2:4" ht="16" thickBot="1" x14ac:dyDescent="0.25">
      <c r="B7037" s="5">
        <v>7032</v>
      </c>
      <c r="C7037" s="5">
        <v>176.67529945802448</v>
      </c>
      <c r="D7037" s="45"/>
    </row>
    <row r="7038" spans="2:4" ht="16" thickBot="1" x14ac:dyDescent="0.25">
      <c r="B7038" s="4">
        <v>7033</v>
      </c>
      <c r="C7038" s="4">
        <v>104.51140846867401</v>
      </c>
      <c r="D7038" s="45"/>
    </row>
    <row r="7039" spans="2:4" ht="16" thickBot="1" x14ac:dyDescent="0.25">
      <c r="B7039" s="5">
        <v>7034</v>
      </c>
      <c r="C7039" s="5">
        <v>120.45144406837831</v>
      </c>
      <c r="D7039" s="45"/>
    </row>
    <row r="7040" spans="2:4" ht="16" thickBot="1" x14ac:dyDescent="0.25">
      <c r="B7040" s="4">
        <v>7035</v>
      </c>
      <c r="C7040" s="4">
        <v>107.95330763804061</v>
      </c>
      <c r="D7040" s="45"/>
    </row>
    <row r="7041" spans="2:4" ht="16" thickBot="1" x14ac:dyDescent="0.25">
      <c r="B7041" s="5">
        <v>7036</v>
      </c>
      <c r="C7041" s="5">
        <v>202.30405982234808</v>
      </c>
      <c r="D7041" s="45"/>
    </row>
    <row r="7042" spans="2:4" ht="16" thickBot="1" x14ac:dyDescent="0.25">
      <c r="B7042" s="4">
        <v>7037</v>
      </c>
      <c r="C7042" s="4">
        <v>218.41669003177418</v>
      </c>
      <c r="D7042" s="45"/>
    </row>
    <row r="7043" spans="2:4" ht="16" thickBot="1" x14ac:dyDescent="0.25">
      <c r="B7043" s="5">
        <v>7038</v>
      </c>
      <c r="C7043" s="5">
        <v>179.27341579539618</v>
      </c>
      <c r="D7043" s="45"/>
    </row>
    <row r="7044" spans="2:4" ht="16" thickBot="1" x14ac:dyDescent="0.25">
      <c r="B7044" s="4">
        <v>7039</v>
      </c>
      <c r="C7044" s="4">
        <v>56.627661886009179</v>
      </c>
      <c r="D7044" s="45"/>
    </row>
    <row r="7045" spans="2:4" ht="16" thickBot="1" x14ac:dyDescent="0.25">
      <c r="B7045" s="5">
        <v>7040</v>
      </c>
      <c r="C7045" s="5">
        <v>224.29242149502448</v>
      </c>
      <c r="D7045" s="45"/>
    </row>
    <row r="7046" spans="2:4" ht="16" thickBot="1" x14ac:dyDescent="0.25">
      <c r="B7046" s="4">
        <v>7041</v>
      </c>
      <c r="C7046" s="4">
        <v>276.23910130508045</v>
      </c>
      <c r="D7046" s="45"/>
    </row>
    <row r="7047" spans="2:4" ht="16" thickBot="1" x14ac:dyDescent="0.25">
      <c r="B7047" s="5">
        <v>7042</v>
      </c>
      <c r="C7047" s="5">
        <v>130.14359665149121</v>
      </c>
      <c r="D7047" s="45"/>
    </row>
    <row r="7048" spans="2:4" ht="16" thickBot="1" x14ac:dyDescent="0.25">
      <c r="B7048" s="4">
        <v>7043</v>
      </c>
      <c r="C7048" s="4">
        <v>296.68468181870071</v>
      </c>
      <c r="D7048" s="45"/>
    </row>
    <row r="7049" spans="2:4" ht="16" thickBot="1" x14ac:dyDescent="0.25">
      <c r="B7049" s="5">
        <v>7044</v>
      </c>
      <c r="C7049" s="5">
        <v>206.10372179571709</v>
      </c>
      <c r="D7049" s="45"/>
    </row>
    <row r="7050" spans="2:4" ht="16" thickBot="1" x14ac:dyDescent="0.25">
      <c r="B7050" s="4">
        <v>7045</v>
      </c>
      <c r="C7050" s="4">
        <v>189.60048706874369</v>
      </c>
      <c r="D7050" s="45"/>
    </row>
    <row r="7051" spans="2:4" ht="16" thickBot="1" x14ac:dyDescent="0.25">
      <c r="B7051" s="5">
        <v>7046</v>
      </c>
      <c r="C7051" s="5">
        <v>127.18275902082321</v>
      </c>
      <c r="D7051" s="45"/>
    </row>
    <row r="7052" spans="2:4" ht="16" thickBot="1" x14ac:dyDescent="0.25">
      <c r="B7052" s="4">
        <v>7047</v>
      </c>
      <c r="C7052" s="4">
        <v>245.15353724123131</v>
      </c>
      <c r="D7052" s="45"/>
    </row>
    <row r="7053" spans="2:4" ht="16" thickBot="1" x14ac:dyDescent="0.25">
      <c r="B7053" s="5">
        <v>7048</v>
      </c>
      <c r="C7053" s="5">
        <v>105.68629559443029</v>
      </c>
      <c r="D7053" s="45"/>
    </row>
    <row r="7054" spans="2:4" ht="16" thickBot="1" x14ac:dyDescent="0.25">
      <c r="B7054" s="4">
        <v>7049</v>
      </c>
      <c r="C7054" s="4">
        <v>193.69836419955882</v>
      </c>
      <c r="D7054" s="45"/>
    </row>
    <row r="7055" spans="2:4" ht="16" thickBot="1" x14ac:dyDescent="0.25">
      <c r="B7055" s="5">
        <v>7050</v>
      </c>
      <c r="C7055" s="5">
        <v>129.40783771635856</v>
      </c>
      <c r="D7055" s="45"/>
    </row>
    <row r="7056" spans="2:4" ht="16" thickBot="1" x14ac:dyDescent="0.25">
      <c r="B7056" s="4">
        <v>7051</v>
      </c>
      <c r="C7056" s="4">
        <v>86.525295124118728</v>
      </c>
      <c r="D7056" s="45"/>
    </row>
    <row r="7057" spans="2:4" ht="16" thickBot="1" x14ac:dyDescent="0.25">
      <c r="B7057" s="5">
        <v>7052</v>
      </c>
      <c r="C7057" s="5">
        <v>105.51593940912683</v>
      </c>
      <c r="D7057" s="45"/>
    </row>
    <row r="7058" spans="2:4" ht="16" thickBot="1" x14ac:dyDescent="0.25">
      <c r="B7058" s="4">
        <v>7053</v>
      </c>
      <c r="C7058" s="4">
        <v>345.59780624084851</v>
      </c>
      <c r="D7058" s="45"/>
    </row>
    <row r="7059" spans="2:4" ht="16" thickBot="1" x14ac:dyDescent="0.25">
      <c r="B7059" s="5">
        <v>7054</v>
      </c>
      <c r="C7059" s="5">
        <v>68.603566109592833</v>
      </c>
      <c r="D7059" s="45"/>
    </row>
    <row r="7060" spans="2:4" ht="16" thickBot="1" x14ac:dyDescent="0.25">
      <c r="B7060" s="4">
        <v>7055</v>
      </c>
      <c r="C7060" s="4">
        <v>134.72611064623888</v>
      </c>
      <c r="D7060" s="45"/>
    </row>
    <row r="7061" spans="2:4" ht="16" thickBot="1" x14ac:dyDescent="0.25">
      <c r="B7061" s="5">
        <v>7056</v>
      </c>
      <c r="C7061" s="5">
        <v>249.89822915115406</v>
      </c>
      <c r="D7061" s="45"/>
    </row>
    <row r="7062" spans="2:4" ht="16" thickBot="1" x14ac:dyDescent="0.25">
      <c r="B7062" s="4">
        <v>7057</v>
      </c>
      <c r="C7062" s="4">
        <v>115.6953758200145</v>
      </c>
      <c r="D7062" s="45"/>
    </row>
    <row r="7063" spans="2:4" ht="16" thickBot="1" x14ac:dyDescent="0.25">
      <c r="B7063" s="5">
        <v>7058</v>
      </c>
      <c r="C7063" s="5">
        <v>234.18007978260158</v>
      </c>
      <c r="D7063" s="45"/>
    </row>
    <row r="7064" spans="2:4" ht="16" thickBot="1" x14ac:dyDescent="0.25">
      <c r="B7064" s="4">
        <v>7059</v>
      </c>
      <c r="C7064" s="4">
        <v>187.71459317317141</v>
      </c>
      <c r="D7064" s="45"/>
    </row>
    <row r="7065" spans="2:4" ht="16" thickBot="1" x14ac:dyDescent="0.25">
      <c r="B7065" s="5">
        <v>7060</v>
      </c>
      <c r="C7065" s="5">
        <v>119.3172426414543</v>
      </c>
      <c r="D7065" s="45"/>
    </row>
    <row r="7066" spans="2:4" ht="16" thickBot="1" x14ac:dyDescent="0.25">
      <c r="B7066" s="4">
        <v>7061</v>
      </c>
      <c r="C7066" s="4">
        <v>156.22462062461392</v>
      </c>
      <c r="D7066" s="45"/>
    </row>
    <row r="7067" spans="2:4" ht="16" thickBot="1" x14ac:dyDescent="0.25">
      <c r="B7067" s="5">
        <v>7062</v>
      </c>
      <c r="C7067" s="5">
        <v>83.591348265879759</v>
      </c>
      <c r="D7067" s="45"/>
    </row>
    <row r="7068" spans="2:4" ht="16" thickBot="1" x14ac:dyDescent="0.25">
      <c r="B7068" s="4">
        <v>7063</v>
      </c>
      <c r="C7068" s="4">
        <v>115.43041385366058</v>
      </c>
      <c r="D7068" s="45"/>
    </row>
    <row r="7069" spans="2:4" ht="16" thickBot="1" x14ac:dyDescent="0.25">
      <c r="B7069" s="5">
        <v>7064</v>
      </c>
      <c r="C7069" s="5">
        <v>91.141559613363071</v>
      </c>
      <c r="D7069" s="45"/>
    </row>
    <row r="7070" spans="2:4" ht="16" thickBot="1" x14ac:dyDescent="0.25">
      <c r="B7070" s="4">
        <v>7065</v>
      </c>
      <c r="C7070" s="4">
        <v>290.17154243124929</v>
      </c>
      <c r="D7070" s="45"/>
    </row>
    <row r="7071" spans="2:4" ht="16" thickBot="1" x14ac:dyDescent="0.25">
      <c r="B7071" s="5">
        <v>7066</v>
      </c>
      <c r="C7071" s="5">
        <v>76.188195778147218</v>
      </c>
      <c r="D7071" s="45"/>
    </row>
    <row r="7072" spans="2:4" ht="16" thickBot="1" x14ac:dyDescent="0.25">
      <c r="B7072" s="4">
        <v>7067</v>
      </c>
      <c r="C7072" s="4">
        <v>129.81584597121011</v>
      </c>
      <c r="D7072" s="45"/>
    </row>
    <row r="7073" spans="2:4" ht="16" thickBot="1" x14ac:dyDescent="0.25">
      <c r="B7073" s="5">
        <v>7068</v>
      </c>
      <c r="C7073" s="5">
        <v>274.57313041386885</v>
      </c>
      <c r="D7073" s="45"/>
    </row>
    <row r="7074" spans="2:4" ht="16" thickBot="1" x14ac:dyDescent="0.25">
      <c r="B7074" s="4">
        <v>7069</v>
      </c>
      <c r="C7074" s="4">
        <v>242.72101863207558</v>
      </c>
      <c r="D7074" s="45"/>
    </row>
    <row r="7075" spans="2:4" ht="16" thickBot="1" x14ac:dyDescent="0.25">
      <c r="B7075" s="5">
        <v>7070</v>
      </c>
      <c r="C7075" s="5">
        <v>181.97759984520414</v>
      </c>
      <c r="D7075" s="45"/>
    </row>
    <row r="7076" spans="2:4" ht="16" thickBot="1" x14ac:dyDescent="0.25">
      <c r="B7076" s="4">
        <v>7071</v>
      </c>
      <c r="C7076" s="4">
        <v>433.77882520227791</v>
      </c>
      <c r="D7076" s="45"/>
    </row>
    <row r="7077" spans="2:4" ht="16" thickBot="1" x14ac:dyDescent="0.25">
      <c r="B7077" s="5">
        <v>7072</v>
      </c>
      <c r="C7077" s="5">
        <v>186.63320826613167</v>
      </c>
      <c r="D7077" s="45"/>
    </row>
    <row r="7078" spans="2:4" ht="16" thickBot="1" x14ac:dyDescent="0.25">
      <c r="B7078" s="4">
        <v>7073</v>
      </c>
      <c r="C7078" s="4">
        <v>113.24497811670561</v>
      </c>
      <c r="D7078" s="45"/>
    </row>
    <row r="7079" spans="2:4" ht="16" thickBot="1" x14ac:dyDescent="0.25">
      <c r="B7079" s="5">
        <v>7074</v>
      </c>
      <c r="C7079" s="5">
        <v>178.44565141661036</v>
      </c>
      <c r="D7079" s="45"/>
    </row>
    <row r="7080" spans="2:4" ht="16" thickBot="1" x14ac:dyDescent="0.25">
      <c r="B7080" s="4">
        <v>7075</v>
      </c>
      <c r="C7080" s="4">
        <v>113.68743507438069</v>
      </c>
      <c r="D7080" s="45"/>
    </row>
    <row r="7081" spans="2:4" ht="16" thickBot="1" x14ac:dyDescent="0.25">
      <c r="B7081" s="5">
        <v>7076</v>
      </c>
      <c r="C7081" s="5">
        <v>74.403076745772182</v>
      </c>
      <c r="D7081" s="45"/>
    </row>
    <row r="7082" spans="2:4" ht="16" thickBot="1" x14ac:dyDescent="0.25">
      <c r="B7082" s="4">
        <v>7077</v>
      </c>
      <c r="C7082" s="4">
        <v>144.21434813334059</v>
      </c>
      <c r="D7082" s="45"/>
    </row>
    <row r="7083" spans="2:4" ht="16" thickBot="1" x14ac:dyDescent="0.25">
      <c r="B7083" s="5">
        <v>7078</v>
      </c>
      <c r="C7083" s="5">
        <v>87.276706068343287</v>
      </c>
      <c r="D7083" s="45"/>
    </row>
    <row r="7084" spans="2:4" ht="16" thickBot="1" x14ac:dyDescent="0.25">
      <c r="B7084" s="4">
        <v>7079</v>
      </c>
      <c r="C7084" s="4">
        <v>92.14541620273998</v>
      </c>
      <c r="D7084" s="45"/>
    </row>
    <row r="7085" spans="2:4" ht="16" thickBot="1" x14ac:dyDescent="0.25">
      <c r="B7085" s="5">
        <v>7080</v>
      </c>
      <c r="C7085" s="5">
        <v>196.46344480194563</v>
      </c>
      <c r="D7085" s="45"/>
    </row>
    <row r="7086" spans="2:4" ht="16" thickBot="1" x14ac:dyDescent="0.25">
      <c r="B7086" s="4">
        <v>7081</v>
      </c>
      <c r="C7086" s="4">
        <v>108.7925580764723</v>
      </c>
      <c r="D7086" s="45"/>
    </row>
    <row r="7087" spans="2:4" ht="16" thickBot="1" x14ac:dyDescent="0.25">
      <c r="B7087" s="5">
        <v>7082</v>
      </c>
      <c r="C7087" s="5">
        <v>162.57821776535826</v>
      </c>
      <c r="D7087" s="45"/>
    </row>
    <row r="7088" spans="2:4" ht="16" thickBot="1" x14ac:dyDescent="0.25">
      <c r="B7088" s="4">
        <v>7083</v>
      </c>
      <c r="C7088" s="4">
        <v>269.81255822109409</v>
      </c>
      <c r="D7088" s="45"/>
    </row>
    <row r="7089" spans="2:4" ht="16" thickBot="1" x14ac:dyDescent="0.25">
      <c r="B7089" s="5">
        <v>7084</v>
      </c>
      <c r="C7089" s="5">
        <v>364.67509061366962</v>
      </c>
      <c r="D7089" s="45"/>
    </row>
    <row r="7090" spans="2:4" ht="16" thickBot="1" x14ac:dyDescent="0.25">
      <c r="B7090" s="4">
        <v>7085</v>
      </c>
      <c r="C7090" s="4">
        <v>60.674128960146</v>
      </c>
      <c r="D7090" s="45"/>
    </row>
    <row r="7091" spans="2:4" ht="16" thickBot="1" x14ac:dyDescent="0.25">
      <c r="B7091" s="5">
        <v>7086</v>
      </c>
      <c r="C7091" s="5">
        <v>36.721490478855252</v>
      </c>
      <c r="D7091" s="45"/>
    </row>
    <row r="7092" spans="2:4" ht="16" thickBot="1" x14ac:dyDescent="0.25">
      <c r="B7092" s="4">
        <v>7087</v>
      </c>
      <c r="C7092" s="4">
        <v>432.18855375155323</v>
      </c>
      <c r="D7092" s="45"/>
    </row>
    <row r="7093" spans="2:4" ht="16" thickBot="1" x14ac:dyDescent="0.25">
      <c r="B7093" s="5">
        <v>7088</v>
      </c>
      <c r="C7093" s="5">
        <v>95.962551352694263</v>
      </c>
      <c r="D7093" s="45"/>
    </row>
    <row r="7094" spans="2:4" ht="16" thickBot="1" x14ac:dyDescent="0.25">
      <c r="B7094" s="4">
        <v>7089</v>
      </c>
      <c r="C7094" s="4">
        <v>116.75333442148744</v>
      </c>
      <c r="D7094" s="45"/>
    </row>
    <row r="7095" spans="2:4" ht="16" thickBot="1" x14ac:dyDescent="0.25">
      <c r="B7095" s="5">
        <v>7090</v>
      </c>
      <c r="C7095" s="5">
        <v>103.98315813057089</v>
      </c>
      <c r="D7095" s="45"/>
    </row>
    <row r="7096" spans="2:4" ht="16" thickBot="1" x14ac:dyDescent="0.25">
      <c r="B7096" s="4">
        <v>7091</v>
      </c>
      <c r="C7096" s="4">
        <v>197.81094296987641</v>
      </c>
      <c r="D7096" s="45"/>
    </row>
    <row r="7097" spans="2:4" ht="16" thickBot="1" x14ac:dyDescent="0.25">
      <c r="B7097" s="5">
        <v>7092</v>
      </c>
      <c r="C7097" s="5">
        <v>116.41727234604458</v>
      </c>
      <c r="D7097" s="45"/>
    </row>
    <row r="7098" spans="2:4" ht="16" thickBot="1" x14ac:dyDescent="0.25">
      <c r="B7098" s="4">
        <v>7093</v>
      </c>
      <c r="C7098" s="4">
        <v>162.81544713211821</v>
      </c>
      <c r="D7098" s="45"/>
    </row>
    <row r="7099" spans="2:4" ht="16" thickBot="1" x14ac:dyDescent="0.25">
      <c r="B7099" s="5">
        <v>7094</v>
      </c>
      <c r="C7099" s="5">
        <v>461.78036947592773</v>
      </c>
      <c r="D7099" s="45"/>
    </row>
    <row r="7100" spans="2:4" ht="16" thickBot="1" x14ac:dyDescent="0.25">
      <c r="B7100" s="4">
        <v>7095</v>
      </c>
      <c r="C7100" s="4">
        <v>258.39788092617516</v>
      </c>
      <c r="D7100" s="45"/>
    </row>
    <row r="7101" spans="2:4" ht="16" thickBot="1" x14ac:dyDescent="0.25">
      <c r="B7101" s="5">
        <v>7096</v>
      </c>
      <c r="C7101" s="5">
        <v>208.75944800094854</v>
      </c>
      <c r="D7101" s="45"/>
    </row>
    <row r="7102" spans="2:4" ht="16" thickBot="1" x14ac:dyDescent="0.25">
      <c r="B7102" s="4">
        <v>7097</v>
      </c>
      <c r="C7102" s="4">
        <v>242.57493774172139</v>
      </c>
      <c r="D7102" s="45"/>
    </row>
    <row r="7103" spans="2:4" ht="16" thickBot="1" x14ac:dyDescent="0.25">
      <c r="B7103" s="5">
        <v>7098</v>
      </c>
      <c r="C7103" s="5">
        <v>400.44388191576854</v>
      </c>
      <c r="D7103" s="45"/>
    </row>
    <row r="7104" spans="2:4" ht="16" thickBot="1" x14ac:dyDescent="0.25">
      <c r="B7104" s="4">
        <v>7099</v>
      </c>
      <c r="C7104" s="4">
        <v>72.330302034928323</v>
      </c>
      <c r="D7104" s="45"/>
    </row>
    <row r="7105" spans="2:4" ht="16" thickBot="1" x14ac:dyDescent="0.25">
      <c r="B7105" s="5">
        <v>7100</v>
      </c>
      <c r="C7105" s="5">
        <v>184.62110971499078</v>
      </c>
      <c r="D7105" s="45"/>
    </row>
    <row r="7106" spans="2:4" ht="16" thickBot="1" x14ac:dyDescent="0.25">
      <c r="B7106" s="4">
        <v>7101</v>
      </c>
      <c r="C7106" s="4">
        <v>128.82825337554496</v>
      </c>
      <c r="D7106" s="45"/>
    </row>
    <row r="7107" spans="2:4" ht="16" thickBot="1" x14ac:dyDescent="0.25">
      <c r="B7107" s="5">
        <v>7102</v>
      </c>
      <c r="C7107" s="5">
        <v>82.886642878910649</v>
      </c>
      <c r="D7107" s="45"/>
    </row>
    <row r="7108" spans="2:4" ht="16" thickBot="1" x14ac:dyDescent="0.25">
      <c r="B7108" s="4">
        <v>7103</v>
      </c>
      <c r="C7108" s="4">
        <v>121.32416231909428</v>
      </c>
      <c r="D7108" s="45"/>
    </row>
    <row r="7109" spans="2:4" ht="16" thickBot="1" x14ac:dyDescent="0.25">
      <c r="B7109" s="5">
        <v>7104</v>
      </c>
      <c r="C7109" s="5">
        <v>98.578718889680673</v>
      </c>
      <c r="D7109" s="45"/>
    </row>
    <row r="7110" spans="2:4" ht="16" thickBot="1" x14ac:dyDescent="0.25">
      <c r="B7110" s="4">
        <v>7105</v>
      </c>
      <c r="C7110" s="4">
        <v>144.53142299529449</v>
      </c>
      <c r="D7110" s="45"/>
    </row>
    <row r="7111" spans="2:4" ht="16" thickBot="1" x14ac:dyDescent="0.25">
      <c r="B7111" s="5">
        <v>7106</v>
      </c>
      <c r="C7111" s="5">
        <v>151.2464629673816</v>
      </c>
      <c r="D7111" s="45"/>
    </row>
    <row r="7112" spans="2:4" ht="16" thickBot="1" x14ac:dyDescent="0.25">
      <c r="B7112" s="4">
        <v>7107</v>
      </c>
      <c r="C7112" s="4">
        <v>193.73009304970233</v>
      </c>
      <c r="D7112" s="45"/>
    </row>
    <row r="7113" spans="2:4" ht="16" thickBot="1" x14ac:dyDescent="0.25">
      <c r="B7113" s="5">
        <v>7108</v>
      </c>
      <c r="C7113" s="5">
        <v>97.733114284156855</v>
      </c>
      <c r="D7113" s="45"/>
    </row>
    <row r="7114" spans="2:4" ht="16" thickBot="1" x14ac:dyDescent="0.25">
      <c r="B7114" s="4">
        <v>7109</v>
      </c>
      <c r="C7114" s="4">
        <v>171.81853382198636</v>
      </c>
      <c r="D7114" s="45"/>
    </row>
    <row r="7115" spans="2:4" ht="16" thickBot="1" x14ac:dyDescent="0.25">
      <c r="B7115" s="5">
        <v>7110</v>
      </c>
      <c r="C7115" s="5">
        <v>205.35261607662164</v>
      </c>
      <c r="D7115" s="45"/>
    </row>
    <row r="7116" spans="2:4" ht="16" thickBot="1" x14ac:dyDescent="0.25">
      <c r="B7116" s="4">
        <v>7111</v>
      </c>
      <c r="C7116" s="4">
        <v>141.43677717950624</v>
      </c>
      <c r="D7116" s="45"/>
    </row>
    <row r="7117" spans="2:4" ht="16" thickBot="1" x14ac:dyDescent="0.25">
      <c r="B7117" s="5">
        <v>7112</v>
      </c>
      <c r="C7117" s="5">
        <v>222.43694533157131</v>
      </c>
      <c r="D7117" s="45"/>
    </row>
    <row r="7118" spans="2:4" ht="16" thickBot="1" x14ac:dyDescent="0.25">
      <c r="B7118" s="4">
        <v>7113</v>
      </c>
      <c r="C7118" s="4">
        <v>279.64818452086593</v>
      </c>
      <c r="D7118" s="45"/>
    </row>
    <row r="7119" spans="2:4" ht="16" thickBot="1" x14ac:dyDescent="0.25">
      <c r="B7119" s="5">
        <v>7114</v>
      </c>
      <c r="C7119" s="5">
        <v>107.52647738223008</v>
      </c>
      <c r="D7119" s="45"/>
    </row>
    <row r="7120" spans="2:4" ht="16" thickBot="1" x14ac:dyDescent="0.25">
      <c r="B7120" s="4">
        <v>7115</v>
      </c>
      <c r="C7120" s="4">
        <v>147.94994162765937</v>
      </c>
      <c r="D7120" s="45"/>
    </row>
    <row r="7121" spans="2:4" ht="16" thickBot="1" x14ac:dyDescent="0.25">
      <c r="B7121" s="5">
        <v>7116</v>
      </c>
      <c r="C7121" s="5">
        <v>324.77370631445928</v>
      </c>
      <c r="D7121" s="45"/>
    </row>
    <row r="7122" spans="2:4" ht="16" thickBot="1" x14ac:dyDescent="0.25">
      <c r="B7122" s="4">
        <v>7117</v>
      </c>
      <c r="C7122" s="4">
        <v>150.19806255749802</v>
      </c>
      <c r="D7122" s="45"/>
    </row>
    <row r="7123" spans="2:4" ht="16" thickBot="1" x14ac:dyDescent="0.25">
      <c r="B7123" s="5">
        <v>7118</v>
      </c>
      <c r="C7123" s="5">
        <v>123.2532247209937</v>
      </c>
      <c r="D7123" s="45"/>
    </row>
    <row r="7124" spans="2:4" ht="16" thickBot="1" x14ac:dyDescent="0.25">
      <c r="B7124" s="4">
        <v>7119</v>
      </c>
      <c r="C7124" s="4">
        <v>109.51990140920516</v>
      </c>
      <c r="D7124" s="45"/>
    </row>
    <row r="7125" spans="2:4" ht="16" thickBot="1" x14ac:dyDescent="0.25">
      <c r="B7125" s="5">
        <v>7120</v>
      </c>
      <c r="C7125" s="5">
        <v>76.372999861114181</v>
      </c>
      <c r="D7125" s="45"/>
    </row>
    <row r="7126" spans="2:4" ht="16" thickBot="1" x14ac:dyDescent="0.25">
      <c r="B7126" s="4">
        <v>7121</v>
      </c>
      <c r="C7126" s="4">
        <v>255.36439477636679</v>
      </c>
      <c r="D7126" s="45"/>
    </row>
    <row r="7127" spans="2:4" ht="16" thickBot="1" x14ac:dyDescent="0.25">
      <c r="B7127" s="5">
        <v>7122</v>
      </c>
      <c r="C7127" s="5">
        <v>64.188805975818752</v>
      </c>
      <c r="D7127" s="45"/>
    </row>
    <row r="7128" spans="2:4" ht="16" thickBot="1" x14ac:dyDescent="0.25">
      <c r="B7128" s="4">
        <v>7123</v>
      </c>
      <c r="C7128" s="4">
        <v>142.94179628518344</v>
      </c>
      <c r="D7128" s="45"/>
    </row>
    <row r="7129" spans="2:4" ht="16" thickBot="1" x14ac:dyDescent="0.25">
      <c r="B7129" s="5">
        <v>7124</v>
      </c>
      <c r="C7129" s="5">
        <v>96.099089225475396</v>
      </c>
      <c r="D7129" s="45"/>
    </row>
    <row r="7130" spans="2:4" ht="16" thickBot="1" x14ac:dyDescent="0.25">
      <c r="B7130" s="4">
        <v>7125</v>
      </c>
      <c r="C7130" s="4">
        <v>218.84145130565332</v>
      </c>
      <c r="D7130" s="45"/>
    </row>
    <row r="7131" spans="2:4" ht="16" thickBot="1" x14ac:dyDescent="0.25">
      <c r="B7131" s="5">
        <v>7126</v>
      </c>
      <c r="C7131" s="5">
        <v>99.150272124838125</v>
      </c>
      <c r="D7131" s="45"/>
    </row>
    <row r="7132" spans="2:4" ht="16" thickBot="1" x14ac:dyDescent="0.25">
      <c r="B7132" s="4">
        <v>7127</v>
      </c>
      <c r="C7132" s="4">
        <v>122.85947809272248</v>
      </c>
      <c r="D7132" s="45"/>
    </row>
    <row r="7133" spans="2:4" ht="16" thickBot="1" x14ac:dyDescent="0.25">
      <c r="B7133" s="5">
        <v>7128</v>
      </c>
      <c r="C7133" s="5">
        <v>91.331830571772471</v>
      </c>
      <c r="D7133" s="45"/>
    </row>
    <row r="7134" spans="2:4" ht="16" thickBot="1" x14ac:dyDescent="0.25">
      <c r="B7134" s="4">
        <v>7129</v>
      </c>
      <c r="C7134" s="4">
        <v>129.85005909780031</v>
      </c>
      <c r="D7134" s="45"/>
    </row>
    <row r="7135" spans="2:4" ht="16" thickBot="1" x14ac:dyDescent="0.25">
      <c r="B7135" s="5">
        <v>7130</v>
      </c>
      <c r="C7135" s="5">
        <v>109.60124783752697</v>
      </c>
      <c r="D7135" s="45"/>
    </row>
    <row r="7136" spans="2:4" ht="16" thickBot="1" x14ac:dyDescent="0.25">
      <c r="B7136" s="4">
        <v>7131</v>
      </c>
      <c r="C7136" s="4">
        <v>194.14780769345106</v>
      </c>
      <c r="D7136" s="45"/>
    </row>
    <row r="7137" spans="2:4" ht="16" thickBot="1" x14ac:dyDescent="0.25">
      <c r="B7137" s="5">
        <v>7132</v>
      </c>
      <c r="C7137" s="5">
        <v>107.43079220997382</v>
      </c>
      <c r="D7137" s="45"/>
    </row>
    <row r="7138" spans="2:4" ht="16" thickBot="1" x14ac:dyDescent="0.25">
      <c r="B7138" s="4">
        <v>7133</v>
      </c>
      <c r="C7138" s="4">
        <v>341.74894465440894</v>
      </c>
      <c r="D7138" s="45"/>
    </row>
    <row r="7139" spans="2:4" ht="16" thickBot="1" x14ac:dyDescent="0.25">
      <c r="B7139" s="5">
        <v>7134</v>
      </c>
      <c r="C7139" s="5">
        <v>225.51475439020416</v>
      </c>
      <c r="D7139" s="45"/>
    </row>
    <row r="7140" spans="2:4" ht="16" thickBot="1" x14ac:dyDescent="0.25">
      <c r="B7140" s="4">
        <v>7135</v>
      </c>
      <c r="C7140" s="4">
        <v>89.517462156372403</v>
      </c>
      <c r="D7140" s="45"/>
    </row>
    <row r="7141" spans="2:4" ht="16" thickBot="1" x14ac:dyDescent="0.25">
      <c r="B7141" s="5">
        <v>7136</v>
      </c>
      <c r="C7141" s="5">
        <v>139.73299148475672</v>
      </c>
      <c r="D7141" s="45"/>
    </row>
    <row r="7142" spans="2:4" ht="16" thickBot="1" x14ac:dyDescent="0.25">
      <c r="B7142" s="4">
        <v>7137</v>
      </c>
      <c r="C7142" s="4">
        <v>123.49544007778397</v>
      </c>
      <c r="D7142" s="45"/>
    </row>
    <row r="7143" spans="2:4" ht="16" thickBot="1" x14ac:dyDescent="0.25">
      <c r="B7143" s="5">
        <v>7138</v>
      </c>
      <c r="C7143" s="5">
        <v>298.07412914295236</v>
      </c>
      <c r="D7143" s="45"/>
    </row>
    <row r="7144" spans="2:4" ht="16" thickBot="1" x14ac:dyDescent="0.25">
      <c r="B7144" s="4">
        <v>7139</v>
      </c>
      <c r="C7144" s="4">
        <v>99.298497935503704</v>
      </c>
      <c r="D7144" s="45"/>
    </row>
    <row r="7145" spans="2:4" ht="16" thickBot="1" x14ac:dyDescent="0.25">
      <c r="B7145" s="5">
        <v>7140</v>
      </c>
      <c r="C7145" s="5">
        <v>110.99888929815999</v>
      </c>
      <c r="D7145" s="45"/>
    </row>
    <row r="7146" spans="2:4" ht="16" thickBot="1" x14ac:dyDescent="0.25">
      <c r="B7146" s="4">
        <v>7141</v>
      </c>
      <c r="C7146" s="4">
        <v>37.023529134370996</v>
      </c>
      <c r="D7146" s="45"/>
    </row>
    <row r="7147" spans="2:4" ht="16" thickBot="1" x14ac:dyDescent="0.25">
      <c r="B7147" s="5">
        <v>7142</v>
      </c>
      <c r="C7147" s="5">
        <v>147.76096344892838</v>
      </c>
      <c r="D7147" s="45"/>
    </row>
    <row r="7148" spans="2:4" ht="16" thickBot="1" x14ac:dyDescent="0.25">
      <c r="B7148" s="4">
        <v>7143</v>
      </c>
      <c r="C7148" s="4">
        <v>140.82046329090019</v>
      </c>
      <c r="D7148" s="45"/>
    </row>
    <row r="7149" spans="2:4" ht="16" thickBot="1" x14ac:dyDescent="0.25">
      <c r="B7149" s="5">
        <v>7144</v>
      </c>
      <c r="C7149" s="5">
        <v>45.783249435688141</v>
      </c>
      <c r="D7149" s="45"/>
    </row>
    <row r="7150" spans="2:4" ht="16" thickBot="1" x14ac:dyDescent="0.25">
      <c r="B7150" s="4">
        <v>7145</v>
      </c>
      <c r="C7150" s="4">
        <v>108.62867995555814</v>
      </c>
      <c r="D7150" s="45"/>
    </row>
    <row r="7151" spans="2:4" ht="16" thickBot="1" x14ac:dyDescent="0.25">
      <c r="B7151" s="5">
        <v>7146</v>
      </c>
      <c r="C7151" s="5">
        <v>100.54021253138836</v>
      </c>
      <c r="D7151" s="45"/>
    </row>
    <row r="7152" spans="2:4" ht="16" thickBot="1" x14ac:dyDescent="0.25">
      <c r="B7152" s="4">
        <v>7147</v>
      </c>
      <c r="C7152" s="4">
        <v>217.89364297926824</v>
      </c>
      <c r="D7152" s="45"/>
    </row>
    <row r="7153" spans="2:4" ht="16" thickBot="1" x14ac:dyDescent="0.25">
      <c r="B7153" s="5">
        <v>7148</v>
      </c>
      <c r="C7153" s="5">
        <v>143.76287528195076</v>
      </c>
      <c r="D7153" s="45"/>
    </row>
    <row r="7154" spans="2:4" ht="16" thickBot="1" x14ac:dyDescent="0.25">
      <c r="B7154" s="4">
        <v>7149</v>
      </c>
      <c r="C7154" s="4">
        <v>332.69029520445088</v>
      </c>
      <c r="D7154" s="45"/>
    </row>
    <row r="7155" spans="2:4" ht="16" thickBot="1" x14ac:dyDescent="0.25">
      <c r="B7155" s="5">
        <v>7150</v>
      </c>
      <c r="C7155" s="5">
        <v>69.969224784809626</v>
      </c>
      <c r="D7155" s="45"/>
    </row>
    <row r="7156" spans="2:4" ht="16" thickBot="1" x14ac:dyDescent="0.25">
      <c r="B7156" s="4">
        <v>7151</v>
      </c>
      <c r="C7156" s="4">
        <v>121.46602595413727</v>
      </c>
      <c r="D7156" s="45"/>
    </row>
    <row r="7157" spans="2:4" ht="16" thickBot="1" x14ac:dyDescent="0.25">
      <c r="B7157" s="5">
        <v>7152</v>
      </c>
      <c r="C7157" s="5">
        <v>89.627906310246743</v>
      </c>
      <c r="D7157" s="45"/>
    </row>
    <row r="7158" spans="2:4" ht="16" thickBot="1" x14ac:dyDescent="0.25">
      <c r="B7158" s="4">
        <v>7153</v>
      </c>
      <c r="C7158" s="4">
        <v>65.265270029714145</v>
      </c>
      <c r="D7158" s="45"/>
    </row>
    <row r="7159" spans="2:4" ht="16" thickBot="1" x14ac:dyDescent="0.25">
      <c r="B7159" s="5">
        <v>7154</v>
      </c>
      <c r="C7159" s="5">
        <v>130.44403683703757</v>
      </c>
      <c r="D7159" s="45"/>
    </row>
    <row r="7160" spans="2:4" ht="16" thickBot="1" x14ac:dyDescent="0.25">
      <c r="B7160" s="4">
        <v>7155</v>
      </c>
      <c r="C7160" s="4">
        <v>397.07612068256077</v>
      </c>
      <c r="D7160" s="45"/>
    </row>
    <row r="7161" spans="2:4" ht="16" thickBot="1" x14ac:dyDescent="0.25">
      <c r="B7161" s="5">
        <v>7156</v>
      </c>
      <c r="C7161" s="5">
        <v>272.05637806924045</v>
      </c>
      <c r="D7161" s="45"/>
    </row>
    <row r="7162" spans="2:4" ht="16" thickBot="1" x14ac:dyDescent="0.25">
      <c r="B7162" s="4">
        <v>7157</v>
      </c>
      <c r="C7162" s="4">
        <v>216.79870333344957</v>
      </c>
      <c r="D7162" s="45"/>
    </row>
    <row r="7163" spans="2:4" ht="16" thickBot="1" x14ac:dyDescent="0.25">
      <c r="B7163" s="5">
        <v>7158</v>
      </c>
      <c r="C7163" s="5">
        <v>144.950549497081</v>
      </c>
      <c r="D7163" s="45"/>
    </row>
    <row r="7164" spans="2:4" ht="16" thickBot="1" x14ac:dyDescent="0.25">
      <c r="B7164" s="4">
        <v>7159</v>
      </c>
      <c r="C7164" s="4">
        <v>61.660785081921844</v>
      </c>
      <c r="D7164" s="45"/>
    </row>
    <row r="7165" spans="2:4" ht="16" thickBot="1" x14ac:dyDescent="0.25">
      <c r="B7165" s="5">
        <v>7160</v>
      </c>
      <c r="C7165" s="5">
        <v>394.23917208839731</v>
      </c>
      <c r="D7165" s="45"/>
    </row>
    <row r="7166" spans="2:4" ht="16" thickBot="1" x14ac:dyDescent="0.25">
      <c r="B7166" s="4">
        <v>7161</v>
      </c>
      <c r="C7166" s="4">
        <v>193.07255430723239</v>
      </c>
      <c r="D7166" s="45"/>
    </row>
    <row r="7167" spans="2:4" ht="16" thickBot="1" x14ac:dyDescent="0.25">
      <c r="B7167" s="5">
        <v>7162</v>
      </c>
      <c r="C7167" s="5">
        <v>104.8191543102908</v>
      </c>
      <c r="D7167" s="45"/>
    </row>
    <row r="7168" spans="2:4" ht="16" thickBot="1" x14ac:dyDescent="0.25">
      <c r="B7168" s="4">
        <v>7163</v>
      </c>
      <c r="C7168" s="4">
        <v>142.66437604421782</v>
      </c>
      <c r="D7168" s="45"/>
    </row>
    <row r="7169" spans="2:4" ht="16" thickBot="1" x14ac:dyDescent="0.25">
      <c r="B7169" s="5">
        <v>7164</v>
      </c>
      <c r="C7169" s="5">
        <v>278.70583225819479</v>
      </c>
      <c r="D7169" s="45"/>
    </row>
    <row r="7170" spans="2:4" ht="16" thickBot="1" x14ac:dyDescent="0.25">
      <c r="B7170" s="4">
        <v>7165</v>
      </c>
      <c r="C7170" s="4">
        <v>141.9665018962508</v>
      </c>
      <c r="D7170" s="45"/>
    </row>
    <row r="7171" spans="2:4" ht="16" thickBot="1" x14ac:dyDescent="0.25">
      <c r="B7171" s="5">
        <v>7166</v>
      </c>
      <c r="C7171" s="5">
        <v>110.72426710828829</v>
      </c>
      <c r="D7171" s="45"/>
    </row>
    <row r="7172" spans="2:4" ht="16" thickBot="1" x14ac:dyDescent="0.25">
      <c r="B7172" s="4">
        <v>7167</v>
      </c>
      <c r="C7172" s="4">
        <v>117.56807333991057</v>
      </c>
      <c r="D7172" s="45"/>
    </row>
    <row r="7173" spans="2:4" ht="16" thickBot="1" x14ac:dyDescent="0.25">
      <c r="B7173" s="5">
        <v>7168</v>
      </c>
      <c r="C7173" s="5">
        <v>59.484671546083675</v>
      </c>
      <c r="D7173" s="45"/>
    </row>
    <row r="7174" spans="2:4" ht="16" thickBot="1" x14ac:dyDescent="0.25">
      <c r="B7174" s="4">
        <v>7169</v>
      </c>
      <c r="C7174" s="4">
        <v>110.78256065460246</v>
      </c>
      <c r="D7174" s="45"/>
    </row>
    <row r="7175" spans="2:4" ht="16" thickBot="1" x14ac:dyDescent="0.25">
      <c r="B7175" s="5">
        <v>7170</v>
      </c>
      <c r="C7175" s="5">
        <v>169.22680290951428</v>
      </c>
      <c r="D7175" s="45"/>
    </row>
    <row r="7176" spans="2:4" ht="16" thickBot="1" x14ac:dyDescent="0.25">
      <c r="B7176" s="4">
        <v>7171</v>
      </c>
      <c r="C7176" s="4">
        <v>541.81151744556485</v>
      </c>
      <c r="D7176" s="45"/>
    </row>
    <row r="7177" spans="2:4" ht="16" thickBot="1" x14ac:dyDescent="0.25">
      <c r="B7177" s="5">
        <v>7172</v>
      </c>
      <c r="C7177" s="5">
        <v>269.29178383281641</v>
      </c>
      <c r="D7177" s="45"/>
    </row>
    <row r="7178" spans="2:4" ht="16" thickBot="1" x14ac:dyDescent="0.25">
      <c r="B7178" s="4">
        <v>7173</v>
      </c>
      <c r="C7178" s="4">
        <v>103.92947519354146</v>
      </c>
      <c r="D7178" s="45"/>
    </row>
    <row r="7179" spans="2:4" ht="16" thickBot="1" x14ac:dyDescent="0.25">
      <c r="B7179" s="5">
        <v>7174</v>
      </c>
      <c r="C7179" s="5">
        <v>133.97337996423252</v>
      </c>
      <c r="D7179" s="45"/>
    </row>
    <row r="7180" spans="2:4" ht="16" thickBot="1" x14ac:dyDescent="0.25">
      <c r="B7180" s="4">
        <v>7175</v>
      </c>
      <c r="C7180" s="4">
        <v>51.213480123855604</v>
      </c>
      <c r="D7180" s="45"/>
    </row>
    <row r="7181" spans="2:4" ht="16" thickBot="1" x14ac:dyDescent="0.25">
      <c r="B7181" s="5">
        <v>7176</v>
      </c>
      <c r="C7181" s="5">
        <v>147.35935529054336</v>
      </c>
      <c r="D7181" s="45"/>
    </row>
    <row r="7182" spans="2:4" ht="16" thickBot="1" x14ac:dyDescent="0.25">
      <c r="B7182" s="4">
        <v>7177</v>
      </c>
      <c r="C7182" s="4">
        <v>53.714194288292312</v>
      </c>
      <c r="D7182" s="45"/>
    </row>
    <row r="7183" spans="2:4" ht="16" thickBot="1" x14ac:dyDescent="0.25">
      <c r="B7183" s="5">
        <v>7178</v>
      </c>
      <c r="C7183" s="5">
        <v>38.92911338150806</v>
      </c>
      <c r="D7183" s="45"/>
    </row>
    <row r="7184" spans="2:4" ht="16" thickBot="1" x14ac:dyDescent="0.25">
      <c r="B7184" s="4">
        <v>7179</v>
      </c>
      <c r="C7184" s="4">
        <v>158.3387226128408</v>
      </c>
      <c r="D7184" s="45"/>
    </row>
    <row r="7185" spans="2:4" ht="16" thickBot="1" x14ac:dyDescent="0.25">
      <c r="B7185" s="5">
        <v>7180</v>
      </c>
      <c r="C7185" s="5">
        <v>137.79357214787399</v>
      </c>
      <c r="D7185" s="45"/>
    </row>
    <row r="7186" spans="2:4" ht="16" thickBot="1" x14ac:dyDescent="0.25">
      <c r="B7186" s="4">
        <v>7181</v>
      </c>
      <c r="C7186" s="4">
        <v>90.540137987106149</v>
      </c>
      <c r="D7186" s="45"/>
    </row>
    <row r="7187" spans="2:4" ht="16" thickBot="1" x14ac:dyDescent="0.25">
      <c r="B7187" s="5">
        <v>7182</v>
      </c>
      <c r="C7187" s="5">
        <v>176.5311368856695</v>
      </c>
      <c r="D7187" s="45"/>
    </row>
    <row r="7188" spans="2:4" ht="16" thickBot="1" x14ac:dyDescent="0.25">
      <c r="B7188" s="4">
        <v>7183</v>
      </c>
      <c r="C7188" s="4">
        <v>124.93929517110163</v>
      </c>
      <c r="D7188" s="45"/>
    </row>
    <row r="7189" spans="2:4" ht="16" thickBot="1" x14ac:dyDescent="0.25">
      <c r="B7189" s="5">
        <v>7184</v>
      </c>
      <c r="C7189" s="5">
        <v>169.79486157557727</v>
      </c>
      <c r="D7189" s="45"/>
    </row>
    <row r="7190" spans="2:4" ht="16" thickBot="1" x14ac:dyDescent="0.25">
      <c r="B7190" s="4">
        <v>7185</v>
      </c>
      <c r="C7190" s="4">
        <v>149.17896441088629</v>
      </c>
      <c r="D7190" s="45"/>
    </row>
    <row r="7191" spans="2:4" ht="16" thickBot="1" x14ac:dyDescent="0.25">
      <c r="B7191" s="5">
        <v>7186</v>
      </c>
      <c r="C7191" s="5">
        <v>111.17263652817816</v>
      </c>
      <c r="D7191" s="45"/>
    </row>
    <row r="7192" spans="2:4" ht="16" thickBot="1" x14ac:dyDescent="0.25">
      <c r="B7192" s="4">
        <v>7187</v>
      </c>
      <c r="C7192" s="4">
        <v>140.29129587690247</v>
      </c>
      <c r="D7192" s="45"/>
    </row>
    <row r="7193" spans="2:4" ht="16" thickBot="1" x14ac:dyDescent="0.25">
      <c r="B7193" s="5">
        <v>7188</v>
      </c>
      <c r="C7193" s="5">
        <v>221.69303316379316</v>
      </c>
      <c r="D7193" s="45"/>
    </row>
    <row r="7194" spans="2:4" ht="16" thickBot="1" x14ac:dyDescent="0.25">
      <c r="B7194" s="4">
        <v>7189</v>
      </c>
      <c r="C7194" s="4">
        <v>207.88786959671648</v>
      </c>
      <c r="D7194" s="45"/>
    </row>
    <row r="7195" spans="2:4" ht="16" thickBot="1" x14ac:dyDescent="0.25">
      <c r="B7195" s="5">
        <v>7190</v>
      </c>
      <c r="C7195" s="5">
        <v>154.24953379232412</v>
      </c>
      <c r="D7195" s="45"/>
    </row>
    <row r="7196" spans="2:4" ht="16" thickBot="1" x14ac:dyDescent="0.25">
      <c r="B7196" s="4">
        <v>7191</v>
      </c>
      <c r="C7196" s="4">
        <v>95.429356092108691</v>
      </c>
      <c r="D7196" s="45"/>
    </row>
    <row r="7197" spans="2:4" ht="16" thickBot="1" x14ac:dyDescent="0.25">
      <c r="B7197" s="5">
        <v>7192</v>
      </c>
      <c r="C7197" s="5">
        <v>215.74864811068241</v>
      </c>
      <c r="D7197" s="45"/>
    </row>
    <row r="7198" spans="2:4" ht="16" thickBot="1" x14ac:dyDescent="0.25">
      <c r="B7198" s="4">
        <v>7193</v>
      </c>
      <c r="C7198" s="4">
        <v>78.177132069460825</v>
      </c>
      <c r="D7198" s="45"/>
    </row>
    <row r="7199" spans="2:4" ht="16" thickBot="1" x14ac:dyDescent="0.25">
      <c r="B7199" s="5">
        <v>7194</v>
      </c>
      <c r="C7199" s="5">
        <v>213.25547560429746</v>
      </c>
      <c r="D7199" s="45"/>
    </row>
    <row r="7200" spans="2:4" ht="16" thickBot="1" x14ac:dyDescent="0.25">
      <c r="B7200" s="4">
        <v>7195</v>
      </c>
      <c r="C7200" s="4">
        <v>105.87760738179819</v>
      </c>
      <c r="D7200" s="45"/>
    </row>
    <row r="7201" spans="2:4" ht="16" thickBot="1" x14ac:dyDescent="0.25">
      <c r="B7201" s="5">
        <v>7196</v>
      </c>
      <c r="C7201" s="5">
        <v>252.89740097123098</v>
      </c>
      <c r="D7201" s="45"/>
    </row>
    <row r="7202" spans="2:4" ht="16" thickBot="1" x14ac:dyDescent="0.25">
      <c r="B7202" s="4">
        <v>7197</v>
      </c>
      <c r="C7202" s="4">
        <v>247.81111789625817</v>
      </c>
      <c r="D7202" s="45"/>
    </row>
    <row r="7203" spans="2:4" ht="16" thickBot="1" x14ac:dyDescent="0.25">
      <c r="B7203" s="5">
        <v>7198</v>
      </c>
      <c r="C7203" s="5">
        <v>94.905725890717662</v>
      </c>
      <c r="D7203" s="45"/>
    </row>
    <row r="7204" spans="2:4" ht="16" thickBot="1" x14ac:dyDescent="0.25">
      <c r="B7204" s="4">
        <v>7199</v>
      </c>
      <c r="C7204" s="4">
        <v>202.27660544107491</v>
      </c>
      <c r="D7204" s="45"/>
    </row>
    <row r="7205" spans="2:4" ht="16" thickBot="1" x14ac:dyDescent="0.25">
      <c r="B7205" s="5">
        <v>7200</v>
      </c>
      <c r="C7205" s="5">
        <v>240.1002763462977</v>
      </c>
      <c r="D7205" s="45"/>
    </row>
    <row r="7206" spans="2:4" ht="16" thickBot="1" x14ac:dyDescent="0.25">
      <c r="B7206" s="4">
        <v>7201</v>
      </c>
      <c r="C7206" s="4">
        <v>77.389119177159458</v>
      </c>
      <c r="D7206" s="45"/>
    </row>
    <row r="7207" spans="2:4" ht="16" thickBot="1" x14ac:dyDescent="0.25">
      <c r="B7207" s="5">
        <v>7202</v>
      </c>
      <c r="C7207" s="5">
        <v>158.47591005481965</v>
      </c>
      <c r="D7207" s="45"/>
    </row>
    <row r="7208" spans="2:4" ht="16" thickBot="1" x14ac:dyDescent="0.25">
      <c r="B7208" s="4">
        <v>7203</v>
      </c>
      <c r="C7208" s="4">
        <v>276.85636460548017</v>
      </c>
      <c r="D7208" s="45"/>
    </row>
    <row r="7209" spans="2:4" ht="16" thickBot="1" x14ac:dyDescent="0.25">
      <c r="B7209" s="5">
        <v>7204</v>
      </c>
      <c r="C7209" s="5">
        <v>114.15491785879915</v>
      </c>
      <c r="D7209" s="45"/>
    </row>
    <row r="7210" spans="2:4" ht="16" thickBot="1" x14ac:dyDescent="0.25">
      <c r="B7210" s="4">
        <v>7205</v>
      </c>
      <c r="C7210" s="4">
        <v>183.12418054016416</v>
      </c>
      <c r="D7210" s="45"/>
    </row>
    <row r="7211" spans="2:4" ht="16" thickBot="1" x14ac:dyDescent="0.25">
      <c r="B7211" s="5">
        <v>7206</v>
      </c>
      <c r="C7211" s="5">
        <v>188.38262494191954</v>
      </c>
      <c r="D7211" s="45"/>
    </row>
    <row r="7212" spans="2:4" ht="16" thickBot="1" x14ac:dyDescent="0.25">
      <c r="B7212" s="4">
        <v>7207</v>
      </c>
      <c r="C7212" s="4">
        <v>309.54519832378469</v>
      </c>
      <c r="D7212" s="45"/>
    </row>
    <row r="7213" spans="2:4" ht="16" thickBot="1" x14ac:dyDescent="0.25">
      <c r="B7213" s="5">
        <v>7208</v>
      </c>
      <c r="C7213" s="5">
        <v>69.338535834074662</v>
      </c>
      <c r="D7213" s="45"/>
    </row>
    <row r="7214" spans="2:4" ht="16" thickBot="1" x14ac:dyDescent="0.25">
      <c r="B7214" s="4">
        <v>7209</v>
      </c>
      <c r="C7214" s="4">
        <v>90.364964669706353</v>
      </c>
      <c r="D7214" s="45"/>
    </row>
    <row r="7215" spans="2:4" ht="16" thickBot="1" x14ac:dyDescent="0.25">
      <c r="B7215" s="5">
        <v>7210</v>
      </c>
      <c r="C7215" s="5">
        <v>229.57286166533029</v>
      </c>
      <c r="D7215" s="45"/>
    </row>
    <row r="7216" spans="2:4" ht="16" thickBot="1" x14ac:dyDescent="0.25">
      <c r="B7216" s="4">
        <v>7211</v>
      </c>
      <c r="C7216" s="4">
        <v>153.84568084584535</v>
      </c>
      <c r="D7216" s="45"/>
    </row>
    <row r="7217" spans="2:4" ht="16" thickBot="1" x14ac:dyDescent="0.25">
      <c r="B7217" s="5">
        <v>7212</v>
      </c>
      <c r="C7217" s="5">
        <v>76.337631153871541</v>
      </c>
      <c r="D7217" s="45"/>
    </row>
    <row r="7218" spans="2:4" ht="16" thickBot="1" x14ac:dyDescent="0.25">
      <c r="B7218" s="4">
        <v>7213</v>
      </c>
      <c r="C7218" s="4">
        <v>135.80593014146467</v>
      </c>
      <c r="D7218" s="45"/>
    </row>
    <row r="7219" spans="2:4" ht="16" thickBot="1" x14ac:dyDescent="0.25">
      <c r="B7219" s="5">
        <v>7214</v>
      </c>
      <c r="C7219" s="5">
        <v>229.47183924159728</v>
      </c>
      <c r="D7219" s="45"/>
    </row>
    <row r="7220" spans="2:4" ht="16" thickBot="1" x14ac:dyDescent="0.25">
      <c r="B7220" s="4">
        <v>7215</v>
      </c>
      <c r="C7220" s="4">
        <v>100.2302907871149</v>
      </c>
      <c r="D7220" s="45"/>
    </row>
    <row r="7221" spans="2:4" ht="16" thickBot="1" x14ac:dyDescent="0.25">
      <c r="B7221" s="5">
        <v>7216</v>
      </c>
      <c r="C7221" s="5">
        <v>166.69368563221539</v>
      </c>
      <c r="D7221" s="45"/>
    </row>
    <row r="7222" spans="2:4" ht="16" thickBot="1" x14ac:dyDescent="0.25">
      <c r="B7222" s="4">
        <v>7217</v>
      </c>
      <c r="C7222" s="4">
        <v>175.20476949805388</v>
      </c>
      <c r="D7222" s="45"/>
    </row>
    <row r="7223" spans="2:4" ht="16" thickBot="1" x14ac:dyDescent="0.25">
      <c r="B7223" s="5">
        <v>7218</v>
      </c>
      <c r="C7223" s="5">
        <v>238.4580083227336</v>
      </c>
      <c r="D7223" s="45"/>
    </row>
    <row r="7224" spans="2:4" ht="16" thickBot="1" x14ac:dyDescent="0.25">
      <c r="B7224" s="4">
        <v>7219</v>
      </c>
      <c r="C7224" s="4">
        <v>174.37187893032421</v>
      </c>
      <c r="D7224" s="45"/>
    </row>
    <row r="7225" spans="2:4" ht="16" thickBot="1" x14ac:dyDescent="0.25">
      <c r="B7225" s="5">
        <v>7220</v>
      </c>
      <c r="C7225" s="5">
        <v>85.965878618346323</v>
      </c>
      <c r="D7225" s="45"/>
    </row>
    <row r="7226" spans="2:4" ht="16" thickBot="1" x14ac:dyDescent="0.25">
      <c r="B7226" s="4">
        <v>7221</v>
      </c>
      <c r="C7226" s="4">
        <v>218.00717899527029</v>
      </c>
      <c r="D7226" s="45"/>
    </row>
    <row r="7227" spans="2:4" ht="16" thickBot="1" x14ac:dyDescent="0.25">
      <c r="B7227" s="5">
        <v>7222</v>
      </c>
      <c r="C7227" s="5">
        <v>217.17165149237107</v>
      </c>
      <c r="D7227" s="45"/>
    </row>
    <row r="7228" spans="2:4" ht="16" thickBot="1" x14ac:dyDescent="0.25">
      <c r="B7228" s="4">
        <v>7223</v>
      </c>
      <c r="C7228" s="4">
        <v>229.2500231450604</v>
      </c>
      <c r="D7228" s="45"/>
    </row>
    <row r="7229" spans="2:4" ht="16" thickBot="1" x14ac:dyDescent="0.25">
      <c r="B7229" s="5">
        <v>7224</v>
      </c>
      <c r="C7229" s="5">
        <v>95.368107132361757</v>
      </c>
      <c r="D7229" s="45"/>
    </row>
    <row r="7230" spans="2:4" ht="16" thickBot="1" x14ac:dyDescent="0.25">
      <c r="B7230" s="4">
        <v>7225</v>
      </c>
      <c r="C7230" s="4">
        <v>136.56238206811915</v>
      </c>
      <c r="D7230" s="45"/>
    </row>
    <row r="7231" spans="2:4" ht="16" thickBot="1" x14ac:dyDescent="0.25">
      <c r="B7231" s="5">
        <v>7226</v>
      </c>
      <c r="C7231" s="5">
        <v>127.93211702804494</v>
      </c>
      <c r="D7231" s="45"/>
    </row>
    <row r="7232" spans="2:4" ht="16" thickBot="1" x14ac:dyDescent="0.25">
      <c r="B7232" s="4">
        <v>7227</v>
      </c>
      <c r="C7232" s="4">
        <v>171.16380579920545</v>
      </c>
      <c r="D7232" s="45"/>
    </row>
    <row r="7233" spans="2:4" ht="16" thickBot="1" x14ac:dyDescent="0.25">
      <c r="B7233" s="5">
        <v>7228</v>
      </c>
      <c r="C7233" s="5">
        <v>163.09127270092074</v>
      </c>
      <c r="D7233" s="45"/>
    </row>
    <row r="7234" spans="2:4" ht="16" thickBot="1" x14ac:dyDescent="0.25">
      <c r="B7234" s="4">
        <v>7229</v>
      </c>
      <c r="C7234" s="4">
        <v>79.313730927066459</v>
      </c>
      <c r="D7234" s="45"/>
    </row>
    <row r="7235" spans="2:4" ht="16" thickBot="1" x14ac:dyDescent="0.25">
      <c r="B7235" s="5">
        <v>7230</v>
      </c>
      <c r="C7235" s="5">
        <v>101.54922115841832</v>
      </c>
      <c r="D7235" s="45"/>
    </row>
    <row r="7236" spans="2:4" ht="16" thickBot="1" x14ac:dyDescent="0.25">
      <c r="B7236" s="4">
        <v>7231</v>
      </c>
      <c r="C7236" s="4">
        <v>62.832503999306532</v>
      </c>
      <c r="D7236" s="45"/>
    </row>
    <row r="7237" spans="2:4" ht="16" thickBot="1" x14ac:dyDescent="0.25">
      <c r="B7237" s="5">
        <v>7232</v>
      </c>
      <c r="C7237" s="5">
        <v>149.49414060578621</v>
      </c>
      <c r="D7237" s="45"/>
    </row>
    <row r="7238" spans="2:4" ht="16" thickBot="1" x14ac:dyDescent="0.25">
      <c r="B7238" s="4">
        <v>7233</v>
      </c>
      <c r="C7238" s="4">
        <v>175.80954903925482</v>
      </c>
      <c r="D7238" s="45"/>
    </row>
    <row r="7239" spans="2:4" ht="16" thickBot="1" x14ac:dyDescent="0.25">
      <c r="B7239" s="5">
        <v>7234</v>
      </c>
      <c r="C7239" s="5">
        <v>232.94747046620182</v>
      </c>
      <c r="D7239" s="45"/>
    </row>
    <row r="7240" spans="2:4" ht="16" thickBot="1" x14ac:dyDescent="0.25">
      <c r="B7240" s="4">
        <v>7235</v>
      </c>
      <c r="C7240" s="4">
        <v>162.23339807623057</v>
      </c>
      <c r="D7240" s="45"/>
    </row>
    <row r="7241" spans="2:4" ht="16" thickBot="1" x14ac:dyDescent="0.25">
      <c r="B7241" s="5">
        <v>7236</v>
      </c>
      <c r="C7241" s="5">
        <v>222.85941634386251</v>
      </c>
      <c r="D7241" s="45"/>
    </row>
    <row r="7242" spans="2:4" ht="16" thickBot="1" x14ac:dyDescent="0.25">
      <c r="B7242" s="4">
        <v>7237</v>
      </c>
      <c r="C7242" s="4">
        <v>129.83765144226169</v>
      </c>
      <c r="D7242" s="45"/>
    </row>
    <row r="7243" spans="2:4" ht="16" thickBot="1" x14ac:dyDescent="0.25">
      <c r="B7243" s="5">
        <v>7238</v>
      </c>
      <c r="C7243" s="5">
        <v>161.83954031608803</v>
      </c>
      <c r="D7243" s="45"/>
    </row>
    <row r="7244" spans="2:4" ht="16" thickBot="1" x14ac:dyDescent="0.25">
      <c r="B7244" s="4">
        <v>7239</v>
      </c>
      <c r="C7244" s="4">
        <v>171.44872373902129</v>
      </c>
      <c r="D7244" s="45"/>
    </row>
    <row r="7245" spans="2:4" ht="16" thickBot="1" x14ac:dyDescent="0.25">
      <c r="B7245" s="5">
        <v>7240</v>
      </c>
      <c r="C7245" s="5">
        <v>85.788923248922032</v>
      </c>
      <c r="D7245" s="45"/>
    </row>
    <row r="7246" spans="2:4" ht="16" thickBot="1" x14ac:dyDescent="0.25">
      <c r="B7246" s="4">
        <v>7241</v>
      </c>
      <c r="C7246" s="4">
        <v>177.73103550972948</v>
      </c>
      <c r="D7246" s="45"/>
    </row>
    <row r="7247" spans="2:4" ht="16" thickBot="1" x14ac:dyDescent="0.25">
      <c r="B7247" s="5">
        <v>7242</v>
      </c>
      <c r="C7247" s="5">
        <v>177.83480177232488</v>
      </c>
      <c r="D7247" s="45"/>
    </row>
    <row r="7248" spans="2:4" ht="16" thickBot="1" x14ac:dyDescent="0.25">
      <c r="B7248" s="4">
        <v>7243</v>
      </c>
      <c r="C7248" s="4">
        <v>295.14778434612799</v>
      </c>
      <c r="D7248" s="45"/>
    </row>
    <row r="7249" spans="2:4" ht="16" thickBot="1" x14ac:dyDescent="0.25">
      <c r="B7249" s="5">
        <v>7244</v>
      </c>
      <c r="C7249" s="5">
        <v>88.002256980297844</v>
      </c>
      <c r="D7249" s="45"/>
    </row>
    <row r="7250" spans="2:4" ht="16" thickBot="1" x14ac:dyDescent="0.25">
      <c r="B7250" s="4">
        <v>7245</v>
      </c>
      <c r="C7250" s="4">
        <v>71.357043374091759</v>
      </c>
      <c r="D7250" s="45"/>
    </row>
    <row r="7251" spans="2:4" ht="16" thickBot="1" x14ac:dyDescent="0.25">
      <c r="B7251" s="5">
        <v>7246</v>
      </c>
      <c r="C7251" s="5">
        <v>174.53057041731196</v>
      </c>
      <c r="D7251" s="45"/>
    </row>
    <row r="7252" spans="2:4" ht="16" thickBot="1" x14ac:dyDescent="0.25">
      <c r="B7252" s="4">
        <v>7247</v>
      </c>
      <c r="C7252" s="4">
        <v>88.055978841424846</v>
      </c>
      <c r="D7252" s="45"/>
    </row>
    <row r="7253" spans="2:4" ht="16" thickBot="1" x14ac:dyDescent="0.25">
      <c r="B7253" s="5">
        <v>7248</v>
      </c>
      <c r="C7253" s="5">
        <v>205.44524729590017</v>
      </c>
      <c r="D7253" s="45"/>
    </row>
    <row r="7254" spans="2:4" ht="16" thickBot="1" x14ac:dyDescent="0.25">
      <c r="B7254" s="4">
        <v>7249</v>
      </c>
      <c r="C7254" s="4">
        <v>98.297613379643309</v>
      </c>
      <c r="D7254" s="45"/>
    </row>
    <row r="7255" spans="2:4" ht="16" thickBot="1" x14ac:dyDescent="0.25">
      <c r="B7255" s="5">
        <v>7250</v>
      </c>
      <c r="C7255" s="5">
        <v>397.48204925206596</v>
      </c>
      <c r="D7255" s="45"/>
    </row>
    <row r="7256" spans="2:4" ht="16" thickBot="1" x14ac:dyDescent="0.25">
      <c r="B7256" s="4">
        <v>7251</v>
      </c>
      <c r="C7256" s="4">
        <v>141.64600726715187</v>
      </c>
      <c r="D7256" s="45"/>
    </row>
    <row r="7257" spans="2:4" ht="16" thickBot="1" x14ac:dyDescent="0.25">
      <c r="B7257" s="5">
        <v>7252</v>
      </c>
      <c r="C7257" s="5">
        <v>121.92760009338495</v>
      </c>
      <c r="D7257" s="45"/>
    </row>
    <row r="7258" spans="2:4" ht="16" thickBot="1" x14ac:dyDescent="0.25">
      <c r="B7258" s="4">
        <v>7253</v>
      </c>
      <c r="C7258" s="4">
        <v>90.782623959583375</v>
      </c>
      <c r="D7258" s="45"/>
    </row>
    <row r="7259" spans="2:4" ht="16" thickBot="1" x14ac:dyDescent="0.25">
      <c r="B7259" s="5">
        <v>7254</v>
      </c>
      <c r="C7259" s="5">
        <v>264.01175050736566</v>
      </c>
      <c r="D7259" s="45"/>
    </row>
    <row r="7260" spans="2:4" ht="16" thickBot="1" x14ac:dyDescent="0.25">
      <c r="B7260" s="4">
        <v>7255</v>
      </c>
      <c r="C7260" s="4">
        <v>223.76683321894632</v>
      </c>
      <c r="D7260" s="45"/>
    </row>
    <row r="7261" spans="2:4" ht="16" thickBot="1" x14ac:dyDescent="0.25">
      <c r="B7261" s="5">
        <v>7256</v>
      </c>
      <c r="C7261" s="5">
        <v>248.6037459473383</v>
      </c>
      <c r="D7261" s="45"/>
    </row>
    <row r="7262" spans="2:4" ht="16" thickBot="1" x14ac:dyDescent="0.25">
      <c r="B7262" s="4">
        <v>7257</v>
      </c>
      <c r="C7262" s="4">
        <v>211.82187128750968</v>
      </c>
      <c r="D7262" s="45"/>
    </row>
    <row r="7263" spans="2:4" ht="16" thickBot="1" x14ac:dyDescent="0.25">
      <c r="B7263" s="5">
        <v>7258</v>
      </c>
      <c r="C7263" s="5">
        <v>678.41622378016564</v>
      </c>
      <c r="D7263" s="45"/>
    </row>
    <row r="7264" spans="2:4" ht="16" thickBot="1" x14ac:dyDescent="0.25">
      <c r="B7264" s="4">
        <v>7259</v>
      </c>
      <c r="C7264" s="4">
        <v>339.40561619017359</v>
      </c>
      <c r="D7264" s="45"/>
    </row>
    <row r="7265" spans="2:4" ht="16" thickBot="1" x14ac:dyDescent="0.25">
      <c r="B7265" s="5">
        <v>7260</v>
      </c>
      <c r="C7265" s="5">
        <v>227.79898191189272</v>
      </c>
      <c r="D7265" s="45"/>
    </row>
    <row r="7266" spans="2:4" ht="16" thickBot="1" x14ac:dyDescent="0.25">
      <c r="B7266" s="4">
        <v>7261</v>
      </c>
      <c r="C7266" s="4">
        <v>280.8006250255433</v>
      </c>
      <c r="D7266" s="45"/>
    </row>
    <row r="7267" spans="2:4" ht="16" thickBot="1" x14ac:dyDescent="0.25">
      <c r="B7267" s="5">
        <v>7262</v>
      </c>
      <c r="C7267" s="5">
        <v>83.065844844989996</v>
      </c>
      <c r="D7267" s="45"/>
    </row>
    <row r="7268" spans="2:4" ht="16" thickBot="1" x14ac:dyDescent="0.25">
      <c r="B7268" s="4">
        <v>7263</v>
      </c>
      <c r="C7268" s="4">
        <v>199.94821961647284</v>
      </c>
      <c r="D7268" s="45"/>
    </row>
    <row r="7269" spans="2:4" ht="16" thickBot="1" x14ac:dyDescent="0.25">
      <c r="B7269" s="5">
        <v>7264</v>
      </c>
      <c r="C7269" s="5">
        <v>275.3766247324811</v>
      </c>
      <c r="D7269" s="45"/>
    </row>
    <row r="7270" spans="2:4" ht="16" thickBot="1" x14ac:dyDescent="0.25">
      <c r="B7270" s="4">
        <v>7265</v>
      </c>
      <c r="C7270" s="4">
        <v>67.620835133122071</v>
      </c>
      <c r="D7270" s="45"/>
    </row>
    <row r="7271" spans="2:4" ht="16" thickBot="1" x14ac:dyDescent="0.25">
      <c r="B7271" s="5">
        <v>7266</v>
      </c>
      <c r="C7271" s="5">
        <v>104.82510139673971</v>
      </c>
      <c r="D7271" s="45"/>
    </row>
    <row r="7272" spans="2:4" ht="16" thickBot="1" x14ac:dyDescent="0.25">
      <c r="B7272" s="4">
        <v>7267</v>
      </c>
      <c r="C7272" s="4">
        <v>130.46818437409144</v>
      </c>
      <c r="D7272" s="45"/>
    </row>
    <row r="7273" spans="2:4" ht="16" thickBot="1" x14ac:dyDescent="0.25">
      <c r="B7273" s="5">
        <v>7268</v>
      </c>
      <c r="C7273" s="5">
        <v>71.325927209027881</v>
      </c>
      <c r="D7273" s="45"/>
    </row>
    <row r="7274" spans="2:4" ht="16" thickBot="1" x14ac:dyDescent="0.25">
      <c r="B7274" s="4">
        <v>7269</v>
      </c>
      <c r="C7274" s="4">
        <v>101.24610086538311</v>
      </c>
      <c r="D7274" s="45"/>
    </row>
    <row r="7275" spans="2:4" ht="16" thickBot="1" x14ac:dyDescent="0.25">
      <c r="B7275" s="5">
        <v>7270</v>
      </c>
      <c r="C7275" s="5">
        <v>220.1335108220899</v>
      </c>
      <c r="D7275" s="45"/>
    </row>
    <row r="7276" spans="2:4" ht="16" thickBot="1" x14ac:dyDescent="0.25">
      <c r="B7276" s="4">
        <v>7271</v>
      </c>
      <c r="C7276" s="4">
        <v>219.17514128856493</v>
      </c>
      <c r="D7276" s="45"/>
    </row>
    <row r="7277" spans="2:4" ht="16" thickBot="1" x14ac:dyDescent="0.25">
      <c r="B7277" s="5">
        <v>7272</v>
      </c>
      <c r="C7277" s="5">
        <v>403.54150287970435</v>
      </c>
      <c r="D7277" s="45"/>
    </row>
    <row r="7278" spans="2:4" ht="16" thickBot="1" x14ac:dyDescent="0.25">
      <c r="B7278" s="4">
        <v>7273</v>
      </c>
      <c r="C7278" s="4">
        <v>122.44035617678333</v>
      </c>
      <c r="D7278" s="45"/>
    </row>
    <row r="7279" spans="2:4" ht="16" thickBot="1" x14ac:dyDescent="0.25">
      <c r="B7279" s="5">
        <v>7274</v>
      </c>
      <c r="C7279" s="5">
        <v>198.79140290011603</v>
      </c>
      <c r="D7279" s="45"/>
    </row>
    <row r="7280" spans="2:4" ht="16" thickBot="1" x14ac:dyDescent="0.25">
      <c r="B7280" s="4">
        <v>7275</v>
      </c>
      <c r="C7280" s="4">
        <v>189.03371820549111</v>
      </c>
      <c r="D7280" s="45"/>
    </row>
    <row r="7281" spans="2:4" ht="16" thickBot="1" x14ac:dyDescent="0.25">
      <c r="B7281" s="5">
        <v>7276</v>
      </c>
      <c r="C7281" s="5">
        <v>105.09106177262585</v>
      </c>
      <c r="D7281" s="45"/>
    </row>
    <row r="7282" spans="2:4" ht="16" thickBot="1" x14ac:dyDescent="0.25">
      <c r="B7282" s="4">
        <v>7277</v>
      </c>
      <c r="C7282" s="4">
        <v>131.65124953870028</v>
      </c>
      <c r="D7282" s="45"/>
    </row>
    <row r="7283" spans="2:4" ht="16" thickBot="1" x14ac:dyDescent="0.25">
      <c r="B7283" s="5">
        <v>7278</v>
      </c>
      <c r="C7283" s="5">
        <v>145.88920761607267</v>
      </c>
      <c r="D7283" s="45"/>
    </row>
    <row r="7284" spans="2:4" ht="16" thickBot="1" x14ac:dyDescent="0.25">
      <c r="B7284" s="4">
        <v>7279</v>
      </c>
      <c r="C7284" s="4">
        <v>109.57318095007609</v>
      </c>
      <c r="D7284" s="45"/>
    </row>
    <row r="7285" spans="2:4" ht="16" thickBot="1" x14ac:dyDescent="0.25">
      <c r="B7285" s="5">
        <v>7280</v>
      </c>
      <c r="C7285" s="5">
        <v>375.82276308960883</v>
      </c>
      <c r="D7285" s="45"/>
    </row>
    <row r="7286" spans="2:4" ht="16" thickBot="1" x14ac:dyDescent="0.25">
      <c r="B7286" s="4">
        <v>7281</v>
      </c>
      <c r="C7286" s="4">
        <v>64.139962151948922</v>
      </c>
      <c r="D7286" s="45"/>
    </row>
    <row r="7287" spans="2:4" ht="16" thickBot="1" x14ac:dyDescent="0.25">
      <c r="B7287" s="5">
        <v>7282</v>
      </c>
      <c r="C7287" s="5">
        <v>165.23571924331776</v>
      </c>
      <c r="D7287" s="45"/>
    </row>
    <row r="7288" spans="2:4" ht="16" thickBot="1" x14ac:dyDescent="0.25">
      <c r="B7288" s="4">
        <v>7283</v>
      </c>
      <c r="C7288" s="4">
        <v>193.33860761860618</v>
      </c>
      <c r="D7288" s="45"/>
    </row>
    <row r="7289" spans="2:4" ht="16" thickBot="1" x14ac:dyDescent="0.25">
      <c r="B7289" s="5">
        <v>7284</v>
      </c>
      <c r="C7289" s="5">
        <v>119.28265500784231</v>
      </c>
      <c r="D7289" s="45"/>
    </row>
    <row r="7290" spans="2:4" ht="16" thickBot="1" x14ac:dyDescent="0.25">
      <c r="B7290" s="4">
        <v>7285</v>
      </c>
      <c r="C7290" s="4">
        <v>81.52243788555289</v>
      </c>
      <c r="D7290" s="45"/>
    </row>
    <row r="7291" spans="2:4" ht="16" thickBot="1" x14ac:dyDescent="0.25">
      <c r="B7291" s="5">
        <v>7286</v>
      </c>
      <c r="C7291" s="5">
        <v>202.11424084955158</v>
      </c>
      <c r="D7291" s="45"/>
    </row>
    <row r="7292" spans="2:4" ht="16" thickBot="1" x14ac:dyDescent="0.25">
      <c r="B7292" s="4">
        <v>7287</v>
      </c>
      <c r="C7292" s="4">
        <v>179.12127676381388</v>
      </c>
      <c r="D7292" s="45"/>
    </row>
    <row r="7293" spans="2:4" ht="16" thickBot="1" x14ac:dyDescent="0.25">
      <c r="B7293" s="5">
        <v>7288</v>
      </c>
      <c r="C7293" s="5">
        <v>96.15217360952127</v>
      </c>
      <c r="D7293" s="45"/>
    </row>
    <row r="7294" spans="2:4" ht="16" thickBot="1" x14ac:dyDescent="0.25">
      <c r="B7294" s="4">
        <v>7289</v>
      </c>
      <c r="C7294" s="4">
        <v>73.34089322048986</v>
      </c>
      <c r="D7294" s="45"/>
    </row>
    <row r="7295" spans="2:4" ht="16" thickBot="1" x14ac:dyDescent="0.25">
      <c r="B7295" s="5">
        <v>7290</v>
      </c>
      <c r="C7295" s="5">
        <v>207.23285642019792</v>
      </c>
      <c r="D7295" s="45"/>
    </row>
    <row r="7296" spans="2:4" ht="16" thickBot="1" x14ac:dyDescent="0.25">
      <c r="B7296" s="4">
        <v>7291</v>
      </c>
      <c r="C7296" s="4">
        <v>415.96276638386399</v>
      </c>
      <c r="D7296" s="45"/>
    </row>
    <row r="7297" spans="2:4" ht="16" thickBot="1" x14ac:dyDescent="0.25">
      <c r="B7297" s="5">
        <v>7292</v>
      </c>
      <c r="C7297" s="5">
        <v>108.52996064481587</v>
      </c>
      <c r="D7297" s="45"/>
    </row>
    <row r="7298" spans="2:4" ht="16" thickBot="1" x14ac:dyDescent="0.25">
      <c r="B7298" s="4">
        <v>7293</v>
      </c>
      <c r="C7298" s="4">
        <v>167.87684951344255</v>
      </c>
      <c r="D7298" s="45"/>
    </row>
    <row r="7299" spans="2:4" ht="16" thickBot="1" x14ac:dyDescent="0.25">
      <c r="B7299" s="5">
        <v>7294</v>
      </c>
      <c r="C7299" s="5">
        <v>214.04768730811583</v>
      </c>
      <c r="D7299" s="45"/>
    </row>
    <row r="7300" spans="2:4" ht="16" thickBot="1" x14ac:dyDescent="0.25">
      <c r="B7300" s="4">
        <v>7295</v>
      </c>
      <c r="C7300" s="4">
        <v>138.37418361449136</v>
      </c>
      <c r="D7300" s="45"/>
    </row>
    <row r="7301" spans="2:4" ht="16" thickBot="1" x14ac:dyDescent="0.25">
      <c r="B7301" s="5">
        <v>7296</v>
      </c>
      <c r="C7301" s="5">
        <v>98.484672782866042</v>
      </c>
      <c r="D7301" s="45"/>
    </row>
    <row r="7302" spans="2:4" ht="16" thickBot="1" x14ac:dyDescent="0.25">
      <c r="B7302" s="4">
        <v>7297</v>
      </c>
      <c r="C7302" s="4">
        <v>180.67024821683208</v>
      </c>
      <c r="D7302" s="45"/>
    </row>
    <row r="7303" spans="2:4" ht="16" thickBot="1" x14ac:dyDescent="0.25">
      <c r="B7303" s="5">
        <v>7298</v>
      </c>
      <c r="C7303" s="5">
        <v>99.485882194098735</v>
      </c>
      <c r="D7303" s="45"/>
    </row>
    <row r="7304" spans="2:4" ht="16" thickBot="1" x14ac:dyDescent="0.25">
      <c r="B7304" s="4">
        <v>7299</v>
      </c>
      <c r="C7304" s="4">
        <v>246.14477060656517</v>
      </c>
      <c r="D7304" s="45"/>
    </row>
    <row r="7305" spans="2:4" ht="16" thickBot="1" x14ac:dyDescent="0.25">
      <c r="B7305" s="5">
        <v>7300</v>
      </c>
      <c r="C7305" s="5">
        <v>174.29813738455215</v>
      </c>
      <c r="D7305" s="45"/>
    </row>
    <row r="7306" spans="2:4" ht="16" thickBot="1" x14ac:dyDescent="0.25">
      <c r="B7306" s="4">
        <v>7301</v>
      </c>
      <c r="C7306" s="4">
        <v>187.30088995486167</v>
      </c>
      <c r="D7306" s="45"/>
    </row>
    <row r="7307" spans="2:4" ht="16" thickBot="1" x14ac:dyDescent="0.25">
      <c r="B7307" s="5">
        <v>7302</v>
      </c>
      <c r="C7307" s="5">
        <v>780.24146912255446</v>
      </c>
      <c r="D7307" s="45"/>
    </row>
    <row r="7308" spans="2:4" ht="16" thickBot="1" x14ac:dyDescent="0.25">
      <c r="B7308" s="4">
        <v>7303</v>
      </c>
      <c r="C7308" s="4">
        <v>116.84027315566496</v>
      </c>
      <c r="D7308" s="45"/>
    </row>
    <row r="7309" spans="2:4" ht="16" thickBot="1" x14ac:dyDescent="0.25">
      <c r="B7309" s="5">
        <v>7304</v>
      </c>
      <c r="C7309" s="5">
        <v>117.6564413894607</v>
      </c>
      <c r="D7309" s="45"/>
    </row>
    <row r="7310" spans="2:4" ht="16" thickBot="1" x14ac:dyDescent="0.25">
      <c r="B7310" s="4">
        <v>7305</v>
      </c>
      <c r="C7310" s="4">
        <v>209.54143838403988</v>
      </c>
      <c r="D7310" s="45"/>
    </row>
    <row r="7311" spans="2:4" ht="16" thickBot="1" x14ac:dyDescent="0.25">
      <c r="B7311" s="5">
        <v>7306</v>
      </c>
      <c r="C7311" s="5">
        <v>398.49488235910235</v>
      </c>
      <c r="D7311" s="45"/>
    </row>
    <row r="7312" spans="2:4" ht="16" thickBot="1" x14ac:dyDescent="0.25">
      <c r="B7312" s="4">
        <v>7307</v>
      </c>
      <c r="C7312" s="4">
        <v>86.664586782009479</v>
      </c>
      <c r="D7312" s="45"/>
    </row>
    <row r="7313" spans="2:4" ht="16" thickBot="1" x14ac:dyDescent="0.25">
      <c r="B7313" s="5">
        <v>7308</v>
      </c>
      <c r="C7313" s="5">
        <v>190.34308064492643</v>
      </c>
      <c r="D7313" s="45"/>
    </row>
    <row r="7314" spans="2:4" ht="16" thickBot="1" x14ac:dyDescent="0.25">
      <c r="B7314" s="4">
        <v>7309</v>
      </c>
      <c r="C7314" s="4">
        <v>132.8712171648468</v>
      </c>
      <c r="D7314" s="45"/>
    </row>
    <row r="7315" spans="2:4" ht="16" thickBot="1" x14ac:dyDescent="0.25">
      <c r="B7315" s="5">
        <v>7310</v>
      </c>
      <c r="C7315" s="5">
        <v>96.2546801340429</v>
      </c>
      <c r="D7315" s="45"/>
    </row>
    <row r="7316" spans="2:4" ht="16" thickBot="1" x14ac:dyDescent="0.25">
      <c r="B7316" s="4">
        <v>7311</v>
      </c>
      <c r="C7316" s="4">
        <v>238.91045983373431</v>
      </c>
      <c r="D7316" s="45"/>
    </row>
    <row r="7317" spans="2:4" ht="16" thickBot="1" x14ac:dyDescent="0.25">
      <c r="B7317" s="5">
        <v>7312</v>
      </c>
      <c r="C7317" s="5">
        <v>147.28945847629544</v>
      </c>
      <c r="D7317" s="45"/>
    </row>
    <row r="7318" spans="2:4" ht="16" thickBot="1" x14ac:dyDescent="0.25">
      <c r="B7318" s="4">
        <v>7313</v>
      </c>
      <c r="C7318" s="4">
        <v>117.90811353802708</v>
      </c>
      <c r="D7318" s="45"/>
    </row>
    <row r="7319" spans="2:4" ht="16" thickBot="1" x14ac:dyDescent="0.25">
      <c r="B7319" s="5">
        <v>7314</v>
      </c>
      <c r="C7319" s="5">
        <v>52.501505410372161</v>
      </c>
      <c r="D7319" s="45"/>
    </row>
    <row r="7320" spans="2:4" ht="16" thickBot="1" x14ac:dyDescent="0.25">
      <c r="B7320" s="4">
        <v>7315</v>
      </c>
      <c r="C7320" s="4">
        <v>145.76381115389904</v>
      </c>
      <c r="D7320" s="45"/>
    </row>
    <row r="7321" spans="2:4" ht="16" thickBot="1" x14ac:dyDescent="0.25">
      <c r="B7321" s="5">
        <v>7316</v>
      </c>
      <c r="C7321" s="5">
        <v>226.19860862043288</v>
      </c>
      <c r="D7321" s="45"/>
    </row>
    <row r="7322" spans="2:4" ht="16" thickBot="1" x14ac:dyDescent="0.25">
      <c r="B7322" s="4">
        <v>7317</v>
      </c>
      <c r="C7322" s="4">
        <v>160.68452713678644</v>
      </c>
      <c r="D7322" s="45"/>
    </row>
    <row r="7323" spans="2:4" ht="16" thickBot="1" x14ac:dyDescent="0.25">
      <c r="B7323" s="5">
        <v>7318</v>
      </c>
      <c r="C7323" s="5">
        <v>145.6920696588634</v>
      </c>
      <c r="D7323" s="45"/>
    </row>
    <row r="7324" spans="2:4" ht="16" thickBot="1" x14ac:dyDescent="0.25">
      <c r="B7324" s="4">
        <v>7319</v>
      </c>
      <c r="C7324" s="4">
        <v>37.73847135279437</v>
      </c>
      <c r="D7324" s="45"/>
    </row>
    <row r="7325" spans="2:4" ht="16" thickBot="1" x14ac:dyDescent="0.25">
      <c r="B7325" s="5">
        <v>7320</v>
      </c>
      <c r="C7325" s="5">
        <v>328.23555653321768</v>
      </c>
      <c r="D7325" s="45"/>
    </row>
    <row r="7326" spans="2:4" ht="16" thickBot="1" x14ac:dyDescent="0.25">
      <c r="B7326" s="4">
        <v>7321</v>
      </c>
      <c r="C7326" s="4">
        <v>108.20564809829308</v>
      </c>
      <c r="D7326" s="45"/>
    </row>
    <row r="7327" spans="2:4" ht="16" thickBot="1" x14ac:dyDescent="0.25">
      <c r="B7327" s="5">
        <v>7322</v>
      </c>
      <c r="C7327" s="5">
        <v>137.85882417418816</v>
      </c>
      <c r="D7327" s="45"/>
    </row>
    <row r="7328" spans="2:4" ht="16" thickBot="1" x14ac:dyDescent="0.25">
      <c r="B7328" s="4">
        <v>7323</v>
      </c>
      <c r="C7328" s="4">
        <v>136.09094765139861</v>
      </c>
      <c r="D7328" s="45"/>
    </row>
    <row r="7329" spans="2:4" ht="16" thickBot="1" x14ac:dyDescent="0.25">
      <c r="B7329" s="5">
        <v>7324</v>
      </c>
      <c r="C7329" s="5">
        <v>141.06217185029067</v>
      </c>
      <c r="D7329" s="45"/>
    </row>
    <row r="7330" spans="2:4" ht="16" thickBot="1" x14ac:dyDescent="0.25">
      <c r="B7330" s="4">
        <v>7325</v>
      </c>
      <c r="C7330" s="4">
        <v>291.42676936234216</v>
      </c>
      <c r="D7330" s="45"/>
    </row>
    <row r="7331" spans="2:4" ht="16" thickBot="1" x14ac:dyDescent="0.25">
      <c r="B7331" s="5">
        <v>7326</v>
      </c>
      <c r="C7331" s="5">
        <v>108.91952752699659</v>
      </c>
      <c r="D7331" s="45"/>
    </row>
    <row r="7332" spans="2:4" ht="16" thickBot="1" x14ac:dyDescent="0.25">
      <c r="B7332" s="4">
        <v>7327</v>
      </c>
      <c r="C7332" s="4">
        <v>164.74737321543768</v>
      </c>
      <c r="D7332" s="45"/>
    </row>
    <row r="7333" spans="2:4" ht="16" thickBot="1" x14ac:dyDescent="0.25">
      <c r="B7333" s="5">
        <v>7328</v>
      </c>
      <c r="C7333" s="5">
        <v>111.74770575337828</v>
      </c>
      <c r="D7333" s="45"/>
    </row>
    <row r="7334" spans="2:4" ht="16" thickBot="1" x14ac:dyDescent="0.25">
      <c r="B7334" s="4">
        <v>7329</v>
      </c>
      <c r="C7334" s="4">
        <v>192.85449757544907</v>
      </c>
      <c r="D7334" s="45"/>
    </row>
    <row r="7335" spans="2:4" ht="16" thickBot="1" x14ac:dyDescent="0.25">
      <c r="B7335" s="5">
        <v>7330</v>
      </c>
      <c r="C7335" s="5">
        <v>156.25182437857023</v>
      </c>
      <c r="D7335" s="45"/>
    </row>
    <row r="7336" spans="2:4" ht="16" thickBot="1" x14ac:dyDescent="0.25">
      <c r="B7336" s="4">
        <v>7331</v>
      </c>
      <c r="C7336" s="4">
        <v>102.27763675778762</v>
      </c>
      <c r="D7336" s="45"/>
    </row>
    <row r="7337" spans="2:4" ht="16" thickBot="1" x14ac:dyDescent="0.25">
      <c r="B7337" s="5">
        <v>7332</v>
      </c>
      <c r="C7337" s="5">
        <v>199.50521173413284</v>
      </c>
      <c r="D7337" s="45"/>
    </row>
    <row r="7338" spans="2:4" ht="16" thickBot="1" x14ac:dyDescent="0.25">
      <c r="B7338" s="4">
        <v>7333</v>
      </c>
      <c r="C7338" s="4">
        <v>120.96607338225712</v>
      </c>
      <c r="D7338" s="45"/>
    </row>
    <row r="7339" spans="2:4" ht="16" thickBot="1" x14ac:dyDescent="0.25">
      <c r="B7339" s="5">
        <v>7334</v>
      </c>
      <c r="C7339" s="5">
        <v>209.04437497901264</v>
      </c>
      <c r="D7339" s="45"/>
    </row>
    <row r="7340" spans="2:4" ht="16" thickBot="1" x14ac:dyDescent="0.25">
      <c r="B7340" s="4">
        <v>7335</v>
      </c>
      <c r="C7340" s="4">
        <v>416.75630629040324</v>
      </c>
      <c r="D7340" s="45"/>
    </row>
    <row r="7341" spans="2:4" ht="16" thickBot="1" x14ac:dyDescent="0.25">
      <c r="B7341" s="5">
        <v>7336</v>
      </c>
      <c r="C7341" s="5">
        <v>285.36801819284102</v>
      </c>
      <c r="D7341" s="45"/>
    </row>
    <row r="7342" spans="2:4" ht="16" thickBot="1" x14ac:dyDescent="0.25">
      <c r="B7342" s="4">
        <v>7337</v>
      </c>
      <c r="C7342" s="4">
        <v>117.80296026113695</v>
      </c>
      <c r="D7342" s="45"/>
    </row>
    <row r="7343" spans="2:4" ht="16" thickBot="1" x14ac:dyDescent="0.25">
      <c r="B7343" s="5">
        <v>7338</v>
      </c>
      <c r="C7343" s="5">
        <v>90.345371431001638</v>
      </c>
      <c r="D7343" s="45"/>
    </row>
    <row r="7344" spans="2:4" ht="16" thickBot="1" x14ac:dyDescent="0.25">
      <c r="B7344" s="4">
        <v>7339</v>
      </c>
      <c r="C7344" s="4">
        <v>179.48562884477971</v>
      </c>
      <c r="D7344" s="45"/>
    </row>
    <row r="7345" spans="2:4" ht="16" thickBot="1" x14ac:dyDescent="0.25">
      <c r="B7345" s="5">
        <v>7340</v>
      </c>
      <c r="C7345" s="5">
        <v>195.25035830383578</v>
      </c>
      <c r="D7345" s="45"/>
    </row>
    <row r="7346" spans="2:4" ht="16" thickBot="1" x14ac:dyDescent="0.25">
      <c r="B7346" s="4">
        <v>7341</v>
      </c>
      <c r="C7346" s="4">
        <v>147.51298362060612</v>
      </c>
      <c r="D7346" s="45"/>
    </row>
    <row r="7347" spans="2:4" ht="16" thickBot="1" x14ac:dyDescent="0.25">
      <c r="B7347" s="5">
        <v>7342</v>
      </c>
      <c r="C7347" s="5">
        <v>97.315501200722139</v>
      </c>
      <c r="D7347" s="45"/>
    </row>
    <row r="7348" spans="2:4" ht="16" thickBot="1" x14ac:dyDescent="0.25">
      <c r="B7348" s="4">
        <v>7343</v>
      </c>
      <c r="C7348" s="4">
        <v>106.10258802056113</v>
      </c>
      <c r="D7348" s="45"/>
    </row>
    <row r="7349" spans="2:4" ht="16" thickBot="1" x14ac:dyDescent="0.25">
      <c r="B7349" s="5">
        <v>7344</v>
      </c>
      <c r="C7349" s="5">
        <v>243.41817283209753</v>
      </c>
      <c r="D7349" s="45"/>
    </row>
    <row r="7350" spans="2:4" ht="16" thickBot="1" x14ac:dyDescent="0.25">
      <c r="B7350" s="4">
        <v>7345</v>
      </c>
      <c r="C7350" s="4">
        <v>71.409581446180454</v>
      </c>
      <c r="D7350" s="45"/>
    </row>
    <row r="7351" spans="2:4" ht="16" thickBot="1" x14ac:dyDescent="0.25">
      <c r="B7351" s="5">
        <v>7346</v>
      </c>
      <c r="C7351" s="5">
        <v>65.591245765692349</v>
      </c>
      <c r="D7351" s="45"/>
    </row>
    <row r="7352" spans="2:4" ht="16" thickBot="1" x14ac:dyDescent="0.25">
      <c r="B7352" s="4">
        <v>7347</v>
      </c>
      <c r="C7352" s="4">
        <v>206.90275242996944</v>
      </c>
      <c r="D7352" s="45"/>
    </row>
    <row r="7353" spans="2:4" ht="16" thickBot="1" x14ac:dyDescent="0.25">
      <c r="B7353" s="5">
        <v>7348</v>
      </c>
      <c r="C7353" s="5">
        <v>98.391846753474155</v>
      </c>
      <c r="D7353" s="45"/>
    </row>
    <row r="7354" spans="2:4" ht="16" thickBot="1" x14ac:dyDescent="0.25">
      <c r="B7354" s="4">
        <v>7349</v>
      </c>
      <c r="C7354" s="4">
        <v>163.97506641179783</v>
      </c>
      <c r="D7354" s="45"/>
    </row>
    <row r="7355" spans="2:4" ht="16" thickBot="1" x14ac:dyDescent="0.25">
      <c r="B7355" s="5">
        <v>7350</v>
      </c>
      <c r="C7355" s="5">
        <v>59.308703242218556</v>
      </c>
      <c r="D7355" s="45"/>
    </row>
    <row r="7356" spans="2:4" ht="16" thickBot="1" x14ac:dyDescent="0.25">
      <c r="B7356" s="4">
        <v>7351</v>
      </c>
      <c r="C7356" s="4">
        <v>105.66950350279063</v>
      </c>
      <c r="D7356" s="45"/>
    </row>
    <row r="7357" spans="2:4" ht="16" thickBot="1" x14ac:dyDescent="0.25">
      <c r="B7357" s="5">
        <v>7352</v>
      </c>
      <c r="C7357" s="5">
        <v>143.60564420747784</v>
      </c>
      <c r="D7357" s="45"/>
    </row>
    <row r="7358" spans="2:4" ht="16" thickBot="1" x14ac:dyDescent="0.25">
      <c r="B7358" s="4">
        <v>7353</v>
      </c>
      <c r="C7358" s="4">
        <v>162.36846022073578</v>
      </c>
      <c r="D7358" s="45"/>
    </row>
    <row r="7359" spans="2:4" ht="16" thickBot="1" x14ac:dyDescent="0.25">
      <c r="B7359" s="5">
        <v>7354</v>
      </c>
      <c r="C7359" s="5">
        <v>96.289355358099499</v>
      </c>
      <c r="D7359" s="45"/>
    </row>
    <row r="7360" spans="2:4" ht="16" thickBot="1" x14ac:dyDescent="0.25">
      <c r="B7360" s="4">
        <v>7355</v>
      </c>
      <c r="C7360" s="4">
        <v>85.619679754763908</v>
      </c>
      <c r="D7360" s="45"/>
    </row>
    <row r="7361" spans="2:4" ht="16" thickBot="1" x14ac:dyDescent="0.25">
      <c r="B7361" s="5">
        <v>7356</v>
      </c>
      <c r="C7361" s="5">
        <v>66.924938210223786</v>
      </c>
      <c r="D7361" s="45"/>
    </row>
    <row r="7362" spans="2:4" ht="16" thickBot="1" x14ac:dyDescent="0.25">
      <c r="B7362" s="4">
        <v>7357</v>
      </c>
      <c r="C7362" s="4">
        <v>132.74480256396731</v>
      </c>
      <c r="D7362" s="45"/>
    </row>
    <row r="7363" spans="2:4" ht="16" thickBot="1" x14ac:dyDescent="0.25">
      <c r="B7363" s="5">
        <v>7358</v>
      </c>
      <c r="C7363" s="5">
        <v>382.89531879435475</v>
      </c>
      <c r="D7363" s="45"/>
    </row>
    <row r="7364" spans="2:4" ht="16" thickBot="1" x14ac:dyDescent="0.25">
      <c r="B7364" s="4">
        <v>7359</v>
      </c>
      <c r="C7364" s="4">
        <v>102.94683923550996</v>
      </c>
      <c r="D7364" s="45"/>
    </row>
    <row r="7365" spans="2:4" ht="16" thickBot="1" x14ac:dyDescent="0.25">
      <c r="B7365" s="5">
        <v>7360</v>
      </c>
      <c r="C7365" s="5">
        <v>153.07029263745829</v>
      </c>
      <c r="D7365" s="45"/>
    </row>
    <row r="7366" spans="2:4" ht="16" thickBot="1" x14ac:dyDescent="0.25">
      <c r="B7366" s="4">
        <v>7361</v>
      </c>
      <c r="C7366" s="4">
        <v>128.89923366541373</v>
      </c>
      <c r="D7366" s="45"/>
    </row>
    <row r="7367" spans="2:4" ht="16" thickBot="1" x14ac:dyDescent="0.25">
      <c r="B7367" s="5">
        <v>7362</v>
      </c>
      <c r="C7367" s="5">
        <v>118.73098600076354</v>
      </c>
      <c r="D7367" s="45"/>
    </row>
    <row r="7368" spans="2:4" ht="16" thickBot="1" x14ac:dyDescent="0.25">
      <c r="B7368" s="4">
        <v>7363</v>
      </c>
      <c r="C7368" s="4">
        <v>86.048623398775462</v>
      </c>
      <c r="D7368" s="45"/>
    </row>
    <row r="7369" spans="2:4" ht="16" thickBot="1" x14ac:dyDescent="0.25">
      <c r="B7369" s="5">
        <v>7364</v>
      </c>
      <c r="C7369" s="5">
        <v>206.69011741407544</v>
      </c>
      <c r="D7369" s="45"/>
    </row>
    <row r="7370" spans="2:4" ht="16" thickBot="1" x14ac:dyDescent="0.25">
      <c r="B7370" s="4">
        <v>7365</v>
      </c>
      <c r="C7370" s="4">
        <v>219.88560776259342</v>
      </c>
      <c r="D7370" s="45"/>
    </row>
    <row r="7371" spans="2:4" ht="16" thickBot="1" x14ac:dyDescent="0.25">
      <c r="B7371" s="5">
        <v>7366</v>
      </c>
      <c r="C7371" s="5">
        <v>288.86033059470844</v>
      </c>
      <c r="D7371" s="45"/>
    </row>
    <row r="7372" spans="2:4" ht="16" thickBot="1" x14ac:dyDescent="0.25">
      <c r="B7372" s="4">
        <v>7367</v>
      </c>
      <c r="C7372" s="4">
        <v>106.27278380468438</v>
      </c>
      <c r="D7372" s="45"/>
    </row>
    <row r="7373" spans="2:4" ht="16" thickBot="1" x14ac:dyDescent="0.25">
      <c r="B7373" s="5">
        <v>7368</v>
      </c>
      <c r="C7373" s="5">
        <v>140.3049146609695</v>
      </c>
      <c r="D7373" s="45"/>
    </row>
    <row r="7374" spans="2:4" ht="16" thickBot="1" x14ac:dyDescent="0.25">
      <c r="B7374" s="4">
        <v>7369</v>
      </c>
      <c r="C7374" s="4">
        <v>83.244212987822252</v>
      </c>
      <c r="D7374" s="45"/>
    </row>
    <row r="7375" spans="2:4" ht="16" thickBot="1" x14ac:dyDescent="0.25">
      <c r="B7375" s="5">
        <v>7370</v>
      </c>
      <c r="C7375" s="5">
        <v>147.89779937390875</v>
      </c>
      <c r="D7375" s="45"/>
    </row>
    <row r="7376" spans="2:4" ht="16" thickBot="1" x14ac:dyDescent="0.25">
      <c r="B7376" s="4">
        <v>7371</v>
      </c>
      <c r="C7376" s="4">
        <v>597.41428569921027</v>
      </c>
      <c r="D7376" s="45"/>
    </row>
    <row r="7377" spans="2:4" ht="16" thickBot="1" x14ac:dyDescent="0.25">
      <c r="B7377" s="5">
        <v>7372</v>
      </c>
      <c r="C7377" s="5">
        <v>107.90906737186009</v>
      </c>
      <c r="D7377" s="45"/>
    </row>
    <row r="7378" spans="2:4" ht="16" thickBot="1" x14ac:dyDescent="0.25">
      <c r="B7378" s="4">
        <v>7373</v>
      </c>
      <c r="C7378" s="4">
        <v>106.65778418010559</v>
      </c>
      <c r="D7378" s="45"/>
    </row>
    <row r="7379" spans="2:4" ht="16" thickBot="1" x14ac:dyDescent="0.25">
      <c r="B7379" s="5">
        <v>7374</v>
      </c>
      <c r="C7379" s="5">
        <v>123.17801228609463</v>
      </c>
      <c r="D7379" s="45"/>
    </row>
    <row r="7380" spans="2:4" ht="16" thickBot="1" x14ac:dyDescent="0.25">
      <c r="B7380" s="4">
        <v>7375</v>
      </c>
      <c r="C7380" s="4">
        <v>136.21016829931818</v>
      </c>
      <c r="D7380" s="45"/>
    </row>
    <row r="7381" spans="2:4" ht="16" thickBot="1" x14ac:dyDescent="0.25">
      <c r="B7381" s="5">
        <v>7376</v>
      </c>
      <c r="C7381" s="5">
        <v>223.52414329605244</v>
      </c>
      <c r="D7381" s="45"/>
    </row>
    <row r="7382" spans="2:4" ht="16" thickBot="1" x14ac:dyDescent="0.25">
      <c r="B7382" s="4">
        <v>7377</v>
      </c>
      <c r="C7382" s="4">
        <v>399.46583687298823</v>
      </c>
      <c r="D7382" s="45"/>
    </row>
    <row r="7383" spans="2:4" ht="16" thickBot="1" x14ac:dyDescent="0.25">
      <c r="B7383" s="5">
        <v>7378</v>
      </c>
      <c r="C7383" s="5">
        <v>327.77590581181437</v>
      </c>
      <c r="D7383" s="45"/>
    </row>
    <row r="7384" spans="2:4" ht="16" thickBot="1" x14ac:dyDescent="0.25">
      <c r="B7384" s="4">
        <v>7379</v>
      </c>
      <c r="C7384" s="4">
        <v>103.91663370985529</v>
      </c>
      <c r="D7384" s="45"/>
    </row>
    <row r="7385" spans="2:4" ht="16" thickBot="1" x14ac:dyDescent="0.25">
      <c r="B7385" s="5">
        <v>7380</v>
      </c>
      <c r="C7385" s="5">
        <v>111.76286803264907</v>
      </c>
      <c r="D7385" s="45"/>
    </row>
    <row r="7386" spans="2:4" ht="16" thickBot="1" x14ac:dyDescent="0.25">
      <c r="B7386" s="4">
        <v>7381</v>
      </c>
      <c r="C7386" s="4">
        <v>78.353971193783124</v>
      </c>
      <c r="D7386" s="45"/>
    </row>
    <row r="7387" spans="2:4" ht="16" thickBot="1" x14ac:dyDescent="0.25">
      <c r="B7387" s="5">
        <v>7382</v>
      </c>
      <c r="C7387" s="5">
        <v>271.62270717382233</v>
      </c>
      <c r="D7387" s="45"/>
    </row>
    <row r="7388" spans="2:4" ht="16" thickBot="1" x14ac:dyDescent="0.25">
      <c r="B7388" s="4">
        <v>7383</v>
      </c>
      <c r="C7388" s="4">
        <v>77.125076058056649</v>
      </c>
      <c r="D7388" s="45"/>
    </row>
    <row r="7389" spans="2:4" ht="16" thickBot="1" x14ac:dyDescent="0.25">
      <c r="B7389" s="5">
        <v>7384</v>
      </c>
      <c r="C7389" s="5">
        <v>128.30009275626134</v>
      </c>
      <c r="D7389" s="45"/>
    </row>
    <row r="7390" spans="2:4" ht="16" thickBot="1" x14ac:dyDescent="0.25">
      <c r="B7390" s="4">
        <v>7385</v>
      </c>
      <c r="C7390" s="4">
        <v>116.12849580804527</v>
      </c>
      <c r="D7390" s="45"/>
    </row>
    <row r="7391" spans="2:4" ht="16" thickBot="1" x14ac:dyDescent="0.25">
      <c r="B7391" s="5">
        <v>7386</v>
      </c>
      <c r="C7391" s="5">
        <v>183.35809154464513</v>
      </c>
      <c r="D7391" s="45"/>
    </row>
    <row r="7392" spans="2:4" ht="16" thickBot="1" x14ac:dyDescent="0.25">
      <c r="B7392" s="4">
        <v>7387</v>
      </c>
      <c r="C7392" s="4">
        <v>137.1823013177397</v>
      </c>
      <c r="D7392" s="45"/>
    </row>
    <row r="7393" spans="2:4" ht="16" thickBot="1" x14ac:dyDescent="0.25">
      <c r="B7393" s="5">
        <v>7388</v>
      </c>
      <c r="C7393" s="5">
        <v>124.81920863894443</v>
      </c>
      <c r="D7393" s="45"/>
    </row>
    <row r="7394" spans="2:4" ht="16" thickBot="1" x14ac:dyDescent="0.25">
      <c r="B7394" s="4">
        <v>7389</v>
      </c>
      <c r="C7394" s="4">
        <v>161.53707326350366</v>
      </c>
      <c r="D7394" s="45"/>
    </row>
    <row r="7395" spans="2:4" ht="16" thickBot="1" x14ac:dyDescent="0.25">
      <c r="B7395" s="5">
        <v>7390</v>
      </c>
      <c r="C7395" s="5">
        <v>62.362852930664225</v>
      </c>
      <c r="D7395" s="45"/>
    </row>
    <row r="7396" spans="2:4" ht="16" thickBot="1" x14ac:dyDescent="0.25">
      <c r="B7396" s="4">
        <v>7391</v>
      </c>
      <c r="C7396" s="4">
        <v>107.33243810819901</v>
      </c>
      <c r="D7396" s="45"/>
    </row>
    <row r="7397" spans="2:4" ht="16" thickBot="1" x14ac:dyDescent="0.25">
      <c r="B7397" s="5">
        <v>7392</v>
      </c>
      <c r="C7397" s="5">
        <v>212.90875082402411</v>
      </c>
      <c r="D7397" s="45"/>
    </row>
    <row r="7398" spans="2:4" ht="16" thickBot="1" x14ac:dyDescent="0.25">
      <c r="B7398" s="4">
        <v>7393</v>
      </c>
      <c r="C7398" s="4">
        <v>151.06217968583104</v>
      </c>
      <c r="D7398" s="45"/>
    </row>
    <row r="7399" spans="2:4" ht="16" thickBot="1" x14ac:dyDescent="0.25">
      <c r="B7399" s="5">
        <v>7394</v>
      </c>
      <c r="C7399" s="5">
        <v>168.75387071750237</v>
      </c>
      <c r="D7399" s="45"/>
    </row>
    <row r="7400" spans="2:4" ht="16" thickBot="1" x14ac:dyDescent="0.25">
      <c r="B7400" s="4">
        <v>7395</v>
      </c>
      <c r="C7400" s="4">
        <v>111.26581453636894</v>
      </c>
      <c r="D7400" s="45"/>
    </row>
    <row r="7401" spans="2:4" ht="16" thickBot="1" x14ac:dyDescent="0.25">
      <c r="B7401" s="5">
        <v>7396</v>
      </c>
      <c r="C7401" s="5">
        <v>69.920503004688314</v>
      </c>
      <c r="D7401" s="45"/>
    </row>
    <row r="7402" spans="2:4" ht="16" thickBot="1" x14ac:dyDescent="0.25">
      <c r="B7402" s="4">
        <v>7397</v>
      </c>
      <c r="C7402" s="4">
        <v>182.80439821898051</v>
      </c>
      <c r="D7402" s="45"/>
    </row>
    <row r="7403" spans="2:4" ht="16" thickBot="1" x14ac:dyDescent="0.25">
      <c r="B7403" s="5">
        <v>7398</v>
      </c>
      <c r="C7403" s="5">
        <v>66.116705271114753</v>
      </c>
      <c r="D7403" s="45"/>
    </row>
    <row r="7404" spans="2:4" ht="16" thickBot="1" x14ac:dyDescent="0.25">
      <c r="B7404" s="4">
        <v>7399</v>
      </c>
      <c r="C7404" s="4">
        <v>201.12949371622318</v>
      </c>
      <c r="D7404" s="45"/>
    </row>
    <row r="7405" spans="2:4" ht="16" thickBot="1" x14ac:dyDescent="0.25">
      <c r="B7405" s="5">
        <v>7400</v>
      </c>
      <c r="C7405" s="5">
        <v>188.81588401613533</v>
      </c>
      <c r="D7405" s="45"/>
    </row>
    <row r="7406" spans="2:4" ht="16" thickBot="1" x14ac:dyDescent="0.25">
      <c r="B7406" s="4">
        <v>7401</v>
      </c>
      <c r="C7406" s="4">
        <v>144.2782967995895</v>
      </c>
      <c r="D7406" s="45"/>
    </row>
    <row r="7407" spans="2:4" ht="16" thickBot="1" x14ac:dyDescent="0.25">
      <c r="B7407" s="5">
        <v>7402</v>
      </c>
      <c r="C7407" s="5">
        <v>157.58270395118254</v>
      </c>
      <c r="D7407" s="45"/>
    </row>
    <row r="7408" spans="2:4" ht="16" thickBot="1" x14ac:dyDescent="0.25">
      <c r="B7408" s="4">
        <v>7403</v>
      </c>
      <c r="C7408" s="4">
        <v>195.12200483209625</v>
      </c>
      <c r="D7408" s="45"/>
    </row>
    <row r="7409" spans="2:4" ht="16" thickBot="1" x14ac:dyDescent="0.25">
      <c r="B7409" s="5">
        <v>7404</v>
      </c>
      <c r="C7409" s="5">
        <v>89.219382438542567</v>
      </c>
      <c r="D7409" s="45"/>
    </row>
    <row r="7410" spans="2:4" ht="16" thickBot="1" x14ac:dyDescent="0.25">
      <c r="B7410" s="4">
        <v>7405</v>
      </c>
      <c r="C7410" s="4">
        <v>214.13976110035313</v>
      </c>
      <c r="D7410" s="45"/>
    </row>
    <row r="7411" spans="2:4" ht="16" thickBot="1" x14ac:dyDescent="0.25">
      <c r="B7411" s="5">
        <v>7406</v>
      </c>
      <c r="C7411" s="5">
        <v>54.452424942249657</v>
      </c>
      <c r="D7411" s="45"/>
    </row>
    <row r="7412" spans="2:4" ht="16" thickBot="1" x14ac:dyDescent="0.25">
      <c r="B7412" s="4">
        <v>7407</v>
      </c>
      <c r="C7412" s="4">
        <v>129.05159016593882</v>
      </c>
      <c r="D7412" s="45"/>
    </row>
    <row r="7413" spans="2:4" ht="16" thickBot="1" x14ac:dyDescent="0.25">
      <c r="B7413" s="5">
        <v>7408</v>
      </c>
      <c r="C7413" s="5">
        <v>142.17195625334409</v>
      </c>
      <c r="D7413" s="45"/>
    </row>
    <row r="7414" spans="2:4" ht="16" thickBot="1" x14ac:dyDescent="0.25">
      <c r="B7414" s="4">
        <v>7409</v>
      </c>
      <c r="C7414" s="4">
        <v>229.52439457300167</v>
      </c>
      <c r="D7414" s="45"/>
    </row>
    <row r="7415" spans="2:4" ht="16" thickBot="1" x14ac:dyDescent="0.25">
      <c r="B7415" s="5">
        <v>7410</v>
      </c>
      <c r="C7415" s="5">
        <v>369.25283292027359</v>
      </c>
      <c r="D7415" s="45"/>
    </row>
    <row r="7416" spans="2:4" ht="16" thickBot="1" x14ac:dyDescent="0.25">
      <c r="B7416" s="4">
        <v>7411</v>
      </c>
      <c r="C7416" s="4">
        <v>82.746012683467725</v>
      </c>
      <c r="D7416" s="45"/>
    </row>
    <row r="7417" spans="2:4" ht="16" thickBot="1" x14ac:dyDescent="0.25">
      <c r="B7417" s="5">
        <v>7412</v>
      </c>
      <c r="C7417" s="5">
        <v>370.85857420164672</v>
      </c>
      <c r="D7417" s="45"/>
    </row>
    <row r="7418" spans="2:4" ht="16" thickBot="1" x14ac:dyDescent="0.25">
      <c r="B7418" s="4">
        <v>7413</v>
      </c>
      <c r="C7418" s="4">
        <v>241.86379142333877</v>
      </c>
      <c r="D7418" s="45"/>
    </row>
    <row r="7419" spans="2:4" ht="16" thickBot="1" x14ac:dyDescent="0.25">
      <c r="B7419" s="5">
        <v>7414</v>
      </c>
      <c r="C7419" s="5">
        <v>132.84168780481679</v>
      </c>
      <c r="D7419" s="45"/>
    </row>
    <row r="7420" spans="2:4" ht="16" thickBot="1" x14ac:dyDescent="0.25">
      <c r="B7420" s="4">
        <v>7415</v>
      </c>
      <c r="C7420" s="4">
        <v>101.86153187003654</v>
      </c>
      <c r="D7420" s="45"/>
    </row>
    <row r="7421" spans="2:4" ht="16" thickBot="1" x14ac:dyDescent="0.25">
      <c r="B7421" s="5">
        <v>7416</v>
      </c>
      <c r="C7421" s="5">
        <v>175.79180030481115</v>
      </c>
      <c r="D7421" s="45"/>
    </row>
    <row r="7422" spans="2:4" ht="16" thickBot="1" x14ac:dyDescent="0.25">
      <c r="B7422" s="4">
        <v>7417</v>
      </c>
      <c r="C7422" s="4">
        <v>93.829493465978473</v>
      </c>
      <c r="D7422" s="45"/>
    </row>
    <row r="7423" spans="2:4" ht="16" thickBot="1" x14ac:dyDescent="0.25">
      <c r="B7423" s="5">
        <v>7418</v>
      </c>
      <c r="C7423" s="5">
        <v>252.75411953704256</v>
      </c>
      <c r="D7423" s="45"/>
    </row>
    <row r="7424" spans="2:4" ht="16" thickBot="1" x14ac:dyDescent="0.25">
      <c r="B7424" s="4">
        <v>7419</v>
      </c>
      <c r="C7424" s="4">
        <v>174.55141770037665</v>
      </c>
      <c r="D7424" s="45"/>
    </row>
    <row r="7425" spans="2:4" ht="16" thickBot="1" x14ac:dyDescent="0.25">
      <c r="B7425" s="5">
        <v>7420</v>
      </c>
      <c r="C7425" s="5">
        <v>93.471182652400046</v>
      </c>
      <c r="D7425" s="45"/>
    </row>
    <row r="7426" spans="2:4" ht="16" thickBot="1" x14ac:dyDescent="0.25">
      <c r="B7426" s="4">
        <v>7421</v>
      </c>
      <c r="C7426" s="4">
        <v>225.65527972119656</v>
      </c>
      <c r="D7426" s="45"/>
    </row>
    <row r="7427" spans="2:4" ht="16" thickBot="1" x14ac:dyDescent="0.25">
      <c r="B7427" s="5">
        <v>7422</v>
      </c>
      <c r="C7427" s="5">
        <v>282.95602295369707</v>
      </c>
      <c r="D7427" s="45"/>
    </row>
    <row r="7428" spans="2:4" ht="16" thickBot="1" x14ac:dyDescent="0.25">
      <c r="B7428" s="4">
        <v>7423</v>
      </c>
      <c r="C7428" s="4">
        <v>194.90756650603123</v>
      </c>
      <c r="D7428" s="45"/>
    </row>
    <row r="7429" spans="2:4" ht="16" thickBot="1" x14ac:dyDescent="0.25">
      <c r="B7429" s="5">
        <v>7424</v>
      </c>
      <c r="C7429" s="5">
        <v>167.3620082569791</v>
      </c>
      <c r="D7429" s="45"/>
    </row>
    <row r="7430" spans="2:4" ht="16" thickBot="1" x14ac:dyDescent="0.25">
      <c r="B7430" s="4">
        <v>7425</v>
      </c>
      <c r="C7430" s="4">
        <v>390.62048400973015</v>
      </c>
      <c r="D7430" s="45"/>
    </row>
    <row r="7431" spans="2:4" ht="16" thickBot="1" x14ac:dyDescent="0.25">
      <c r="B7431" s="5">
        <v>7426</v>
      </c>
      <c r="C7431" s="5">
        <v>134.83555019334079</v>
      </c>
      <c r="D7431" s="45"/>
    </row>
    <row r="7432" spans="2:4" ht="16" thickBot="1" x14ac:dyDescent="0.25">
      <c r="B7432" s="4">
        <v>7427</v>
      </c>
      <c r="C7432" s="4">
        <v>54.813219659531313</v>
      </c>
      <c r="D7432" s="45"/>
    </row>
    <row r="7433" spans="2:4" ht="16" thickBot="1" x14ac:dyDescent="0.25">
      <c r="B7433" s="5">
        <v>7428</v>
      </c>
      <c r="C7433" s="5">
        <v>96.070003401957024</v>
      </c>
      <c r="D7433" s="45"/>
    </row>
    <row r="7434" spans="2:4" ht="16" thickBot="1" x14ac:dyDescent="0.25">
      <c r="B7434" s="4">
        <v>7429</v>
      </c>
      <c r="C7434" s="4">
        <v>216.86870897699501</v>
      </c>
      <c r="D7434" s="45"/>
    </row>
    <row r="7435" spans="2:4" ht="16" thickBot="1" x14ac:dyDescent="0.25">
      <c r="B7435" s="5">
        <v>7430</v>
      </c>
      <c r="C7435" s="5">
        <v>113.52877389535711</v>
      </c>
      <c r="D7435" s="45"/>
    </row>
    <row r="7436" spans="2:4" ht="16" thickBot="1" x14ac:dyDescent="0.25">
      <c r="B7436" s="4">
        <v>7431</v>
      </c>
      <c r="C7436" s="4">
        <v>175.9323248849677</v>
      </c>
      <c r="D7436" s="45"/>
    </row>
    <row r="7437" spans="2:4" ht="16" thickBot="1" x14ac:dyDescent="0.25">
      <c r="B7437" s="5">
        <v>7432</v>
      </c>
      <c r="C7437" s="5">
        <v>243.30950812184901</v>
      </c>
      <c r="D7437" s="45"/>
    </row>
    <row r="7438" spans="2:4" ht="16" thickBot="1" x14ac:dyDescent="0.25">
      <c r="B7438" s="4">
        <v>7433</v>
      </c>
      <c r="C7438" s="4">
        <v>62.783259663476549</v>
      </c>
      <c r="D7438" s="45"/>
    </row>
    <row r="7439" spans="2:4" ht="16" thickBot="1" x14ac:dyDescent="0.25">
      <c r="B7439" s="5">
        <v>7434</v>
      </c>
      <c r="C7439" s="5">
        <v>230.48950108009043</v>
      </c>
      <c r="D7439" s="45"/>
    </row>
    <row r="7440" spans="2:4" ht="16" thickBot="1" x14ac:dyDescent="0.25">
      <c r="B7440" s="4">
        <v>7435</v>
      </c>
      <c r="C7440" s="4">
        <v>116.49891282285877</v>
      </c>
      <c r="D7440" s="45"/>
    </row>
    <row r="7441" spans="2:4" ht="16" thickBot="1" x14ac:dyDescent="0.25">
      <c r="B7441" s="5">
        <v>7436</v>
      </c>
      <c r="C7441" s="5">
        <v>237.96674275825441</v>
      </c>
      <c r="D7441" s="45"/>
    </row>
    <row r="7442" spans="2:4" ht="16" thickBot="1" x14ac:dyDescent="0.25">
      <c r="B7442" s="4">
        <v>7437</v>
      </c>
      <c r="C7442" s="4">
        <v>346.32675718827358</v>
      </c>
      <c r="D7442" s="45"/>
    </row>
    <row r="7443" spans="2:4" ht="16" thickBot="1" x14ac:dyDescent="0.25">
      <c r="B7443" s="5">
        <v>7438</v>
      </c>
      <c r="C7443" s="5">
        <v>82.195114153013648</v>
      </c>
      <c r="D7443" s="45"/>
    </row>
    <row r="7444" spans="2:4" ht="16" thickBot="1" x14ac:dyDescent="0.25">
      <c r="B7444" s="4">
        <v>7439</v>
      </c>
      <c r="C7444" s="4">
        <v>137.89709328230583</v>
      </c>
      <c r="D7444" s="45"/>
    </row>
    <row r="7445" spans="2:4" ht="16" thickBot="1" x14ac:dyDescent="0.25">
      <c r="B7445" s="5">
        <v>7440</v>
      </c>
      <c r="C7445" s="5">
        <v>100.82029298824868</v>
      </c>
      <c r="D7445" s="45"/>
    </row>
    <row r="7446" spans="2:4" ht="16" thickBot="1" x14ac:dyDescent="0.25">
      <c r="B7446" s="4">
        <v>7441</v>
      </c>
      <c r="C7446" s="4">
        <v>465.3720309878521</v>
      </c>
      <c r="D7446" s="45"/>
    </row>
    <row r="7447" spans="2:4" ht="16" thickBot="1" x14ac:dyDescent="0.25">
      <c r="B7447" s="5">
        <v>7442</v>
      </c>
      <c r="C7447" s="5">
        <v>148.03879960113969</v>
      </c>
      <c r="D7447" s="45"/>
    </row>
    <row r="7448" spans="2:4" ht="16" thickBot="1" x14ac:dyDescent="0.25">
      <c r="B7448" s="4">
        <v>7443</v>
      </c>
      <c r="C7448" s="4">
        <v>574.85362260242471</v>
      </c>
      <c r="D7448" s="45"/>
    </row>
    <row r="7449" spans="2:4" ht="16" thickBot="1" x14ac:dyDescent="0.25">
      <c r="B7449" s="5">
        <v>7444</v>
      </c>
      <c r="C7449" s="5">
        <v>271.76630652415685</v>
      </c>
      <c r="D7449" s="45"/>
    </row>
    <row r="7450" spans="2:4" ht="16" thickBot="1" x14ac:dyDescent="0.25">
      <c r="B7450" s="4">
        <v>7445</v>
      </c>
      <c r="C7450" s="4">
        <v>289.81815165943709</v>
      </c>
      <c r="D7450" s="45"/>
    </row>
    <row r="7451" spans="2:4" ht="16" thickBot="1" x14ac:dyDescent="0.25">
      <c r="B7451" s="5">
        <v>7446</v>
      </c>
      <c r="C7451" s="5">
        <v>72.107958513605055</v>
      </c>
      <c r="D7451" s="45"/>
    </row>
    <row r="7452" spans="2:4" ht="16" thickBot="1" x14ac:dyDescent="0.25">
      <c r="B7452" s="4">
        <v>7447</v>
      </c>
      <c r="C7452" s="4">
        <v>122.78067253717738</v>
      </c>
      <c r="D7452" s="45"/>
    </row>
    <row r="7453" spans="2:4" ht="16" thickBot="1" x14ac:dyDescent="0.25">
      <c r="B7453" s="5">
        <v>7448</v>
      </c>
      <c r="C7453" s="5">
        <v>151.30212777315541</v>
      </c>
      <c r="D7453" s="45"/>
    </row>
    <row r="7454" spans="2:4" ht="16" thickBot="1" x14ac:dyDescent="0.25">
      <c r="B7454" s="4">
        <v>7449</v>
      </c>
      <c r="C7454" s="4">
        <v>199.71145361846146</v>
      </c>
      <c r="D7454" s="45"/>
    </row>
    <row r="7455" spans="2:4" ht="16" thickBot="1" x14ac:dyDescent="0.25">
      <c r="B7455" s="5">
        <v>7450</v>
      </c>
      <c r="C7455" s="5">
        <v>327.04469636270159</v>
      </c>
      <c r="D7455" s="45"/>
    </row>
    <row r="7456" spans="2:4" ht="16" thickBot="1" x14ac:dyDescent="0.25">
      <c r="B7456" s="4">
        <v>7451</v>
      </c>
      <c r="C7456" s="4">
        <v>149.72410484539293</v>
      </c>
      <c r="D7456" s="45"/>
    </row>
    <row r="7457" spans="2:4" ht="16" thickBot="1" x14ac:dyDescent="0.25">
      <c r="B7457" s="5">
        <v>7452</v>
      </c>
      <c r="C7457" s="5">
        <v>135.50268626150253</v>
      </c>
      <c r="D7457" s="45"/>
    </row>
    <row r="7458" spans="2:4" ht="16" thickBot="1" x14ac:dyDescent="0.25">
      <c r="B7458" s="4">
        <v>7453</v>
      </c>
      <c r="C7458" s="4">
        <v>217.97204140347398</v>
      </c>
      <c r="D7458" s="45"/>
    </row>
    <row r="7459" spans="2:4" ht="16" thickBot="1" x14ac:dyDescent="0.25">
      <c r="B7459" s="5">
        <v>7454</v>
      </c>
      <c r="C7459" s="5">
        <v>155.968017453991</v>
      </c>
      <c r="D7459" s="45"/>
    </row>
    <row r="7460" spans="2:4" ht="16" thickBot="1" x14ac:dyDescent="0.25">
      <c r="B7460" s="4">
        <v>7455</v>
      </c>
      <c r="C7460" s="4">
        <v>178.09573599205632</v>
      </c>
      <c r="D7460" s="45"/>
    </row>
    <row r="7461" spans="2:4" ht="16" thickBot="1" x14ac:dyDescent="0.25">
      <c r="B7461" s="5">
        <v>7456</v>
      </c>
      <c r="C7461" s="5">
        <v>56.227492623808587</v>
      </c>
      <c r="D7461" s="45"/>
    </row>
    <row r="7462" spans="2:4" ht="16" thickBot="1" x14ac:dyDescent="0.25">
      <c r="B7462" s="4">
        <v>7457</v>
      </c>
      <c r="C7462" s="4">
        <v>297.43368088927929</v>
      </c>
      <c r="D7462" s="45"/>
    </row>
    <row r="7463" spans="2:4" ht="16" thickBot="1" x14ac:dyDescent="0.25">
      <c r="B7463" s="5">
        <v>7458</v>
      </c>
      <c r="C7463" s="5">
        <v>139.7191751458291</v>
      </c>
      <c r="D7463" s="45"/>
    </row>
    <row r="7464" spans="2:4" ht="16" thickBot="1" x14ac:dyDescent="0.25">
      <c r="B7464" s="4">
        <v>7459</v>
      </c>
      <c r="C7464" s="4">
        <v>177.14257053702022</v>
      </c>
      <c r="D7464" s="45"/>
    </row>
    <row r="7465" spans="2:4" ht="16" thickBot="1" x14ac:dyDescent="0.25">
      <c r="B7465" s="5">
        <v>7460</v>
      </c>
      <c r="C7465" s="5">
        <v>126.52597364255526</v>
      </c>
      <c r="D7465" s="45"/>
    </row>
    <row r="7466" spans="2:4" ht="16" thickBot="1" x14ac:dyDescent="0.25">
      <c r="B7466" s="4">
        <v>7461</v>
      </c>
      <c r="C7466" s="4">
        <v>171.03973920192999</v>
      </c>
      <c r="D7466" s="45"/>
    </row>
    <row r="7467" spans="2:4" ht="16" thickBot="1" x14ac:dyDescent="0.25">
      <c r="B7467" s="5">
        <v>7462</v>
      </c>
      <c r="C7467" s="5">
        <v>106.5814580056611</v>
      </c>
      <c r="D7467" s="45"/>
    </row>
    <row r="7468" spans="2:4" ht="16" thickBot="1" x14ac:dyDescent="0.25">
      <c r="B7468" s="4">
        <v>7463</v>
      </c>
      <c r="C7468" s="4">
        <v>274.81888721461826</v>
      </c>
      <c r="D7468" s="45"/>
    </row>
    <row r="7469" spans="2:4" ht="16" thickBot="1" x14ac:dyDescent="0.25">
      <c r="B7469" s="5">
        <v>7464</v>
      </c>
      <c r="C7469" s="5">
        <v>181.22243353179911</v>
      </c>
      <c r="D7469" s="45"/>
    </row>
    <row r="7470" spans="2:4" ht="16" thickBot="1" x14ac:dyDescent="0.25">
      <c r="B7470" s="4">
        <v>7465</v>
      </c>
      <c r="C7470" s="4">
        <v>95.32614625489127</v>
      </c>
      <c r="D7470" s="45"/>
    </row>
    <row r="7471" spans="2:4" ht="16" thickBot="1" x14ac:dyDescent="0.25">
      <c r="B7471" s="5">
        <v>7466</v>
      </c>
      <c r="C7471" s="5">
        <v>91.622453819894517</v>
      </c>
      <c r="D7471" s="45"/>
    </row>
    <row r="7472" spans="2:4" ht="16" thickBot="1" x14ac:dyDescent="0.25">
      <c r="B7472" s="4">
        <v>7467</v>
      </c>
      <c r="C7472" s="4">
        <v>269.11314178305958</v>
      </c>
      <c r="D7472" s="45"/>
    </row>
    <row r="7473" spans="2:4" ht="16" thickBot="1" x14ac:dyDescent="0.25">
      <c r="B7473" s="5">
        <v>7468</v>
      </c>
      <c r="C7473" s="5">
        <v>186.17531938411986</v>
      </c>
      <c r="D7473" s="45"/>
    </row>
    <row r="7474" spans="2:4" ht="16" thickBot="1" x14ac:dyDescent="0.25">
      <c r="B7474" s="4">
        <v>7469</v>
      </c>
      <c r="C7474" s="4">
        <v>58.331777887348792</v>
      </c>
      <c r="D7474" s="45"/>
    </row>
    <row r="7475" spans="2:4" ht="16" thickBot="1" x14ac:dyDescent="0.25">
      <c r="B7475" s="5">
        <v>7470</v>
      </c>
      <c r="C7475" s="5">
        <v>191.35978348289456</v>
      </c>
      <c r="D7475" s="45"/>
    </row>
    <row r="7476" spans="2:4" ht="16" thickBot="1" x14ac:dyDescent="0.25">
      <c r="B7476" s="4">
        <v>7471</v>
      </c>
      <c r="C7476" s="4">
        <v>95.313502271198246</v>
      </c>
      <c r="D7476" s="45"/>
    </row>
    <row r="7477" spans="2:4" ht="16" thickBot="1" x14ac:dyDescent="0.25">
      <c r="B7477" s="5">
        <v>7472</v>
      </c>
      <c r="C7477" s="5">
        <v>288.33878311340089</v>
      </c>
      <c r="D7477" s="45"/>
    </row>
    <row r="7478" spans="2:4" ht="16" thickBot="1" x14ac:dyDescent="0.25">
      <c r="B7478" s="4">
        <v>7473</v>
      </c>
      <c r="C7478" s="4">
        <v>76.074535515503356</v>
      </c>
      <c r="D7478" s="45"/>
    </row>
    <row r="7479" spans="2:4" ht="16" thickBot="1" x14ac:dyDescent="0.25">
      <c r="B7479" s="5">
        <v>7474</v>
      </c>
      <c r="C7479" s="5">
        <v>191.43710555382287</v>
      </c>
      <c r="D7479" s="45"/>
    </row>
    <row r="7480" spans="2:4" ht="16" thickBot="1" x14ac:dyDescent="0.25">
      <c r="B7480" s="4">
        <v>7475</v>
      </c>
      <c r="C7480" s="4">
        <v>280.32184111344225</v>
      </c>
      <c r="D7480" s="45"/>
    </row>
    <row r="7481" spans="2:4" ht="16" thickBot="1" x14ac:dyDescent="0.25">
      <c r="B7481" s="5">
        <v>7476</v>
      </c>
      <c r="C7481" s="5">
        <v>197.04952708123176</v>
      </c>
      <c r="D7481" s="45"/>
    </row>
    <row r="7482" spans="2:4" ht="16" thickBot="1" x14ac:dyDescent="0.25">
      <c r="B7482" s="4">
        <v>7477</v>
      </c>
      <c r="C7482" s="4">
        <v>62.289007394612504</v>
      </c>
      <c r="D7482" s="45"/>
    </row>
    <row r="7483" spans="2:4" ht="16" thickBot="1" x14ac:dyDescent="0.25">
      <c r="B7483" s="5">
        <v>7478</v>
      </c>
      <c r="C7483" s="5">
        <v>119.70999990449369</v>
      </c>
      <c r="D7483" s="45"/>
    </row>
    <row r="7484" spans="2:4" ht="16" thickBot="1" x14ac:dyDescent="0.25">
      <c r="B7484" s="4">
        <v>7479</v>
      </c>
      <c r="C7484" s="4">
        <v>184.91772401072825</v>
      </c>
      <c r="D7484" s="45"/>
    </row>
    <row r="7485" spans="2:4" ht="16" thickBot="1" x14ac:dyDescent="0.25">
      <c r="B7485" s="5">
        <v>7480</v>
      </c>
      <c r="C7485" s="5">
        <v>133.52040489187735</v>
      </c>
      <c r="D7485" s="45"/>
    </row>
    <row r="7486" spans="2:4" ht="16" thickBot="1" x14ac:dyDescent="0.25">
      <c r="B7486" s="4">
        <v>7481</v>
      </c>
      <c r="C7486" s="4">
        <v>222.99198899351063</v>
      </c>
      <c r="D7486" s="45"/>
    </row>
    <row r="7487" spans="2:4" ht="16" thickBot="1" x14ac:dyDescent="0.25">
      <c r="B7487" s="5">
        <v>7482</v>
      </c>
      <c r="C7487" s="5">
        <v>144.26955855159656</v>
      </c>
      <c r="D7487" s="45"/>
    </row>
    <row r="7488" spans="2:4" ht="16" thickBot="1" x14ac:dyDescent="0.25">
      <c r="B7488" s="4">
        <v>7483</v>
      </c>
      <c r="C7488" s="4">
        <v>163.52453838633031</v>
      </c>
      <c r="D7488" s="45"/>
    </row>
    <row r="7489" spans="2:4" ht="16" thickBot="1" x14ac:dyDescent="0.25">
      <c r="B7489" s="5">
        <v>7484</v>
      </c>
      <c r="C7489" s="5">
        <v>217.9663793863923</v>
      </c>
      <c r="D7489" s="45"/>
    </row>
    <row r="7490" spans="2:4" ht="16" thickBot="1" x14ac:dyDescent="0.25">
      <c r="B7490" s="4">
        <v>7485</v>
      </c>
      <c r="C7490" s="4">
        <v>156.81488716713289</v>
      </c>
      <c r="D7490" s="45"/>
    </row>
    <row r="7491" spans="2:4" ht="16" thickBot="1" x14ac:dyDescent="0.25">
      <c r="B7491" s="5">
        <v>7486</v>
      </c>
      <c r="C7491" s="5">
        <v>73.903454715508303</v>
      </c>
      <c r="D7491" s="45"/>
    </row>
    <row r="7492" spans="2:4" ht="16" thickBot="1" x14ac:dyDescent="0.25">
      <c r="B7492" s="4">
        <v>7487</v>
      </c>
      <c r="C7492" s="4">
        <v>138.50893347832391</v>
      </c>
      <c r="D7492" s="45"/>
    </row>
    <row r="7493" spans="2:4" ht="16" thickBot="1" x14ac:dyDescent="0.25">
      <c r="B7493" s="5">
        <v>7488</v>
      </c>
      <c r="C7493" s="5">
        <v>234.18788695272781</v>
      </c>
      <c r="D7493" s="45"/>
    </row>
    <row r="7494" spans="2:4" ht="16" thickBot="1" x14ac:dyDescent="0.25">
      <c r="B7494" s="4">
        <v>7489</v>
      </c>
      <c r="C7494" s="4">
        <v>73.372898538817481</v>
      </c>
      <c r="D7494" s="45"/>
    </row>
    <row r="7495" spans="2:4" ht="16" thickBot="1" x14ac:dyDescent="0.25">
      <c r="B7495" s="5">
        <v>7490</v>
      </c>
      <c r="C7495" s="5">
        <v>80.116277376992443</v>
      </c>
      <c r="D7495" s="45"/>
    </row>
    <row r="7496" spans="2:4" ht="16" thickBot="1" x14ac:dyDescent="0.25">
      <c r="B7496" s="4">
        <v>7491</v>
      </c>
      <c r="C7496" s="4">
        <v>59.270710513540216</v>
      </c>
      <c r="D7496" s="45"/>
    </row>
    <row r="7497" spans="2:4" ht="16" thickBot="1" x14ac:dyDescent="0.25">
      <c r="B7497" s="5">
        <v>7492</v>
      </c>
      <c r="C7497" s="5">
        <v>178.34587930466481</v>
      </c>
      <c r="D7497" s="45"/>
    </row>
    <row r="7498" spans="2:4" ht="16" thickBot="1" x14ac:dyDescent="0.25">
      <c r="B7498" s="4">
        <v>7493</v>
      </c>
      <c r="C7498" s="4">
        <v>98.154292763708895</v>
      </c>
      <c r="D7498" s="45"/>
    </row>
    <row r="7499" spans="2:4" ht="16" thickBot="1" x14ac:dyDescent="0.25">
      <c r="B7499" s="5">
        <v>7494</v>
      </c>
      <c r="C7499" s="5">
        <v>115.50961176566399</v>
      </c>
      <c r="D7499" s="45"/>
    </row>
    <row r="7500" spans="2:4" ht="16" thickBot="1" x14ac:dyDescent="0.25">
      <c r="B7500" s="4">
        <v>7495</v>
      </c>
      <c r="C7500" s="4">
        <v>170.79123292990002</v>
      </c>
      <c r="D7500" s="45"/>
    </row>
    <row r="7501" spans="2:4" ht="16" thickBot="1" x14ac:dyDescent="0.25">
      <c r="B7501" s="5">
        <v>7496</v>
      </c>
      <c r="C7501" s="5">
        <v>158.7665503546695</v>
      </c>
      <c r="D7501" s="45"/>
    </row>
    <row r="7502" spans="2:4" ht="16" thickBot="1" x14ac:dyDescent="0.25">
      <c r="B7502" s="4">
        <v>7497</v>
      </c>
      <c r="C7502" s="4">
        <v>230.88192222251828</v>
      </c>
      <c r="D7502" s="45"/>
    </row>
    <row r="7503" spans="2:4" ht="16" thickBot="1" x14ac:dyDescent="0.25">
      <c r="B7503" s="5">
        <v>7498</v>
      </c>
      <c r="C7503" s="5">
        <v>96.499911720980691</v>
      </c>
      <c r="D7503" s="45"/>
    </row>
    <row r="7504" spans="2:4" ht="16" thickBot="1" x14ac:dyDescent="0.25">
      <c r="B7504" s="4">
        <v>7499</v>
      </c>
      <c r="C7504" s="4">
        <v>120.33756825490109</v>
      </c>
      <c r="D7504" s="45"/>
    </row>
    <row r="7505" spans="2:4" ht="16" thickBot="1" x14ac:dyDescent="0.25">
      <c r="B7505" s="5">
        <v>7500</v>
      </c>
      <c r="C7505" s="5">
        <v>175.01952262772213</v>
      </c>
      <c r="D7505" s="45"/>
    </row>
    <row r="7506" spans="2:4" ht="16" thickBot="1" x14ac:dyDescent="0.25">
      <c r="B7506" s="4">
        <v>7501</v>
      </c>
      <c r="C7506" s="4">
        <v>190.42115243004326</v>
      </c>
      <c r="D7506" s="45"/>
    </row>
    <row r="7507" spans="2:4" ht="16" thickBot="1" x14ac:dyDescent="0.25">
      <c r="B7507" s="5">
        <v>7502</v>
      </c>
      <c r="C7507" s="5">
        <v>92.646252887275608</v>
      </c>
      <c r="D7507" s="45"/>
    </row>
    <row r="7508" spans="2:4" ht="16" thickBot="1" x14ac:dyDescent="0.25">
      <c r="B7508" s="4">
        <v>7503</v>
      </c>
      <c r="C7508" s="4">
        <v>368.75720821531428</v>
      </c>
      <c r="D7508" s="45"/>
    </row>
    <row r="7509" spans="2:4" ht="16" thickBot="1" x14ac:dyDescent="0.25">
      <c r="B7509" s="5">
        <v>7504</v>
      </c>
      <c r="C7509" s="5">
        <v>146.23634479187203</v>
      </c>
      <c r="D7509" s="45"/>
    </row>
    <row r="7510" spans="2:4" ht="16" thickBot="1" x14ac:dyDescent="0.25">
      <c r="B7510" s="4">
        <v>7505</v>
      </c>
      <c r="C7510" s="4">
        <v>107.23542666844672</v>
      </c>
      <c r="D7510" s="45"/>
    </row>
    <row r="7511" spans="2:4" ht="16" thickBot="1" x14ac:dyDescent="0.25">
      <c r="B7511" s="5">
        <v>7506</v>
      </c>
      <c r="C7511" s="5">
        <v>218.18469951493807</v>
      </c>
      <c r="D7511" s="45"/>
    </row>
    <row r="7512" spans="2:4" ht="16" thickBot="1" x14ac:dyDescent="0.25">
      <c r="B7512" s="4">
        <v>7507</v>
      </c>
      <c r="C7512" s="4">
        <v>183.61030633021065</v>
      </c>
      <c r="D7512" s="45"/>
    </row>
    <row r="7513" spans="2:4" ht="16" thickBot="1" x14ac:dyDescent="0.25">
      <c r="B7513" s="5">
        <v>7508</v>
      </c>
      <c r="C7513" s="5">
        <v>348.09712182684592</v>
      </c>
      <c r="D7513" s="45"/>
    </row>
    <row r="7514" spans="2:4" ht="16" thickBot="1" x14ac:dyDescent="0.25">
      <c r="B7514" s="4">
        <v>7509</v>
      </c>
      <c r="C7514" s="4">
        <v>254.19054634151405</v>
      </c>
      <c r="D7514" s="45"/>
    </row>
    <row r="7515" spans="2:4" ht="16" thickBot="1" x14ac:dyDescent="0.25">
      <c r="B7515" s="5">
        <v>7510</v>
      </c>
      <c r="C7515" s="5">
        <v>301.92573293102726</v>
      </c>
      <c r="D7515" s="45"/>
    </row>
    <row r="7516" spans="2:4" ht="16" thickBot="1" x14ac:dyDescent="0.25">
      <c r="B7516" s="4">
        <v>7511</v>
      </c>
      <c r="C7516" s="4">
        <v>82.695916932186549</v>
      </c>
      <c r="D7516" s="45"/>
    </row>
    <row r="7517" spans="2:4" ht="16" thickBot="1" x14ac:dyDescent="0.25">
      <c r="B7517" s="5">
        <v>7512</v>
      </c>
      <c r="C7517" s="5">
        <v>89.145235710977516</v>
      </c>
      <c r="D7517" s="45"/>
    </row>
    <row r="7518" spans="2:4" ht="16" thickBot="1" x14ac:dyDescent="0.25">
      <c r="B7518" s="4">
        <v>7513</v>
      </c>
      <c r="C7518" s="4">
        <v>103.11956345745649</v>
      </c>
      <c r="D7518" s="45"/>
    </row>
    <row r="7519" spans="2:4" ht="16" thickBot="1" x14ac:dyDescent="0.25">
      <c r="B7519" s="5">
        <v>7514</v>
      </c>
      <c r="C7519" s="5">
        <v>111.44000662049622</v>
      </c>
      <c r="D7519" s="45"/>
    </row>
    <row r="7520" spans="2:4" ht="16" thickBot="1" x14ac:dyDescent="0.25">
      <c r="B7520" s="4">
        <v>7515</v>
      </c>
      <c r="C7520" s="4">
        <v>109.89215269555731</v>
      </c>
      <c r="D7520" s="45"/>
    </row>
    <row r="7521" spans="2:4" ht="16" thickBot="1" x14ac:dyDescent="0.25">
      <c r="B7521" s="5">
        <v>7516</v>
      </c>
      <c r="C7521" s="5">
        <v>148.5328082014112</v>
      </c>
      <c r="D7521" s="45"/>
    </row>
    <row r="7522" spans="2:4" ht="16" thickBot="1" x14ac:dyDescent="0.25">
      <c r="B7522" s="4">
        <v>7517</v>
      </c>
      <c r="C7522" s="4">
        <v>17.706371482915145</v>
      </c>
      <c r="D7522" s="45"/>
    </row>
    <row r="7523" spans="2:4" ht="16" thickBot="1" x14ac:dyDescent="0.25">
      <c r="B7523" s="5">
        <v>7518</v>
      </c>
      <c r="C7523" s="5">
        <v>155.4881898544572</v>
      </c>
      <c r="D7523" s="45"/>
    </row>
    <row r="7524" spans="2:4" ht="16" thickBot="1" x14ac:dyDescent="0.25">
      <c r="B7524" s="4">
        <v>7519</v>
      </c>
      <c r="C7524" s="4">
        <v>354.13616222103798</v>
      </c>
      <c r="D7524" s="45"/>
    </row>
    <row r="7525" spans="2:4" ht="16" thickBot="1" x14ac:dyDescent="0.25">
      <c r="B7525" s="5">
        <v>7520</v>
      </c>
      <c r="C7525" s="5">
        <v>91.142170652013675</v>
      </c>
      <c r="D7525" s="45"/>
    </row>
    <row r="7526" spans="2:4" ht="16" thickBot="1" x14ac:dyDescent="0.25">
      <c r="B7526" s="4">
        <v>7521</v>
      </c>
      <c r="C7526" s="4">
        <v>192.79873078041484</v>
      </c>
      <c r="D7526" s="45"/>
    </row>
    <row r="7527" spans="2:4" ht="16" thickBot="1" x14ac:dyDescent="0.25">
      <c r="B7527" s="5">
        <v>7522</v>
      </c>
      <c r="C7527" s="5">
        <v>381.25381197659812</v>
      </c>
      <c r="D7527" s="45"/>
    </row>
    <row r="7528" spans="2:4" ht="16" thickBot="1" x14ac:dyDescent="0.25">
      <c r="B7528" s="4">
        <v>7523</v>
      </c>
      <c r="C7528" s="4">
        <v>194.79831316270003</v>
      </c>
      <c r="D7528" s="45"/>
    </row>
    <row r="7529" spans="2:4" ht="16" thickBot="1" x14ac:dyDescent="0.25">
      <c r="B7529" s="5">
        <v>7524</v>
      </c>
      <c r="C7529" s="5">
        <v>78.374195189342316</v>
      </c>
      <c r="D7529" s="45"/>
    </row>
    <row r="7530" spans="2:4" ht="16" thickBot="1" x14ac:dyDescent="0.25">
      <c r="B7530" s="4">
        <v>7525</v>
      </c>
      <c r="C7530" s="4">
        <v>75.316368740333644</v>
      </c>
      <c r="D7530" s="45"/>
    </row>
    <row r="7531" spans="2:4" ht="16" thickBot="1" x14ac:dyDescent="0.25">
      <c r="B7531" s="5">
        <v>7526</v>
      </c>
      <c r="C7531" s="5">
        <v>79.692313758257924</v>
      </c>
      <c r="D7531" s="45"/>
    </row>
    <row r="7532" spans="2:4" ht="16" thickBot="1" x14ac:dyDescent="0.25">
      <c r="B7532" s="4">
        <v>7527</v>
      </c>
      <c r="C7532" s="4">
        <v>84.746612058846111</v>
      </c>
      <c r="D7532" s="45"/>
    </row>
    <row r="7533" spans="2:4" ht="16" thickBot="1" x14ac:dyDescent="0.25">
      <c r="B7533" s="5">
        <v>7528</v>
      </c>
      <c r="C7533" s="5">
        <v>198.35682171022691</v>
      </c>
      <c r="D7533" s="45"/>
    </row>
    <row r="7534" spans="2:4" ht="16" thickBot="1" x14ac:dyDescent="0.25">
      <c r="B7534" s="4">
        <v>7529</v>
      </c>
      <c r="C7534" s="4">
        <v>90.354784655174683</v>
      </c>
      <c r="D7534" s="45"/>
    </row>
    <row r="7535" spans="2:4" ht="16" thickBot="1" x14ac:dyDescent="0.25">
      <c r="B7535" s="5">
        <v>7530</v>
      </c>
      <c r="C7535" s="5">
        <v>132.41837973837826</v>
      </c>
      <c r="D7535" s="45"/>
    </row>
    <row r="7536" spans="2:4" ht="16" thickBot="1" x14ac:dyDescent="0.25">
      <c r="B7536" s="4">
        <v>7531</v>
      </c>
      <c r="C7536" s="4">
        <v>313.71316866399383</v>
      </c>
      <c r="D7536" s="45"/>
    </row>
    <row r="7537" spans="2:4" ht="16" thickBot="1" x14ac:dyDescent="0.25">
      <c r="B7537" s="5">
        <v>7532</v>
      </c>
      <c r="C7537" s="5">
        <v>236.75697560431968</v>
      </c>
      <c r="D7537" s="45"/>
    </row>
    <row r="7538" spans="2:4" ht="16" thickBot="1" x14ac:dyDescent="0.25">
      <c r="B7538" s="4">
        <v>7533</v>
      </c>
      <c r="C7538" s="4">
        <v>109.43869429564424</v>
      </c>
      <c r="D7538" s="45"/>
    </row>
    <row r="7539" spans="2:4" ht="16" thickBot="1" x14ac:dyDescent="0.25">
      <c r="B7539" s="5">
        <v>7534</v>
      </c>
      <c r="C7539" s="5">
        <v>146.08454772325277</v>
      </c>
      <c r="D7539" s="45"/>
    </row>
    <row r="7540" spans="2:4" ht="16" thickBot="1" x14ac:dyDescent="0.25">
      <c r="B7540" s="4">
        <v>7535</v>
      </c>
      <c r="C7540" s="4">
        <v>106.98849730752805</v>
      </c>
      <c r="D7540" s="45"/>
    </row>
    <row r="7541" spans="2:4" ht="16" thickBot="1" x14ac:dyDescent="0.25">
      <c r="B7541" s="5">
        <v>7536</v>
      </c>
      <c r="C7541" s="5">
        <v>190.68549060593352</v>
      </c>
      <c r="D7541" s="45"/>
    </row>
    <row r="7542" spans="2:4" ht="16" thickBot="1" x14ac:dyDescent="0.25">
      <c r="B7542" s="4">
        <v>7537</v>
      </c>
      <c r="C7542" s="4">
        <v>247.19438241584783</v>
      </c>
      <c r="D7542" s="45"/>
    </row>
    <row r="7543" spans="2:4" ht="16" thickBot="1" x14ac:dyDescent="0.25">
      <c r="B7543" s="5">
        <v>7538</v>
      </c>
      <c r="C7543" s="5">
        <v>134.34702084795518</v>
      </c>
      <c r="D7543" s="45"/>
    </row>
    <row r="7544" spans="2:4" ht="16" thickBot="1" x14ac:dyDescent="0.25">
      <c r="B7544" s="4">
        <v>7539</v>
      </c>
      <c r="C7544" s="4">
        <v>105.92947474415293</v>
      </c>
      <c r="D7544" s="45"/>
    </row>
    <row r="7545" spans="2:4" ht="16" thickBot="1" x14ac:dyDescent="0.25">
      <c r="B7545" s="5">
        <v>7540</v>
      </c>
      <c r="C7545" s="5">
        <v>290.01077203106047</v>
      </c>
      <c r="D7545" s="45"/>
    </row>
    <row r="7546" spans="2:4" ht="16" thickBot="1" x14ac:dyDescent="0.25">
      <c r="B7546" s="4">
        <v>7541</v>
      </c>
      <c r="C7546" s="4">
        <v>164.02811022308649</v>
      </c>
      <c r="D7546" s="45"/>
    </row>
    <row r="7547" spans="2:4" ht="16" thickBot="1" x14ac:dyDescent="0.25">
      <c r="B7547" s="5">
        <v>7542</v>
      </c>
      <c r="C7547" s="5">
        <v>113.36236007226125</v>
      </c>
      <c r="D7547" s="45"/>
    </row>
    <row r="7548" spans="2:4" ht="16" thickBot="1" x14ac:dyDescent="0.25">
      <c r="B7548" s="4">
        <v>7543</v>
      </c>
      <c r="C7548" s="4">
        <v>109.19421559667092</v>
      </c>
      <c r="D7548" s="45"/>
    </row>
    <row r="7549" spans="2:4" ht="16" thickBot="1" x14ac:dyDescent="0.25">
      <c r="B7549" s="5">
        <v>7544</v>
      </c>
      <c r="C7549" s="5">
        <v>88.815900314615334</v>
      </c>
      <c r="D7549" s="45"/>
    </row>
    <row r="7550" spans="2:4" ht="16" thickBot="1" x14ac:dyDescent="0.25">
      <c r="B7550" s="4">
        <v>7545</v>
      </c>
      <c r="C7550" s="4">
        <v>138.51265953173063</v>
      </c>
      <c r="D7550" s="45"/>
    </row>
    <row r="7551" spans="2:4" ht="16" thickBot="1" x14ac:dyDescent="0.25">
      <c r="B7551" s="5">
        <v>7546</v>
      </c>
      <c r="C7551" s="5">
        <v>98.09971776676926</v>
      </c>
      <c r="D7551" s="45"/>
    </row>
    <row r="7552" spans="2:4" ht="16" thickBot="1" x14ac:dyDescent="0.25">
      <c r="B7552" s="4">
        <v>7547</v>
      </c>
      <c r="C7552" s="4">
        <v>76.462785456533226</v>
      </c>
      <c r="D7552" s="45"/>
    </row>
    <row r="7553" spans="2:4" ht="16" thickBot="1" x14ac:dyDescent="0.25">
      <c r="B7553" s="5">
        <v>7548</v>
      </c>
      <c r="C7553" s="5">
        <v>435.7536660217641</v>
      </c>
      <c r="D7553" s="45"/>
    </row>
    <row r="7554" spans="2:4" ht="16" thickBot="1" x14ac:dyDescent="0.25">
      <c r="B7554" s="4">
        <v>7549</v>
      </c>
      <c r="C7554" s="4">
        <v>80.529513906364116</v>
      </c>
      <c r="D7554" s="45"/>
    </row>
    <row r="7555" spans="2:4" ht="16" thickBot="1" x14ac:dyDescent="0.25">
      <c r="B7555" s="5">
        <v>7550</v>
      </c>
      <c r="C7555" s="5">
        <v>148.61778448880847</v>
      </c>
      <c r="D7555" s="45"/>
    </row>
    <row r="7556" spans="2:4" ht="16" thickBot="1" x14ac:dyDescent="0.25">
      <c r="B7556" s="4">
        <v>7551</v>
      </c>
      <c r="C7556" s="4">
        <v>155.91107395665185</v>
      </c>
      <c r="D7556" s="45"/>
    </row>
    <row r="7557" spans="2:4" ht="16" thickBot="1" x14ac:dyDescent="0.25">
      <c r="B7557" s="5">
        <v>7552</v>
      </c>
      <c r="C7557" s="5">
        <v>63.920097411431236</v>
      </c>
      <c r="D7557" s="45"/>
    </row>
    <row r="7558" spans="2:4" ht="16" thickBot="1" x14ac:dyDescent="0.25">
      <c r="B7558" s="4">
        <v>7553</v>
      </c>
      <c r="C7558" s="4">
        <v>114.25883336334249</v>
      </c>
      <c r="D7558" s="45"/>
    </row>
    <row r="7559" spans="2:4" ht="16" thickBot="1" x14ac:dyDescent="0.25">
      <c r="B7559" s="5">
        <v>7554</v>
      </c>
      <c r="C7559" s="5">
        <v>241.42100529668124</v>
      </c>
      <c r="D7559" s="45"/>
    </row>
    <row r="7560" spans="2:4" ht="16" thickBot="1" x14ac:dyDescent="0.25">
      <c r="B7560" s="4">
        <v>7555</v>
      </c>
      <c r="C7560" s="4">
        <v>90.505453804605793</v>
      </c>
      <c r="D7560" s="45"/>
    </row>
    <row r="7561" spans="2:4" ht="16" thickBot="1" x14ac:dyDescent="0.25">
      <c r="B7561" s="5">
        <v>7556</v>
      </c>
      <c r="C7561" s="5">
        <v>89.825934080837627</v>
      </c>
      <c r="D7561" s="45"/>
    </row>
    <row r="7562" spans="2:4" ht="16" thickBot="1" x14ac:dyDescent="0.25">
      <c r="B7562" s="4">
        <v>7557</v>
      </c>
      <c r="C7562" s="4">
        <v>193.90155623107268</v>
      </c>
      <c r="D7562" s="45"/>
    </row>
    <row r="7563" spans="2:4" ht="16" thickBot="1" x14ac:dyDescent="0.25">
      <c r="B7563" s="5">
        <v>7558</v>
      </c>
      <c r="C7563" s="5">
        <v>136.42200549974879</v>
      </c>
      <c r="D7563" s="45"/>
    </row>
    <row r="7564" spans="2:4" ht="16" thickBot="1" x14ac:dyDescent="0.25">
      <c r="B7564" s="4">
        <v>7559</v>
      </c>
      <c r="C7564" s="4">
        <v>72.004789591321511</v>
      </c>
      <c r="D7564" s="45"/>
    </row>
    <row r="7565" spans="2:4" ht="16" thickBot="1" x14ac:dyDescent="0.25">
      <c r="B7565" s="5">
        <v>7560</v>
      </c>
      <c r="C7565" s="5">
        <v>93.860214385602021</v>
      </c>
      <c r="D7565" s="45"/>
    </row>
    <row r="7566" spans="2:4" ht="16" thickBot="1" x14ac:dyDescent="0.25">
      <c r="B7566" s="4">
        <v>7561</v>
      </c>
      <c r="C7566" s="4">
        <v>128.86597429104529</v>
      </c>
      <c r="D7566" s="45"/>
    </row>
    <row r="7567" spans="2:4" ht="16" thickBot="1" x14ac:dyDescent="0.25">
      <c r="B7567" s="5">
        <v>7562</v>
      </c>
      <c r="C7567" s="5">
        <v>139.26076657388572</v>
      </c>
      <c r="D7567" s="45"/>
    </row>
    <row r="7568" spans="2:4" ht="16" thickBot="1" x14ac:dyDescent="0.25">
      <c r="B7568" s="4">
        <v>7563</v>
      </c>
      <c r="C7568" s="4">
        <v>111.81461244904374</v>
      </c>
      <c r="D7568" s="45"/>
    </row>
    <row r="7569" spans="2:4" ht="16" thickBot="1" x14ac:dyDescent="0.25">
      <c r="B7569" s="5">
        <v>7564</v>
      </c>
      <c r="C7569" s="5">
        <v>53.675905932814743</v>
      </c>
      <c r="D7569" s="45"/>
    </row>
    <row r="7570" spans="2:4" ht="16" thickBot="1" x14ac:dyDescent="0.25">
      <c r="B7570" s="4">
        <v>7565</v>
      </c>
      <c r="C7570" s="4">
        <v>206.43663852973935</v>
      </c>
      <c r="D7570" s="45"/>
    </row>
    <row r="7571" spans="2:4" ht="16" thickBot="1" x14ac:dyDescent="0.25">
      <c r="B7571" s="5">
        <v>7566</v>
      </c>
      <c r="C7571" s="5">
        <v>77.878486779577202</v>
      </c>
      <c r="D7571" s="45"/>
    </row>
    <row r="7572" spans="2:4" ht="16" thickBot="1" x14ac:dyDescent="0.25">
      <c r="B7572" s="4">
        <v>7567</v>
      </c>
      <c r="C7572" s="4">
        <v>75.977184838447073</v>
      </c>
      <c r="D7572" s="45"/>
    </row>
    <row r="7573" spans="2:4" ht="16" thickBot="1" x14ac:dyDescent="0.25">
      <c r="B7573" s="5">
        <v>7568</v>
      </c>
      <c r="C7573" s="5">
        <v>164.07050390502886</v>
      </c>
      <c r="D7573" s="45"/>
    </row>
    <row r="7574" spans="2:4" ht="16" thickBot="1" x14ac:dyDescent="0.25">
      <c r="B7574" s="4">
        <v>7569</v>
      </c>
      <c r="C7574" s="4">
        <v>142.66678572055574</v>
      </c>
      <c r="D7574" s="45"/>
    </row>
    <row r="7575" spans="2:4" ht="16" thickBot="1" x14ac:dyDescent="0.25">
      <c r="B7575" s="5">
        <v>7570</v>
      </c>
      <c r="C7575" s="5">
        <v>135.45390043582768</v>
      </c>
      <c r="D7575" s="45"/>
    </row>
    <row r="7576" spans="2:4" ht="16" thickBot="1" x14ac:dyDescent="0.25">
      <c r="B7576" s="4">
        <v>7571</v>
      </c>
      <c r="C7576" s="4">
        <v>108.71126043801203</v>
      </c>
      <c r="D7576" s="45"/>
    </row>
    <row r="7577" spans="2:4" ht="16" thickBot="1" x14ac:dyDescent="0.25">
      <c r="B7577" s="5">
        <v>7572</v>
      </c>
      <c r="C7577" s="5">
        <v>83.669199247319213</v>
      </c>
      <c r="D7577" s="45"/>
    </row>
    <row r="7578" spans="2:4" ht="16" thickBot="1" x14ac:dyDescent="0.25">
      <c r="B7578" s="4">
        <v>7573</v>
      </c>
      <c r="C7578" s="4">
        <v>189.7760171106427</v>
      </c>
      <c r="D7578" s="45"/>
    </row>
    <row r="7579" spans="2:4" ht="16" thickBot="1" x14ac:dyDescent="0.25">
      <c r="B7579" s="5">
        <v>7574</v>
      </c>
      <c r="C7579" s="5">
        <v>151.34838041693709</v>
      </c>
      <c r="D7579" s="45"/>
    </row>
    <row r="7580" spans="2:4" ht="16" thickBot="1" x14ac:dyDescent="0.25">
      <c r="B7580" s="4">
        <v>7575</v>
      </c>
      <c r="C7580" s="4">
        <v>81.911478301999878</v>
      </c>
      <c r="D7580" s="45"/>
    </row>
    <row r="7581" spans="2:4" ht="16" thickBot="1" x14ac:dyDescent="0.25">
      <c r="B7581" s="5">
        <v>7576</v>
      </c>
      <c r="C7581" s="5">
        <v>160.23178860525576</v>
      </c>
      <c r="D7581" s="45"/>
    </row>
    <row r="7582" spans="2:4" ht="16" thickBot="1" x14ac:dyDescent="0.25">
      <c r="B7582" s="4">
        <v>7577</v>
      </c>
      <c r="C7582" s="4">
        <v>66.737901255988234</v>
      </c>
      <c r="D7582" s="45"/>
    </row>
    <row r="7583" spans="2:4" ht="16" thickBot="1" x14ac:dyDescent="0.25">
      <c r="B7583" s="5">
        <v>7578</v>
      </c>
      <c r="C7583" s="5">
        <v>83.139441605377627</v>
      </c>
      <c r="D7583" s="45"/>
    </row>
    <row r="7584" spans="2:4" ht="16" thickBot="1" x14ac:dyDescent="0.25">
      <c r="B7584" s="4">
        <v>7579</v>
      </c>
      <c r="C7584" s="4">
        <v>143.18860032870325</v>
      </c>
      <c r="D7584" s="45"/>
    </row>
    <row r="7585" spans="2:4" ht="16" thickBot="1" x14ac:dyDescent="0.25">
      <c r="B7585" s="5">
        <v>7580</v>
      </c>
      <c r="C7585" s="5">
        <v>245.4823069717819</v>
      </c>
      <c r="D7585" s="45"/>
    </row>
    <row r="7586" spans="2:4" ht="16" thickBot="1" x14ac:dyDescent="0.25">
      <c r="B7586" s="4">
        <v>7581</v>
      </c>
      <c r="C7586" s="4">
        <v>225.15611193082265</v>
      </c>
      <c r="D7586" s="45"/>
    </row>
    <row r="7587" spans="2:4" ht="16" thickBot="1" x14ac:dyDescent="0.25">
      <c r="B7587" s="5">
        <v>7582</v>
      </c>
      <c r="C7587" s="5">
        <v>285.56964127981871</v>
      </c>
      <c r="D7587" s="45"/>
    </row>
    <row r="7588" spans="2:4" ht="16" thickBot="1" x14ac:dyDescent="0.25">
      <c r="B7588" s="4">
        <v>7583</v>
      </c>
      <c r="C7588" s="4">
        <v>129.15338913163555</v>
      </c>
      <c r="D7588" s="45"/>
    </row>
    <row r="7589" spans="2:4" ht="16" thickBot="1" x14ac:dyDescent="0.25">
      <c r="B7589" s="5">
        <v>7584</v>
      </c>
      <c r="C7589" s="5">
        <v>230.50541392148099</v>
      </c>
      <c r="D7589" s="45"/>
    </row>
    <row r="7590" spans="2:4" ht="16" thickBot="1" x14ac:dyDescent="0.25">
      <c r="B7590" s="4">
        <v>7585</v>
      </c>
      <c r="C7590" s="4">
        <v>268.03801074571493</v>
      </c>
      <c r="D7590" s="45"/>
    </row>
    <row r="7591" spans="2:4" ht="16" thickBot="1" x14ac:dyDescent="0.25">
      <c r="B7591" s="5">
        <v>7586</v>
      </c>
      <c r="C7591" s="5">
        <v>193.86644048977999</v>
      </c>
      <c r="D7591" s="45"/>
    </row>
    <row r="7592" spans="2:4" ht="16" thickBot="1" x14ac:dyDescent="0.25">
      <c r="B7592" s="4">
        <v>7587</v>
      </c>
      <c r="C7592" s="4">
        <v>241.32149700735121</v>
      </c>
      <c r="D7592" s="45"/>
    </row>
    <row r="7593" spans="2:4" ht="16" thickBot="1" x14ac:dyDescent="0.25">
      <c r="B7593" s="5">
        <v>7588</v>
      </c>
      <c r="C7593" s="5">
        <v>27.877862945860301</v>
      </c>
      <c r="D7593" s="45"/>
    </row>
    <row r="7594" spans="2:4" ht="16" thickBot="1" x14ac:dyDescent="0.25">
      <c r="B7594" s="4">
        <v>7589</v>
      </c>
      <c r="C7594" s="4">
        <v>108.61874657212942</v>
      </c>
      <c r="D7594" s="45"/>
    </row>
    <row r="7595" spans="2:4" ht="16" thickBot="1" x14ac:dyDescent="0.25">
      <c r="B7595" s="5">
        <v>7590</v>
      </c>
      <c r="C7595" s="5">
        <v>148.12885199571599</v>
      </c>
      <c r="D7595" s="45"/>
    </row>
    <row r="7596" spans="2:4" ht="16" thickBot="1" x14ac:dyDescent="0.25">
      <c r="B7596" s="4">
        <v>7591</v>
      </c>
      <c r="C7596" s="4">
        <v>103.92161275004136</v>
      </c>
      <c r="D7596" s="45"/>
    </row>
    <row r="7597" spans="2:4" ht="16" thickBot="1" x14ac:dyDescent="0.25">
      <c r="B7597" s="5">
        <v>7592</v>
      </c>
      <c r="C7597" s="5">
        <v>107.79957626136473</v>
      </c>
      <c r="D7597" s="45"/>
    </row>
    <row r="7598" spans="2:4" ht="16" thickBot="1" x14ac:dyDescent="0.25">
      <c r="B7598" s="4">
        <v>7593</v>
      </c>
      <c r="C7598" s="4">
        <v>68.438057074976413</v>
      </c>
      <c r="D7598" s="45"/>
    </row>
    <row r="7599" spans="2:4" ht="16" thickBot="1" x14ac:dyDescent="0.25">
      <c r="B7599" s="5">
        <v>7594</v>
      </c>
      <c r="C7599" s="5">
        <v>255.14938117028808</v>
      </c>
      <c r="D7599" s="45"/>
    </row>
    <row r="7600" spans="2:4" ht="16" thickBot="1" x14ac:dyDescent="0.25">
      <c r="B7600" s="4">
        <v>7595</v>
      </c>
      <c r="C7600" s="4">
        <v>118.18458586053397</v>
      </c>
      <c r="D7600" s="45"/>
    </row>
    <row r="7601" spans="2:4" ht="16" thickBot="1" x14ac:dyDescent="0.25">
      <c r="B7601" s="5">
        <v>7596</v>
      </c>
      <c r="C7601" s="5">
        <v>111.44924217164366</v>
      </c>
      <c r="D7601" s="45"/>
    </row>
    <row r="7602" spans="2:4" ht="16" thickBot="1" x14ac:dyDescent="0.25">
      <c r="B7602" s="4">
        <v>7597</v>
      </c>
      <c r="C7602" s="4">
        <v>86.974134386424083</v>
      </c>
      <c r="D7602" s="45"/>
    </row>
    <row r="7603" spans="2:4" ht="16" thickBot="1" x14ac:dyDescent="0.25">
      <c r="B7603" s="5">
        <v>7598</v>
      </c>
      <c r="C7603" s="5">
        <v>222.62907300259903</v>
      </c>
      <c r="D7603" s="45"/>
    </row>
    <row r="7604" spans="2:4" ht="16" thickBot="1" x14ac:dyDescent="0.25">
      <c r="B7604" s="4">
        <v>7599</v>
      </c>
      <c r="C7604" s="4">
        <v>285.18857022333367</v>
      </c>
      <c r="D7604" s="45"/>
    </row>
    <row r="7605" spans="2:4" ht="16" thickBot="1" x14ac:dyDescent="0.25">
      <c r="B7605" s="5">
        <v>7600</v>
      </c>
      <c r="C7605" s="5">
        <v>248.02078414577619</v>
      </c>
      <c r="D7605" s="45"/>
    </row>
    <row r="7606" spans="2:4" ht="16" thickBot="1" x14ac:dyDescent="0.25">
      <c r="B7606" s="4">
        <v>7601</v>
      </c>
      <c r="C7606" s="4">
        <v>89.554054682796462</v>
      </c>
      <c r="D7606" s="45"/>
    </row>
    <row r="7607" spans="2:4" ht="16" thickBot="1" x14ac:dyDescent="0.25">
      <c r="B7607" s="5">
        <v>7602</v>
      </c>
      <c r="C7607" s="5">
        <v>225.27549913395669</v>
      </c>
      <c r="D7607" s="45"/>
    </row>
    <row r="7608" spans="2:4" ht="16" thickBot="1" x14ac:dyDescent="0.25">
      <c r="B7608" s="4">
        <v>7603</v>
      </c>
      <c r="C7608" s="4">
        <v>191.07483522667511</v>
      </c>
      <c r="D7608" s="45"/>
    </row>
    <row r="7609" spans="2:4" ht="16" thickBot="1" x14ac:dyDescent="0.25">
      <c r="B7609" s="5">
        <v>7604</v>
      </c>
      <c r="C7609" s="5">
        <v>188.20341130516988</v>
      </c>
      <c r="D7609" s="45"/>
    </row>
    <row r="7610" spans="2:4" ht="16" thickBot="1" x14ac:dyDescent="0.25">
      <c r="B7610" s="4">
        <v>7605</v>
      </c>
      <c r="C7610" s="4">
        <v>125.45927235648668</v>
      </c>
      <c r="D7610" s="45"/>
    </row>
    <row r="7611" spans="2:4" ht="16" thickBot="1" x14ac:dyDescent="0.25">
      <c r="B7611" s="5">
        <v>7606</v>
      </c>
      <c r="C7611" s="5">
        <v>104.02279193233211</v>
      </c>
      <c r="D7611" s="45"/>
    </row>
    <row r="7612" spans="2:4" ht="16" thickBot="1" x14ac:dyDescent="0.25">
      <c r="B7612" s="4">
        <v>7607</v>
      </c>
      <c r="C7612" s="4">
        <v>377.9696063781949</v>
      </c>
      <c r="D7612" s="45"/>
    </row>
    <row r="7613" spans="2:4" ht="16" thickBot="1" x14ac:dyDescent="0.25">
      <c r="B7613" s="5">
        <v>7608</v>
      </c>
      <c r="C7613" s="5">
        <v>119.11472140827709</v>
      </c>
      <c r="D7613" s="45"/>
    </row>
    <row r="7614" spans="2:4" ht="16" thickBot="1" x14ac:dyDescent="0.25">
      <c r="B7614" s="4">
        <v>7609</v>
      </c>
      <c r="C7614" s="4">
        <v>133.94208211663391</v>
      </c>
      <c r="D7614" s="45"/>
    </row>
    <row r="7615" spans="2:4" ht="16" thickBot="1" x14ac:dyDescent="0.25">
      <c r="B7615" s="5">
        <v>7610</v>
      </c>
      <c r="C7615" s="5">
        <v>254.74809784021161</v>
      </c>
      <c r="D7615" s="45"/>
    </row>
    <row r="7616" spans="2:4" ht="16" thickBot="1" x14ac:dyDescent="0.25">
      <c r="B7616" s="4">
        <v>7611</v>
      </c>
      <c r="C7616" s="4">
        <v>113.52946638928165</v>
      </c>
      <c r="D7616" s="45"/>
    </row>
    <row r="7617" spans="2:4" ht="16" thickBot="1" x14ac:dyDescent="0.25">
      <c r="B7617" s="5">
        <v>7612</v>
      </c>
      <c r="C7617" s="5">
        <v>171.44354337080057</v>
      </c>
      <c r="D7617" s="45"/>
    </row>
    <row r="7618" spans="2:4" ht="16" thickBot="1" x14ac:dyDescent="0.25">
      <c r="B7618" s="4">
        <v>7613</v>
      </c>
      <c r="C7618" s="4">
        <v>189.42104229245638</v>
      </c>
      <c r="D7618" s="45"/>
    </row>
    <row r="7619" spans="2:4" ht="16" thickBot="1" x14ac:dyDescent="0.25">
      <c r="B7619" s="5">
        <v>7614</v>
      </c>
      <c r="C7619" s="5">
        <v>292.6962106936416</v>
      </c>
      <c r="D7619" s="45"/>
    </row>
    <row r="7620" spans="2:4" ht="16" thickBot="1" x14ac:dyDescent="0.25">
      <c r="B7620" s="4">
        <v>7615</v>
      </c>
      <c r="C7620" s="4">
        <v>201.97944835342969</v>
      </c>
      <c r="D7620" s="45"/>
    </row>
    <row r="7621" spans="2:4" ht="16" thickBot="1" x14ac:dyDescent="0.25">
      <c r="B7621" s="5">
        <v>7616</v>
      </c>
      <c r="C7621" s="5">
        <v>54.192108045891075</v>
      </c>
      <c r="D7621" s="45"/>
    </row>
    <row r="7622" spans="2:4" ht="16" thickBot="1" x14ac:dyDescent="0.25">
      <c r="B7622" s="4">
        <v>7617</v>
      </c>
      <c r="C7622" s="4">
        <v>240.27293754336827</v>
      </c>
      <c r="D7622" s="45"/>
    </row>
    <row r="7623" spans="2:4" ht="16" thickBot="1" x14ac:dyDescent="0.25">
      <c r="B7623" s="5">
        <v>7618</v>
      </c>
      <c r="C7623" s="5">
        <v>200.84450560943986</v>
      </c>
      <c r="D7623" s="45"/>
    </row>
    <row r="7624" spans="2:4" ht="16" thickBot="1" x14ac:dyDescent="0.25">
      <c r="B7624" s="4">
        <v>7619</v>
      </c>
      <c r="C7624" s="4">
        <v>165.74017649038265</v>
      </c>
      <c r="D7624" s="45"/>
    </row>
    <row r="7625" spans="2:4" ht="16" thickBot="1" x14ac:dyDescent="0.25">
      <c r="B7625" s="5">
        <v>7620</v>
      </c>
      <c r="C7625" s="5">
        <v>157.9650586264359</v>
      </c>
      <c r="D7625" s="45"/>
    </row>
    <row r="7626" spans="2:4" ht="16" thickBot="1" x14ac:dyDescent="0.25">
      <c r="B7626" s="4">
        <v>7621</v>
      </c>
      <c r="C7626" s="4">
        <v>138.47265615294</v>
      </c>
      <c r="D7626" s="45"/>
    </row>
    <row r="7627" spans="2:4" ht="16" thickBot="1" x14ac:dyDescent="0.25">
      <c r="B7627" s="5">
        <v>7622</v>
      </c>
      <c r="C7627" s="5">
        <v>143.73632085744518</v>
      </c>
      <c r="D7627" s="45"/>
    </row>
    <row r="7628" spans="2:4" ht="16" thickBot="1" x14ac:dyDescent="0.25">
      <c r="B7628" s="4">
        <v>7623</v>
      </c>
      <c r="C7628" s="4">
        <v>228.82783127210547</v>
      </c>
      <c r="D7628" s="45"/>
    </row>
    <row r="7629" spans="2:4" ht="16" thickBot="1" x14ac:dyDescent="0.25">
      <c r="B7629" s="5">
        <v>7624</v>
      </c>
      <c r="C7629" s="5">
        <v>88.363054483839605</v>
      </c>
      <c r="D7629" s="45"/>
    </row>
    <row r="7630" spans="2:4" ht="16" thickBot="1" x14ac:dyDescent="0.25">
      <c r="B7630" s="4">
        <v>7625</v>
      </c>
      <c r="C7630" s="4">
        <v>99.260228922983757</v>
      </c>
      <c r="D7630" s="45"/>
    </row>
    <row r="7631" spans="2:4" ht="16" thickBot="1" x14ac:dyDescent="0.25">
      <c r="B7631" s="5">
        <v>7626</v>
      </c>
      <c r="C7631" s="5">
        <v>256.41831694343381</v>
      </c>
      <c r="D7631" s="45"/>
    </row>
    <row r="7632" spans="2:4" ht="16" thickBot="1" x14ac:dyDescent="0.25">
      <c r="B7632" s="4">
        <v>7627</v>
      </c>
      <c r="C7632" s="4">
        <v>70.149871420599524</v>
      </c>
      <c r="D7632" s="45"/>
    </row>
    <row r="7633" spans="2:4" ht="16" thickBot="1" x14ac:dyDescent="0.25">
      <c r="B7633" s="5">
        <v>7628</v>
      </c>
      <c r="C7633" s="5">
        <v>103.10449498464203</v>
      </c>
      <c r="D7633" s="45"/>
    </row>
    <row r="7634" spans="2:4" ht="16" thickBot="1" x14ac:dyDescent="0.25">
      <c r="B7634" s="4">
        <v>7629</v>
      </c>
      <c r="C7634" s="4">
        <v>334.54246940505584</v>
      </c>
      <c r="D7634" s="45"/>
    </row>
    <row r="7635" spans="2:4" ht="16" thickBot="1" x14ac:dyDescent="0.25">
      <c r="B7635" s="5">
        <v>7630</v>
      </c>
      <c r="C7635" s="5">
        <v>152.98072883694564</v>
      </c>
      <c r="D7635" s="45"/>
    </row>
    <row r="7636" spans="2:4" ht="16" thickBot="1" x14ac:dyDescent="0.25">
      <c r="B7636" s="4">
        <v>7631</v>
      </c>
      <c r="C7636" s="4">
        <v>437.70906886828845</v>
      </c>
      <c r="D7636" s="45"/>
    </row>
    <row r="7637" spans="2:4" ht="16" thickBot="1" x14ac:dyDescent="0.25">
      <c r="B7637" s="5">
        <v>7632</v>
      </c>
      <c r="C7637" s="5">
        <v>115.2086382725485</v>
      </c>
      <c r="D7637" s="45"/>
    </row>
    <row r="7638" spans="2:4" ht="16" thickBot="1" x14ac:dyDescent="0.25">
      <c r="B7638" s="4">
        <v>7633</v>
      </c>
      <c r="C7638" s="4">
        <v>99.669552703170908</v>
      </c>
      <c r="D7638" s="45"/>
    </row>
    <row r="7639" spans="2:4" ht="16" thickBot="1" x14ac:dyDescent="0.25">
      <c r="B7639" s="5">
        <v>7634</v>
      </c>
      <c r="C7639" s="5">
        <v>96.686847053522172</v>
      </c>
      <c r="D7639" s="45"/>
    </row>
    <row r="7640" spans="2:4" ht="16" thickBot="1" x14ac:dyDescent="0.25">
      <c r="B7640" s="4">
        <v>7635</v>
      </c>
      <c r="C7640" s="4">
        <v>109.36991997815278</v>
      </c>
      <c r="D7640" s="45"/>
    </row>
    <row r="7641" spans="2:4" ht="16" thickBot="1" x14ac:dyDescent="0.25">
      <c r="B7641" s="5">
        <v>7636</v>
      </c>
      <c r="C7641" s="5">
        <v>42.569477426899489</v>
      </c>
      <c r="D7641" s="45"/>
    </row>
    <row r="7642" spans="2:4" ht="16" thickBot="1" x14ac:dyDescent="0.25">
      <c r="B7642" s="4">
        <v>7637</v>
      </c>
      <c r="C7642" s="4">
        <v>306.69713294486212</v>
      </c>
      <c r="D7642" s="45"/>
    </row>
    <row r="7643" spans="2:4" ht="16" thickBot="1" x14ac:dyDescent="0.25">
      <c r="B7643" s="5">
        <v>7638</v>
      </c>
      <c r="C7643" s="5">
        <v>187.54486672666761</v>
      </c>
      <c r="D7643" s="45"/>
    </row>
    <row r="7644" spans="2:4" ht="16" thickBot="1" x14ac:dyDescent="0.25">
      <c r="B7644" s="4">
        <v>7639</v>
      </c>
      <c r="C7644" s="4">
        <v>347.78874752893341</v>
      </c>
      <c r="D7644" s="45"/>
    </row>
    <row r="7645" spans="2:4" ht="16" thickBot="1" x14ac:dyDescent="0.25">
      <c r="B7645" s="5">
        <v>7640</v>
      </c>
      <c r="C7645" s="5">
        <v>146.9103745736974</v>
      </c>
      <c r="D7645" s="45"/>
    </row>
    <row r="7646" spans="2:4" ht="16" thickBot="1" x14ac:dyDescent="0.25">
      <c r="B7646" s="4">
        <v>7641</v>
      </c>
      <c r="C7646" s="4">
        <v>93.374917742877415</v>
      </c>
      <c r="D7646" s="45"/>
    </row>
    <row r="7647" spans="2:4" ht="16" thickBot="1" x14ac:dyDescent="0.25">
      <c r="B7647" s="5">
        <v>7642</v>
      </c>
      <c r="C7647" s="5">
        <v>185.05269595785339</v>
      </c>
      <c r="D7647" s="45"/>
    </row>
    <row r="7648" spans="2:4" ht="16" thickBot="1" x14ac:dyDescent="0.25">
      <c r="B7648" s="4">
        <v>7643</v>
      </c>
      <c r="C7648" s="4">
        <v>354.32393576379303</v>
      </c>
      <c r="D7648" s="45"/>
    </row>
    <row r="7649" spans="2:4" ht="16" thickBot="1" x14ac:dyDescent="0.25">
      <c r="B7649" s="5">
        <v>7644</v>
      </c>
      <c r="C7649" s="5">
        <v>134.26882940967675</v>
      </c>
      <c r="D7649" s="45"/>
    </row>
    <row r="7650" spans="2:4" ht="16" thickBot="1" x14ac:dyDescent="0.25">
      <c r="B7650" s="4">
        <v>7645</v>
      </c>
      <c r="C7650" s="4">
        <v>86.487709001590943</v>
      </c>
      <c r="D7650" s="45"/>
    </row>
    <row r="7651" spans="2:4" ht="16" thickBot="1" x14ac:dyDescent="0.25">
      <c r="B7651" s="5">
        <v>7646</v>
      </c>
      <c r="C7651" s="5">
        <v>106.86520813605981</v>
      </c>
      <c r="D7651" s="45"/>
    </row>
    <row r="7652" spans="2:4" ht="16" thickBot="1" x14ac:dyDescent="0.25">
      <c r="B7652" s="4">
        <v>7647</v>
      </c>
      <c r="C7652" s="4">
        <v>126.94304931678705</v>
      </c>
      <c r="D7652" s="45"/>
    </row>
    <row r="7653" spans="2:4" ht="16" thickBot="1" x14ac:dyDescent="0.25">
      <c r="B7653" s="5">
        <v>7648</v>
      </c>
      <c r="C7653" s="5">
        <v>83.929196233518937</v>
      </c>
      <c r="D7653" s="45"/>
    </row>
    <row r="7654" spans="2:4" ht="16" thickBot="1" x14ac:dyDescent="0.25">
      <c r="B7654" s="4">
        <v>7649</v>
      </c>
      <c r="C7654" s="4">
        <v>331.41573223236333</v>
      </c>
      <c r="D7654" s="45"/>
    </row>
    <row r="7655" spans="2:4" ht="16" thickBot="1" x14ac:dyDescent="0.25">
      <c r="B7655" s="5">
        <v>7650</v>
      </c>
      <c r="C7655" s="5">
        <v>190.40277331393537</v>
      </c>
      <c r="D7655" s="45"/>
    </row>
    <row r="7656" spans="2:4" ht="16" thickBot="1" x14ac:dyDescent="0.25">
      <c r="B7656" s="4">
        <v>7651</v>
      </c>
      <c r="C7656" s="4">
        <v>314.44800197103086</v>
      </c>
      <c r="D7656" s="45"/>
    </row>
    <row r="7657" spans="2:4" ht="16" thickBot="1" x14ac:dyDescent="0.25">
      <c r="B7657" s="5">
        <v>7652</v>
      </c>
      <c r="C7657" s="5">
        <v>123.93917049090325</v>
      </c>
      <c r="D7657" s="45"/>
    </row>
    <row r="7658" spans="2:4" ht="16" thickBot="1" x14ac:dyDescent="0.25">
      <c r="B7658" s="4">
        <v>7653</v>
      </c>
      <c r="C7658" s="4">
        <v>115.65915583524452</v>
      </c>
      <c r="D7658" s="45"/>
    </row>
    <row r="7659" spans="2:4" ht="16" thickBot="1" x14ac:dyDescent="0.25">
      <c r="B7659" s="5">
        <v>7654</v>
      </c>
      <c r="C7659" s="5">
        <v>66.81513535126868</v>
      </c>
      <c r="D7659" s="45"/>
    </row>
    <row r="7660" spans="2:4" ht="16" thickBot="1" x14ac:dyDescent="0.25">
      <c r="B7660" s="4">
        <v>7655</v>
      </c>
      <c r="C7660" s="4">
        <v>243.64943294818818</v>
      </c>
      <c r="D7660" s="45"/>
    </row>
    <row r="7661" spans="2:4" ht="16" thickBot="1" x14ac:dyDescent="0.25">
      <c r="B7661" s="5">
        <v>7656</v>
      </c>
      <c r="C7661" s="5">
        <v>88.156262908596048</v>
      </c>
      <c r="D7661" s="45"/>
    </row>
    <row r="7662" spans="2:4" ht="16" thickBot="1" x14ac:dyDescent="0.25">
      <c r="B7662" s="4">
        <v>7657</v>
      </c>
      <c r="C7662" s="4">
        <v>226.1930264805884</v>
      </c>
      <c r="D7662" s="45"/>
    </row>
    <row r="7663" spans="2:4" ht="16" thickBot="1" x14ac:dyDescent="0.25">
      <c r="B7663" s="5">
        <v>7658</v>
      </c>
      <c r="C7663" s="5">
        <v>197.00564408153406</v>
      </c>
      <c r="D7663" s="45"/>
    </row>
    <row r="7664" spans="2:4" ht="16" thickBot="1" x14ac:dyDescent="0.25">
      <c r="B7664" s="4">
        <v>7659</v>
      </c>
      <c r="C7664" s="4">
        <v>235.75336110669642</v>
      </c>
      <c r="D7664" s="45"/>
    </row>
    <row r="7665" spans="2:4" ht="16" thickBot="1" x14ac:dyDescent="0.25">
      <c r="B7665" s="5">
        <v>7660</v>
      </c>
      <c r="C7665" s="5">
        <v>322.52034089564444</v>
      </c>
      <c r="D7665" s="45"/>
    </row>
    <row r="7666" spans="2:4" ht="16" thickBot="1" x14ac:dyDescent="0.25">
      <c r="B7666" s="4">
        <v>7661</v>
      </c>
      <c r="C7666" s="4">
        <v>93.511962241190631</v>
      </c>
      <c r="D7666" s="45"/>
    </row>
    <row r="7667" spans="2:4" ht="16" thickBot="1" x14ac:dyDescent="0.25">
      <c r="B7667" s="5">
        <v>7662</v>
      </c>
      <c r="C7667" s="5">
        <v>403.21531257619853</v>
      </c>
      <c r="D7667" s="45"/>
    </row>
    <row r="7668" spans="2:4" ht="16" thickBot="1" x14ac:dyDescent="0.25">
      <c r="B7668" s="4">
        <v>7663</v>
      </c>
      <c r="C7668" s="4">
        <v>139.12393208355388</v>
      </c>
      <c r="D7668" s="45"/>
    </row>
    <row r="7669" spans="2:4" ht="16" thickBot="1" x14ac:dyDescent="0.25">
      <c r="B7669" s="5">
        <v>7664</v>
      </c>
      <c r="C7669" s="5">
        <v>142.31763602301876</v>
      </c>
      <c r="D7669" s="45"/>
    </row>
    <row r="7670" spans="2:4" ht="16" thickBot="1" x14ac:dyDescent="0.25">
      <c r="B7670" s="4">
        <v>7665</v>
      </c>
      <c r="C7670" s="4">
        <v>475.74688310494912</v>
      </c>
      <c r="D7670" s="45"/>
    </row>
    <row r="7671" spans="2:4" ht="16" thickBot="1" x14ac:dyDescent="0.25">
      <c r="B7671" s="5">
        <v>7666</v>
      </c>
      <c r="C7671" s="5">
        <v>257.45901415645574</v>
      </c>
      <c r="D7671" s="45"/>
    </row>
    <row r="7672" spans="2:4" ht="16" thickBot="1" x14ac:dyDescent="0.25">
      <c r="B7672" s="4">
        <v>7667</v>
      </c>
      <c r="C7672" s="4">
        <v>89.165354180181723</v>
      </c>
      <c r="D7672" s="45"/>
    </row>
    <row r="7673" spans="2:4" ht="16" thickBot="1" x14ac:dyDescent="0.25">
      <c r="B7673" s="5">
        <v>7668</v>
      </c>
      <c r="C7673" s="5">
        <v>102.35143765545996</v>
      </c>
      <c r="D7673" s="45"/>
    </row>
    <row r="7674" spans="2:4" ht="16" thickBot="1" x14ac:dyDescent="0.25">
      <c r="B7674" s="4">
        <v>7669</v>
      </c>
      <c r="C7674" s="4">
        <v>306.10228611915454</v>
      </c>
      <c r="D7674" s="45"/>
    </row>
    <row r="7675" spans="2:4" ht="16" thickBot="1" x14ac:dyDescent="0.25">
      <c r="B7675" s="5">
        <v>7670</v>
      </c>
      <c r="C7675" s="5">
        <v>150.39337323087608</v>
      </c>
      <c r="D7675" s="45"/>
    </row>
    <row r="7676" spans="2:4" ht="16" thickBot="1" x14ac:dyDescent="0.25">
      <c r="B7676" s="4">
        <v>7671</v>
      </c>
      <c r="C7676" s="4">
        <v>85.42293778055928</v>
      </c>
      <c r="D7676" s="45"/>
    </row>
    <row r="7677" spans="2:4" ht="16" thickBot="1" x14ac:dyDescent="0.25">
      <c r="B7677" s="5">
        <v>7672</v>
      </c>
      <c r="C7677" s="5">
        <v>124.20686002643282</v>
      </c>
      <c r="D7677" s="45"/>
    </row>
    <row r="7678" spans="2:4" ht="16" thickBot="1" x14ac:dyDescent="0.25">
      <c r="B7678" s="4">
        <v>7673</v>
      </c>
      <c r="C7678" s="4">
        <v>105.3458700244979</v>
      </c>
      <c r="D7678" s="45"/>
    </row>
    <row r="7679" spans="2:4" ht="16" thickBot="1" x14ac:dyDescent="0.25">
      <c r="B7679" s="5">
        <v>7674</v>
      </c>
      <c r="C7679" s="5">
        <v>404.19412839308416</v>
      </c>
      <c r="D7679" s="45"/>
    </row>
    <row r="7680" spans="2:4" ht="16" thickBot="1" x14ac:dyDescent="0.25">
      <c r="B7680" s="4">
        <v>7675</v>
      </c>
      <c r="C7680" s="4">
        <v>49.685846024706358</v>
      </c>
      <c r="D7680" s="45"/>
    </row>
    <row r="7681" spans="2:4" ht="16" thickBot="1" x14ac:dyDescent="0.25">
      <c r="B7681" s="5">
        <v>7676</v>
      </c>
      <c r="C7681" s="5">
        <v>187.01089590188624</v>
      </c>
      <c r="D7681" s="45"/>
    </row>
    <row r="7682" spans="2:4" ht="16" thickBot="1" x14ac:dyDescent="0.25">
      <c r="B7682" s="4">
        <v>7677</v>
      </c>
      <c r="C7682" s="4">
        <v>264.97052802479584</v>
      </c>
      <c r="D7682" s="45"/>
    </row>
    <row r="7683" spans="2:4" ht="16" thickBot="1" x14ac:dyDescent="0.25">
      <c r="B7683" s="5">
        <v>7678</v>
      </c>
      <c r="C7683" s="5">
        <v>270.73148525707393</v>
      </c>
      <c r="D7683" s="45"/>
    </row>
    <row r="7684" spans="2:4" ht="16" thickBot="1" x14ac:dyDescent="0.25">
      <c r="B7684" s="4">
        <v>7679</v>
      </c>
      <c r="C7684" s="4">
        <v>230.30555032497506</v>
      </c>
      <c r="D7684" s="45"/>
    </row>
    <row r="7685" spans="2:4" ht="16" thickBot="1" x14ac:dyDescent="0.25">
      <c r="B7685" s="5">
        <v>7680</v>
      </c>
      <c r="C7685" s="5">
        <v>92.427813211153023</v>
      </c>
      <c r="D7685" s="45"/>
    </row>
    <row r="7686" spans="2:4" ht="16" thickBot="1" x14ac:dyDescent="0.25">
      <c r="B7686" s="4">
        <v>7681</v>
      </c>
      <c r="C7686" s="4">
        <v>85.666441236988888</v>
      </c>
      <c r="D7686" s="45"/>
    </row>
    <row r="7687" spans="2:4" ht="16" thickBot="1" x14ac:dyDescent="0.25">
      <c r="B7687" s="5">
        <v>7682</v>
      </c>
      <c r="C7687" s="5">
        <v>330.81837777470633</v>
      </c>
      <c r="D7687" s="45"/>
    </row>
    <row r="7688" spans="2:4" ht="16" thickBot="1" x14ac:dyDescent="0.25">
      <c r="B7688" s="4">
        <v>7683</v>
      </c>
      <c r="C7688" s="4">
        <v>231.44787209938718</v>
      </c>
      <c r="D7688" s="45"/>
    </row>
    <row r="7689" spans="2:4" ht="16" thickBot="1" x14ac:dyDescent="0.25">
      <c r="B7689" s="5">
        <v>7684</v>
      </c>
      <c r="C7689" s="5">
        <v>126.14491524959415</v>
      </c>
      <c r="D7689" s="45"/>
    </row>
    <row r="7690" spans="2:4" ht="16" thickBot="1" x14ac:dyDescent="0.25">
      <c r="B7690" s="4">
        <v>7685</v>
      </c>
      <c r="C7690" s="4">
        <v>83.013539824858597</v>
      </c>
      <c r="D7690" s="45"/>
    </row>
    <row r="7691" spans="2:4" ht="16" thickBot="1" x14ac:dyDescent="0.25">
      <c r="B7691" s="5">
        <v>7686</v>
      </c>
      <c r="C7691" s="5">
        <v>255.52614910807455</v>
      </c>
      <c r="D7691" s="45"/>
    </row>
    <row r="7692" spans="2:4" ht="16" thickBot="1" x14ac:dyDescent="0.25">
      <c r="B7692" s="4">
        <v>7687</v>
      </c>
      <c r="C7692" s="4">
        <v>224.74279166304402</v>
      </c>
      <c r="D7692" s="45"/>
    </row>
    <row r="7693" spans="2:4" ht="16" thickBot="1" x14ac:dyDescent="0.25">
      <c r="B7693" s="5">
        <v>7688</v>
      </c>
      <c r="C7693" s="5">
        <v>227.49194302417433</v>
      </c>
      <c r="D7693" s="45"/>
    </row>
    <row r="7694" spans="2:4" ht="16" thickBot="1" x14ac:dyDescent="0.25">
      <c r="B7694" s="4">
        <v>7689</v>
      </c>
      <c r="C7694" s="4">
        <v>145.68531817365098</v>
      </c>
      <c r="D7694" s="45"/>
    </row>
    <row r="7695" spans="2:4" ht="16" thickBot="1" x14ac:dyDescent="0.25">
      <c r="B7695" s="5">
        <v>7690</v>
      </c>
      <c r="C7695" s="5">
        <v>192.20639780920359</v>
      </c>
      <c r="D7695" s="45"/>
    </row>
    <row r="7696" spans="2:4" ht="16" thickBot="1" x14ac:dyDescent="0.25">
      <c r="B7696" s="4">
        <v>7691</v>
      </c>
      <c r="C7696" s="4">
        <v>564.08539811516175</v>
      </c>
      <c r="D7696" s="45"/>
    </row>
    <row r="7697" spans="2:4" ht="16" thickBot="1" x14ac:dyDescent="0.25">
      <c r="B7697" s="5">
        <v>7692</v>
      </c>
      <c r="C7697" s="5">
        <v>90.594799728923306</v>
      </c>
      <c r="D7697" s="45"/>
    </row>
    <row r="7698" spans="2:4" ht="16" thickBot="1" x14ac:dyDescent="0.25">
      <c r="B7698" s="4">
        <v>7693</v>
      </c>
      <c r="C7698" s="4">
        <v>80.89450696687102</v>
      </c>
      <c r="D7698" s="45"/>
    </row>
    <row r="7699" spans="2:4" ht="16" thickBot="1" x14ac:dyDescent="0.25">
      <c r="B7699" s="5">
        <v>7694</v>
      </c>
      <c r="C7699" s="5">
        <v>220.89880009198637</v>
      </c>
      <c r="D7699" s="45"/>
    </row>
    <row r="7700" spans="2:4" ht="16" thickBot="1" x14ac:dyDescent="0.25">
      <c r="B7700" s="4">
        <v>7695</v>
      </c>
      <c r="C7700" s="4">
        <v>298.41668860472555</v>
      </c>
      <c r="D7700" s="45"/>
    </row>
    <row r="7701" spans="2:4" ht="16" thickBot="1" x14ac:dyDescent="0.25">
      <c r="B7701" s="5">
        <v>7696</v>
      </c>
      <c r="C7701" s="5">
        <v>622.52350457208922</v>
      </c>
      <c r="D7701" s="45"/>
    </row>
    <row r="7702" spans="2:4" ht="16" thickBot="1" x14ac:dyDescent="0.25">
      <c r="B7702" s="4">
        <v>7697</v>
      </c>
      <c r="C7702" s="4">
        <v>160.34978408232314</v>
      </c>
      <c r="D7702" s="45"/>
    </row>
    <row r="7703" spans="2:4" ht="16" thickBot="1" x14ac:dyDescent="0.25">
      <c r="B7703" s="5">
        <v>7698</v>
      </c>
      <c r="C7703" s="5">
        <v>97.495107694439014</v>
      </c>
      <c r="D7703" s="45"/>
    </row>
    <row r="7704" spans="2:4" ht="16" thickBot="1" x14ac:dyDescent="0.25">
      <c r="B7704" s="4">
        <v>7699</v>
      </c>
      <c r="C7704" s="4">
        <v>224.19333151600472</v>
      </c>
      <c r="D7704" s="45"/>
    </row>
    <row r="7705" spans="2:4" ht="16" thickBot="1" x14ac:dyDescent="0.25">
      <c r="B7705" s="5">
        <v>7700</v>
      </c>
      <c r="C7705" s="5">
        <v>146.55981810807188</v>
      </c>
      <c r="D7705" s="45"/>
    </row>
    <row r="7706" spans="2:4" ht="16" thickBot="1" x14ac:dyDescent="0.25">
      <c r="B7706" s="4">
        <v>7701</v>
      </c>
      <c r="C7706" s="4">
        <v>191.26294160008305</v>
      </c>
      <c r="D7706" s="45"/>
    </row>
    <row r="7707" spans="2:4" ht="16" thickBot="1" x14ac:dyDescent="0.25">
      <c r="B7707" s="5">
        <v>7702</v>
      </c>
      <c r="C7707" s="5">
        <v>116.78902927200797</v>
      </c>
      <c r="D7707" s="45"/>
    </row>
    <row r="7708" spans="2:4" ht="16" thickBot="1" x14ac:dyDescent="0.25">
      <c r="B7708" s="4">
        <v>7703</v>
      </c>
      <c r="C7708" s="4">
        <v>250.2488391488013</v>
      </c>
      <c r="D7708" s="45"/>
    </row>
    <row r="7709" spans="2:4" ht="16" thickBot="1" x14ac:dyDescent="0.25">
      <c r="B7709" s="5">
        <v>7704</v>
      </c>
      <c r="C7709" s="5">
        <v>129.2224701841632</v>
      </c>
      <c r="D7709" s="45"/>
    </row>
    <row r="7710" spans="2:4" ht="16" thickBot="1" x14ac:dyDescent="0.25">
      <c r="B7710" s="4">
        <v>7705</v>
      </c>
      <c r="C7710" s="4">
        <v>147.71202552953375</v>
      </c>
      <c r="D7710" s="45"/>
    </row>
    <row r="7711" spans="2:4" ht="16" thickBot="1" x14ac:dyDescent="0.25">
      <c r="B7711" s="5">
        <v>7706</v>
      </c>
      <c r="C7711" s="5">
        <v>218.00681963351187</v>
      </c>
      <c r="D7711" s="45"/>
    </row>
    <row r="7712" spans="2:4" ht="16" thickBot="1" x14ac:dyDescent="0.25">
      <c r="B7712" s="4">
        <v>7707</v>
      </c>
      <c r="C7712" s="4">
        <v>210.74350691083575</v>
      </c>
      <c r="D7712" s="45"/>
    </row>
    <row r="7713" spans="2:4" ht="16" thickBot="1" x14ac:dyDescent="0.25">
      <c r="B7713" s="5">
        <v>7708</v>
      </c>
      <c r="C7713" s="5">
        <v>122.2063683453747</v>
      </c>
      <c r="D7713" s="45"/>
    </row>
    <row r="7714" spans="2:4" ht="16" thickBot="1" x14ac:dyDescent="0.25">
      <c r="B7714" s="4">
        <v>7709</v>
      </c>
      <c r="C7714" s="4">
        <v>113.3833508771441</v>
      </c>
      <c r="D7714" s="45"/>
    </row>
    <row r="7715" spans="2:4" ht="16" thickBot="1" x14ac:dyDescent="0.25">
      <c r="B7715" s="5">
        <v>7710</v>
      </c>
      <c r="C7715" s="5">
        <v>120.98027683173967</v>
      </c>
      <c r="D7715" s="45"/>
    </row>
    <row r="7716" spans="2:4" ht="16" thickBot="1" x14ac:dyDescent="0.25">
      <c r="B7716" s="4">
        <v>7711</v>
      </c>
      <c r="C7716" s="4">
        <v>149.75897611426436</v>
      </c>
      <c r="D7716" s="45"/>
    </row>
    <row r="7717" spans="2:4" ht="16" thickBot="1" x14ac:dyDescent="0.25">
      <c r="B7717" s="5">
        <v>7712</v>
      </c>
      <c r="C7717" s="5">
        <v>179.47179981752683</v>
      </c>
      <c r="D7717" s="45"/>
    </row>
    <row r="7718" spans="2:4" ht="16" thickBot="1" x14ac:dyDescent="0.25">
      <c r="B7718" s="4">
        <v>7713</v>
      </c>
      <c r="C7718" s="4">
        <v>172.25686955185765</v>
      </c>
      <c r="D7718" s="45"/>
    </row>
    <row r="7719" spans="2:4" ht="16" thickBot="1" x14ac:dyDescent="0.25">
      <c r="B7719" s="5">
        <v>7714</v>
      </c>
      <c r="C7719" s="5">
        <v>288.56531077578103</v>
      </c>
      <c r="D7719" s="45"/>
    </row>
    <row r="7720" spans="2:4" ht="16" thickBot="1" x14ac:dyDescent="0.25">
      <c r="B7720" s="4">
        <v>7715</v>
      </c>
      <c r="C7720" s="4">
        <v>69.62753248029891</v>
      </c>
      <c r="D7720" s="45"/>
    </row>
    <row r="7721" spans="2:4" ht="16" thickBot="1" x14ac:dyDescent="0.25">
      <c r="B7721" s="5">
        <v>7716</v>
      </c>
      <c r="C7721" s="5">
        <v>91.533890312604967</v>
      </c>
      <c r="D7721" s="45"/>
    </row>
    <row r="7722" spans="2:4" ht="16" thickBot="1" x14ac:dyDescent="0.25">
      <c r="B7722" s="4">
        <v>7717</v>
      </c>
      <c r="C7722" s="4">
        <v>184.38151269774784</v>
      </c>
      <c r="D7722" s="45"/>
    </row>
    <row r="7723" spans="2:4" ht="16" thickBot="1" x14ac:dyDescent="0.25">
      <c r="B7723" s="5">
        <v>7718</v>
      </c>
      <c r="C7723" s="5">
        <v>215.6610549034489</v>
      </c>
      <c r="D7723" s="45"/>
    </row>
    <row r="7724" spans="2:4" ht="16" thickBot="1" x14ac:dyDescent="0.25">
      <c r="B7724" s="4">
        <v>7719</v>
      </c>
      <c r="C7724" s="4">
        <v>174.43830155611326</v>
      </c>
      <c r="D7724" s="45"/>
    </row>
    <row r="7725" spans="2:4" ht="16" thickBot="1" x14ac:dyDescent="0.25">
      <c r="B7725" s="5">
        <v>7720</v>
      </c>
      <c r="C7725" s="5">
        <v>206.94735267928289</v>
      </c>
      <c r="D7725" s="45"/>
    </row>
    <row r="7726" spans="2:4" ht="16" thickBot="1" x14ac:dyDescent="0.25">
      <c r="B7726" s="4">
        <v>7721</v>
      </c>
      <c r="C7726" s="4">
        <v>71.439350142128333</v>
      </c>
      <c r="D7726" s="45"/>
    </row>
    <row r="7727" spans="2:4" ht="16" thickBot="1" x14ac:dyDescent="0.25">
      <c r="B7727" s="5">
        <v>7722</v>
      </c>
      <c r="C7727" s="5">
        <v>79.09164416307992</v>
      </c>
      <c r="D7727" s="45"/>
    </row>
    <row r="7728" spans="2:4" ht="16" thickBot="1" x14ac:dyDescent="0.25">
      <c r="B7728" s="4">
        <v>7723</v>
      </c>
      <c r="C7728" s="4">
        <v>134.9673919037435</v>
      </c>
      <c r="D7728" s="45"/>
    </row>
    <row r="7729" spans="2:4" ht="16" thickBot="1" x14ac:dyDescent="0.25">
      <c r="B7729" s="5">
        <v>7724</v>
      </c>
      <c r="C7729" s="5">
        <v>195.64192321647371</v>
      </c>
      <c r="D7729" s="45"/>
    </row>
    <row r="7730" spans="2:4" ht="16" thickBot="1" x14ac:dyDescent="0.25">
      <c r="B7730" s="4">
        <v>7725</v>
      </c>
      <c r="C7730" s="4">
        <v>228.07775800418509</v>
      </c>
      <c r="D7730" s="45"/>
    </row>
    <row r="7731" spans="2:4" ht="16" thickBot="1" x14ac:dyDescent="0.25">
      <c r="B7731" s="5">
        <v>7726</v>
      </c>
      <c r="C7731" s="5">
        <v>162.05914357498119</v>
      </c>
      <c r="D7731" s="45"/>
    </row>
    <row r="7732" spans="2:4" ht="16" thickBot="1" x14ac:dyDescent="0.25">
      <c r="B7732" s="4">
        <v>7727</v>
      </c>
      <c r="C7732" s="4">
        <v>425.59831149829756</v>
      </c>
      <c r="D7732" s="45"/>
    </row>
    <row r="7733" spans="2:4" ht="16" thickBot="1" x14ac:dyDescent="0.25">
      <c r="B7733" s="5">
        <v>7728</v>
      </c>
      <c r="C7733" s="5">
        <v>234.84769832128089</v>
      </c>
      <c r="D7733" s="45"/>
    </row>
    <row r="7734" spans="2:4" ht="16" thickBot="1" x14ac:dyDescent="0.25">
      <c r="B7734" s="4">
        <v>7729</v>
      </c>
      <c r="C7734" s="4">
        <v>276.05728738792777</v>
      </c>
      <c r="D7734" s="45"/>
    </row>
    <row r="7735" spans="2:4" ht="16" thickBot="1" x14ac:dyDescent="0.25">
      <c r="B7735" s="5">
        <v>7730</v>
      </c>
      <c r="C7735" s="5">
        <v>222.97470923171792</v>
      </c>
      <c r="D7735" s="45"/>
    </row>
    <row r="7736" spans="2:4" ht="16" thickBot="1" x14ac:dyDescent="0.25">
      <c r="B7736" s="4">
        <v>7731</v>
      </c>
      <c r="C7736" s="4">
        <v>127.6364433734547</v>
      </c>
      <c r="D7736" s="45"/>
    </row>
    <row r="7737" spans="2:4" ht="16" thickBot="1" x14ac:dyDescent="0.25">
      <c r="B7737" s="5">
        <v>7732</v>
      </c>
      <c r="C7737" s="5">
        <v>170.42245779255092</v>
      </c>
      <c r="D7737" s="45"/>
    </row>
    <row r="7738" spans="2:4" ht="16" thickBot="1" x14ac:dyDescent="0.25">
      <c r="B7738" s="4">
        <v>7733</v>
      </c>
      <c r="C7738" s="4">
        <v>162.65783680028656</v>
      </c>
      <c r="D7738" s="45"/>
    </row>
    <row r="7739" spans="2:4" ht="16" thickBot="1" x14ac:dyDescent="0.25">
      <c r="B7739" s="5">
        <v>7734</v>
      </c>
      <c r="C7739" s="5">
        <v>159.08659064279024</v>
      </c>
      <c r="D7739" s="45"/>
    </row>
    <row r="7740" spans="2:4" ht="16" thickBot="1" x14ac:dyDescent="0.25">
      <c r="B7740" s="4">
        <v>7735</v>
      </c>
      <c r="C7740" s="4">
        <v>88.35792065789235</v>
      </c>
      <c r="D7740" s="45"/>
    </row>
    <row r="7741" spans="2:4" ht="16" thickBot="1" x14ac:dyDescent="0.25">
      <c r="B7741" s="5">
        <v>7736</v>
      </c>
      <c r="C7741" s="5">
        <v>270.99589365022854</v>
      </c>
      <c r="D7741" s="45"/>
    </row>
    <row r="7742" spans="2:4" ht="16" thickBot="1" x14ac:dyDescent="0.25">
      <c r="B7742" s="4">
        <v>7737</v>
      </c>
      <c r="C7742" s="4">
        <v>128.42344862869342</v>
      </c>
      <c r="D7742" s="45"/>
    </row>
    <row r="7743" spans="2:4" ht="16" thickBot="1" x14ac:dyDescent="0.25">
      <c r="B7743" s="5">
        <v>7738</v>
      </c>
      <c r="C7743" s="5">
        <v>223.80189639354961</v>
      </c>
      <c r="D7743" s="45"/>
    </row>
    <row r="7744" spans="2:4" ht="16" thickBot="1" x14ac:dyDescent="0.25">
      <c r="B7744" s="4">
        <v>7739</v>
      </c>
      <c r="C7744" s="4">
        <v>183.22244200013606</v>
      </c>
      <c r="D7744" s="45"/>
    </row>
    <row r="7745" spans="2:4" ht="16" thickBot="1" x14ac:dyDescent="0.25">
      <c r="B7745" s="5">
        <v>7740</v>
      </c>
      <c r="C7745" s="5">
        <v>112.25373593289092</v>
      </c>
      <c r="D7745" s="45"/>
    </row>
    <row r="7746" spans="2:4" ht="16" thickBot="1" x14ac:dyDescent="0.25">
      <c r="B7746" s="4">
        <v>7741</v>
      </c>
      <c r="C7746" s="4">
        <v>176.45804951533822</v>
      </c>
      <c r="D7746" s="45"/>
    </row>
    <row r="7747" spans="2:4" ht="16" thickBot="1" x14ac:dyDescent="0.25">
      <c r="B7747" s="5">
        <v>7742</v>
      </c>
      <c r="C7747" s="5">
        <v>155.71917581912535</v>
      </c>
      <c r="D7747" s="45"/>
    </row>
    <row r="7748" spans="2:4" ht="16" thickBot="1" x14ac:dyDescent="0.25">
      <c r="B7748" s="4">
        <v>7743</v>
      </c>
      <c r="C7748" s="4">
        <v>139.96606640327619</v>
      </c>
      <c r="D7748" s="45"/>
    </row>
    <row r="7749" spans="2:4" ht="16" thickBot="1" x14ac:dyDescent="0.25">
      <c r="B7749" s="5">
        <v>7744</v>
      </c>
      <c r="C7749" s="5">
        <v>274.01356857045124</v>
      </c>
      <c r="D7749" s="45"/>
    </row>
    <row r="7750" spans="2:4" ht="16" thickBot="1" x14ac:dyDescent="0.25">
      <c r="B7750" s="4">
        <v>7745</v>
      </c>
      <c r="C7750" s="4">
        <v>281.23568946996369</v>
      </c>
      <c r="D7750" s="45"/>
    </row>
    <row r="7751" spans="2:4" ht="16" thickBot="1" x14ac:dyDescent="0.25">
      <c r="B7751" s="5">
        <v>7746</v>
      </c>
      <c r="C7751" s="5">
        <v>191.15264086540441</v>
      </c>
      <c r="D7751" s="45"/>
    </row>
    <row r="7752" spans="2:4" ht="16" thickBot="1" x14ac:dyDescent="0.25">
      <c r="B7752" s="4">
        <v>7747</v>
      </c>
      <c r="C7752" s="4">
        <v>182.74179737481825</v>
      </c>
      <c r="D7752" s="45"/>
    </row>
    <row r="7753" spans="2:4" ht="16" thickBot="1" x14ac:dyDescent="0.25">
      <c r="B7753" s="5">
        <v>7748</v>
      </c>
      <c r="C7753" s="5">
        <v>66.883366876887422</v>
      </c>
      <c r="D7753" s="45"/>
    </row>
    <row r="7754" spans="2:4" ht="16" thickBot="1" x14ac:dyDescent="0.25">
      <c r="B7754" s="4">
        <v>7749</v>
      </c>
      <c r="C7754" s="4">
        <v>105.89556250451506</v>
      </c>
      <c r="D7754" s="45"/>
    </row>
    <row r="7755" spans="2:4" ht="16" thickBot="1" x14ac:dyDescent="0.25">
      <c r="B7755" s="5">
        <v>7750</v>
      </c>
      <c r="C7755" s="5">
        <v>84.569460936645058</v>
      </c>
      <c r="D7755" s="45"/>
    </row>
    <row r="7756" spans="2:4" ht="16" thickBot="1" x14ac:dyDescent="0.25">
      <c r="B7756" s="4">
        <v>7751</v>
      </c>
      <c r="C7756" s="4">
        <v>425.42980013225309</v>
      </c>
      <c r="D7756" s="45"/>
    </row>
    <row r="7757" spans="2:4" ht="16" thickBot="1" x14ac:dyDescent="0.25">
      <c r="B7757" s="5">
        <v>7752</v>
      </c>
      <c r="C7757" s="5">
        <v>55.401995023580632</v>
      </c>
      <c r="D7757" s="45"/>
    </row>
    <row r="7758" spans="2:4" ht="16" thickBot="1" x14ac:dyDescent="0.25">
      <c r="B7758" s="4">
        <v>7753</v>
      </c>
      <c r="C7758" s="4">
        <v>162.82954597144456</v>
      </c>
      <c r="D7758" s="45"/>
    </row>
    <row r="7759" spans="2:4" ht="16" thickBot="1" x14ac:dyDescent="0.25">
      <c r="B7759" s="5">
        <v>7754</v>
      </c>
      <c r="C7759" s="5">
        <v>190.01139544621998</v>
      </c>
      <c r="D7759" s="45"/>
    </row>
    <row r="7760" spans="2:4" ht="16" thickBot="1" x14ac:dyDescent="0.25">
      <c r="B7760" s="4">
        <v>7755</v>
      </c>
      <c r="C7760" s="4">
        <v>214.75597867501423</v>
      </c>
      <c r="D7760" s="45"/>
    </row>
    <row r="7761" spans="2:4" ht="16" thickBot="1" x14ac:dyDescent="0.25">
      <c r="B7761" s="5">
        <v>7756</v>
      </c>
      <c r="C7761" s="5">
        <v>103.86398714082353</v>
      </c>
      <c r="D7761" s="45"/>
    </row>
    <row r="7762" spans="2:4" ht="16" thickBot="1" x14ac:dyDescent="0.25">
      <c r="B7762" s="4">
        <v>7757</v>
      </c>
      <c r="C7762" s="4">
        <v>150.85764942945437</v>
      </c>
      <c r="D7762" s="45"/>
    </row>
    <row r="7763" spans="2:4" ht="16" thickBot="1" x14ac:dyDescent="0.25">
      <c r="B7763" s="5">
        <v>7758</v>
      </c>
      <c r="C7763" s="5">
        <v>170.5545854807192</v>
      </c>
      <c r="D7763" s="45"/>
    </row>
    <row r="7764" spans="2:4" ht="16" thickBot="1" x14ac:dyDescent="0.25">
      <c r="B7764" s="4">
        <v>7759</v>
      </c>
      <c r="C7764" s="4">
        <v>98.567644615162322</v>
      </c>
      <c r="D7764" s="45"/>
    </row>
    <row r="7765" spans="2:4" ht="16" thickBot="1" x14ac:dyDescent="0.25">
      <c r="B7765" s="5">
        <v>7760</v>
      </c>
      <c r="C7765" s="5">
        <v>186.52869006838142</v>
      </c>
      <c r="D7765" s="45"/>
    </row>
    <row r="7766" spans="2:4" ht="16" thickBot="1" x14ac:dyDescent="0.25">
      <c r="B7766" s="4">
        <v>7761</v>
      </c>
      <c r="C7766" s="4">
        <v>419.95876610798177</v>
      </c>
      <c r="D7766" s="45"/>
    </row>
    <row r="7767" spans="2:4" ht="16" thickBot="1" x14ac:dyDescent="0.25">
      <c r="B7767" s="5">
        <v>7762</v>
      </c>
      <c r="C7767" s="5">
        <v>130.78807593537258</v>
      </c>
      <c r="D7767" s="45"/>
    </row>
    <row r="7768" spans="2:4" ht="16" thickBot="1" x14ac:dyDescent="0.25">
      <c r="B7768" s="4">
        <v>7763</v>
      </c>
      <c r="C7768" s="4">
        <v>219.85935098104042</v>
      </c>
      <c r="D7768" s="45"/>
    </row>
    <row r="7769" spans="2:4" ht="16" thickBot="1" x14ac:dyDescent="0.25">
      <c r="B7769" s="5">
        <v>7764</v>
      </c>
      <c r="C7769" s="5">
        <v>85.370976683404891</v>
      </c>
      <c r="D7769" s="45"/>
    </row>
    <row r="7770" spans="2:4" ht="16" thickBot="1" x14ac:dyDescent="0.25">
      <c r="B7770" s="4">
        <v>7765</v>
      </c>
      <c r="C7770" s="4">
        <v>152.8220446549748</v>
      </c>
      <c r="D7770" s="45"/>
    </row>
    <row r="7771" spans="2:4" ht="16" thickBot="1" x14ac:dyDescent="0.25">
      <c r="B7771" s="5">
        <v>7766</v>
      </c>
      <c r="C7771" s="5">
        <v>202.72154977151646</v>
      </c>
      <c r="D7771" s="45"/>
    </row>
    <row r="7772" spans="2:4" ht="16" thickBot="1" x14ac:dyDescent="0.25">
      <c r="B7772" s="4">
        <v>7767</v>
      </c>
      <c r="C7772" s="4">
        <v>134.27917697348983</v>
      </c>
      <c r="D7772" s="45"/>
    </row>
    <row r="7773" spans="2:4" ht="16" thickBot="1" x14ac:dyDescent="0.25">
      <c r="B7773" s="5">
        <v>7768</v>
      </c>
      <c r="C7773" s="5">
        <v>56.788453388150721</v>
      </c>
      <c r="D7773" s="45"/>
    </row>
    <row r="7774" spans="2:4" ht="16" thickBot="1" x14ac:dyDescent="0.25">
      <c r="B7774" s="4">
        <v>7769</v>
      </c>
      <c r="C7774" s="4">
        <v>142.34395920513987</v>
      </c>
      <c r="D7774" s="45"/>
    </row>
    <row r="7775" spans="2:4" ht="16" thickBot="1" x14ac:dyDescent="0.25">
      <c r="B7775" s="5">
        <v>7770</v>
      </c>
      <c r="C7775" s="5">
        <v>364.20933910691775</v>
      </c>
      <c r="D7775" s="45"/>
    </row>
    <row r="7776" spans="2:4" ht="16" thickBot="1" x14ac:dyDescent="0.25">
      <c r="B7776" s="4">
        <v>7771</v>
      </c>
      <c r="C7776" s="4">
        <v>310.52693214672252</v>
      </c>
      <c r="D7776" s="45"/>
    </row>
    <row r="7777" spans="2:4" ht="16" thickBot="1" x14ac:dyDescent="0.25">
      <c r="B7777" s="5">
        <v>7772</v>
      </c>
      <c r="C7777" s="5">
        <v>164.91454181304192</v>
      </c>
      <c r="D7777" s="45"/>
    </row>
    <row r="7778" spans="2:4" ht="16" thickBot="1" x14ac:dyDescent="0.25">
      <c r="B7778" s="4">
        <v>7773</v>
      </c>
      <c r="C7778" s="4">
        <v>127.26429786151608</v>
      </c>
      <c r="D7778" s="45"/>
    </row>
    <row r="7779" spans="2:4" ht="16" thickBot="1" x14ac:dyDescent="0.25">
      <c r="B7779" s="5">
        <v>7774</v>
      </c>
      <c r="C7779" s="5">
        <v>89.7210471444766</v>
      </c>
      <c r="D7779" s="45"/>
    </row>
    <row r="7780" spans="2:4" ht="16" thickBot="1" x14ac:dyDescent="0.25">
      <c r="B7780" s="4">
        <v>7775</v>
      </c>
      <c r="C7780" s="4">
        <v>285.41013667105653</v>
      </c>
      <c r="D7780" s="45"/>
    </row>
    <row r="7781" spans="2:4" ht="16" thickBot="1" x14ac:dyDescent="0.25">
      <c r="B7781" s="5">
        <v>7776</v>
      </c>
      <c r="C7781" s="5">
        <v>94.399138138503886</v>
      </c>
      <c r="D7781" s="45"/>
    </row>
    <row r="7782" spans="2:4" ht="16" thickBot="1" x14ac:dyDescent="0.25">
      <c r="B7782" s="4">
        <v>7777</v>
      </c>
      <c r="C7782" s="4">
        <v>283.83473576815175</v>
      </c>
      <c r="D7782" s="45"/>
    </row>
    <row r="7783" spans="2:4" ht="16" thickBot="1" x14ac:dyDescent="0.25">
      <c r="B7783" s="5">
        <v>7778</v>
      </c>
      <c r="C7783" s="5">
        <v>106.73614019381827</v>
      </c>
      <c r="D7783" s="45"/>
    </row>
    <row r="7784" spans="2:4" ht="16" thickBot="1" x14ac:dyDescent="0.25">
      <c r="B7784" s="4">
        <v>7779</v>
      </c>
      <c r="C7784" s="4">
        <v>129.69428325507675</v>
      </c>
      <c r="D7784" s="45"/>
    </row>
    <row r="7785" spans="2:4" ht="16" thickBot="1" x14ac:dyDescent="0.25">
      <c r="B7785" s="5">
        <v>7780</v>
      </c>
      <c r="C7785" s="5">
        <v>419.4094352443841</v>
      </c>
      <c r="D7785" s="45"/>
    </row>
    <row r="7786" spans="2:4" ht="16" thickBot="1" x14ac:dyDescent="0.25">
      <c r="B7786" s="4">
        <v>7781</v>
      </c>
      <c r="C7786" s="4">
        <v>78.941131605954183</v>
      </c>
      <c r="D7786" s="45"/>
    </row>
    <row r="7787" spans="2:4" ht="16" thickBot="1" x14ac:dyDescent="0.25">
      <c r="B7787" s="5">
        <v>7782</v>
      </c>
      <c r="C7787" s="5">
        <v>71.819673156103804</v>
      </c>
      <c r="D7787" s="45"/>
    </row>
    <row r="7788" spans="2:4" ht="16" thickBot="1" x14ac:dyDescent="0.25">
      <c r="B7788" s="4">
        <v>7783</v>
      </c>
      <c r="C7788" s="4">
        <v>118.60630341495462</v>
      </c>
      <c r="D7788" s="45"/>
    </row>
    <row r="7789" spans="2:4" ht="16" thickBot="1" x14ac:dyDescent="0.25">
      <c r="B7789" s="5">
        <v>7784</v>
      </c>
      <c r="C7789" s="5">
        <v>177.04976344646224</v>
      </c>
      <c r="D7789" s="45"/>
    </row>
    <row r="7790" spans="2:4" ht="16" thickBot="1" x14ac:dyDescent="0.25">
      <c r="B7790" s="4">
        <v>7785</v>
      </c>
      <c r="C7790" s="4">
        <v>97.60124363075154</v>
      </c>
      <c r="D7790" s="45"/>
    </row>
    <row r="7791" spans="2:4" ht="16" thickBot="1" x14ac:dyDescent="0.25">
      <c r="B7791" s="5">
        <v>7786</v>
      </c>
      <c r="C7791" s="5">
        <v>84.824715581814786</v>
      </c>
      <c r="D7791" s="45"/>
    </row>
    <row r="7792" spans="2:4" ht="16" thickBot="1" x14ac:dyDescent="0.25">
      <c r="B7792" s="4">
        <v>7787</v>
      </c>
      <c r="C7792" s="4">
        <v>152.72557778979549</v>
      </c>
      <c r="D7792" s="45"/>
    </row>
    <row r="7793" spans="2:4" ht="16" thickBot="1" x14ac:dyDescent="0.25">
      <c r="B7793" s="5">
        <v>7788</v>
      </c>
      <c r="C7793" s="5">
        <v>215.70422816284668</v>
      </c>
      <c r="D7793" s="45"/>
    </row>
    <row r="7794" spans="2:4" ht="16" thickBot="1" x14ac:dyDescent="0.25">
      <c r="B7794" s="4">
        <v>7789</v>
      </c>
      <c r="C7794" s="4">
        <v>129.59355691551676</v>
      </c>
      <c r="D7794" s="45"/>
    </row>
    <row r="7795" spans="2:4" ht="16" thickBot="1" x14ac:dyDescent="0.25">
      <c r="B7795" s="5">
        <v>7790</v>
      </c>
      <c r="C7795" s="5">
        <v>185.88276538889642</v>
      </c>
      <c r="D7795" s="45"/>
    </row>
    <row r="7796" spans="2:4" ht="16" thickBot="1" x14ac:dyDescent="0.25">
      <c r="B7796" s="4">
        <v>7791</v>
      </c>
      <c r="C7796" s="4">
        <v>155.97608830214813</v>
      </c>
      <c r="D7796" s="45"/>
    </row>
    <row r="7797" spans="2:4" ht="16" thickBot="1" x14ac:dyDescent="0.25">
      <c r="B7797" s="5">
        <v>7792</v>
      </c>
      <c r="C7797" s="5">
        <v>128.52798417481807</v>
      </c>
      <c r="D7797" s="45"/>
    </row>
    <row r="7798" spans="2:4" ht="16" thickBot="1" x14ac:dyDescent="0.25">
      <c r="B7798" s="4">
        <v>7793</v>
      </c>
      <c r="C7798" s="4">
        <v>120.51171114078662</v>
      </c>
      <c r="D7798" s="45"/>
    </row>
    <row r="7799" spans="2:4" ht="16" thickBot="1" x14ac:dyDescent="0.25">
      <c r="B7799" s="5">
        <v>7794</v>
      </c>
      <c r="C7799" s="5">
        <v>398.54638451595656</v>
      </c>
      <c r="D7799" s="45"/>
    </row>
    <row r="7800" spans="2:4" ht="16" thickBot="1" x14ac:dyDescent="0.25">
      <c r="B7800" s="4">
        <v>7795</v>
      </c>
      <c r="C7800" s="4">
        <v>276.46036385072637</v>
      </c>
      <c r="D7800" s="45"/>
    </row>
    <row r="7801" spans="2:4" ht="16" thickBot="1" x14ac:dyDescent="0.25">
      <c r="B7801" s="5">
        <v>7796</v>
      </c>
      <c r="C7801" s="5">
        <v>252.26321555660655</v>
      </c>
      <c r="D7801" s="45"/>
    </row>
    <row r="7802" spans="2:4" ht="16" thickBot="1" x14ac:dyDescent="0.25">
      <c r="B7802" s="4">
        <v>7797</v>
      </c>
      <c r="C7802" s="4">
        <v>152.44234118489604</v>
      </c>
      <c r="D7802" s="45"/>
    </row>
    <row r="7803" spans="2:4" ht="16" thickBot="1" x14ac:dyDescent="0.25">
      <c r="B7803" s="5">
        <v>7798</v>
      </c>
      <c r="C7803" s="5">
        <v>219.29496923353338</v>
      </c>
      <c r="D7803" s="45"/>
    </row>
    <row r="7804" spans="2:4" ht="16" thickBot="1" x14ac:dyDescent="0.25">
      <c r="B7804" s="4">
        <v>7799</v>
      </c>
      <c r="C7804" s="4">
        <v>105.52680323125144</v>
      </c>
      <c r="D7804" s="45"/>
    </row>
    <row r="7805" spans="2:4" ht="16" thickBot="1" x14ac:dyDescent="0.25">
      <c r="B7805" s="5">
        <v>7800</v>
      </c>
      <c r="C7805" s="5">
        <v>51.746097822761485</v>
      </c>
      <c r="D7805" s="45"/>
    </row>
    <row r="7806" spans="2:4" ht="16" thickBot="1" x14ac:dyDescent="0.25">
      <c r="B7806" s="4">
        <v>7801</v>
      </c>
      <c r="C7806" s="4">
        <v>125.62891081671913</v>
      </c>
      <c r="D7806" s="45"/>
    </row>
    <row r="7807" spans="2:4" ht="16" thickBot="1" x14ac:dyDescent="0.25">
      <c r="B7807" s="5">
        <v>7802</v>
      </c>
      <c r="C7807" s="5">
        <v>360.88819900911824</v>
      </c>
      <c r="D7807" s="45"/>
    </row>
    <row r="7808" spans="2:4" ht="16" thickBot="1" x14ac:dyDescent="0.25">
      <c r="B7808" s="4">
        <v>7803</v>
      </c>
      <c r="C7808" s="4">
        <v>218.04805033539435</v>
      </c>
      <c r="D7808" s="45"/>
    </row>
    <row r="7809" spans="2:4" ht="16" thickBot="1" x14ac:dyDescent="0.25">
      <c r="B7809" s="5">
        <v>7804</v>
      </c>
      <c r="C7809" s="5">
        <v>61.807324777962556</v>
      </c>
      <c r="D7809" s="45"/>
    </row>
    <row r="7810" spans="2:4" ht="16" thickBot="1" x14ac:dyDescent="0.25">
      <c r="B7810" s="4">
        <v>7805</v>
      </c>
      <c r="C7810" s="4">
        <v>104.53611348026132</v>
      </c>
      <c r="D7810" s="45"/>
    </row>
    <row r="7811" spans="2:4" ht="16" thickBot="1" x14ac:dyDescent="0.25">
      <c r="B7811" s="5">
        <v>7806</v>
      </c>
      <c r="C7811" s="5">
        <v>132.81619547146568</v>
      </c>
      <c r="D7811" s="45"/>
    </row>
    <row r="7812" spans="2:4" ht="16" thickBot="1" x14ac:dyDescent="0.25">
      <c r="B7812" s="4">
        <v>7807</v>
      </c>
      <c r="C7812" s="4">
        <v>438.84107005541114</v>
      </c>
      <c r="D7812" s="45"/>
    </row>
    <row r="7813" spans="2:4" ht="16" thickBot="1" x14ac:dyDescent="0.25">
      <c r="B7813" s="5">
        <v>7808</v>
      </c>
      <c r="C7813" s="5">
        <v>96.386731010433408</v>
      </c>
      <c r="D7813" s="45"/>
    </row>
    <row r="7814" spans="2:4" ht="16" thickBot="1" x14ac:dyDescent="0.25">
      <c r="B7814" s="4">
        <v>7809</v>
      </c>
      <c r="C7814" s="4">
        <v>204.8149093085409</v>
      </c>
      <c r="D7814" s="45"/>
    </row>
    <row r="7815" spans="2:4" ht="16" thickBot="1" x14ac:dyDescent="0.25">
      <c r="B7815" s="5">
        <v>7810</v>
      </c>
      <c r="C7815" s="5">
        <v>158.76154149607888</v>
      </c>
      <c r="D7815" s="45"/>
    </row>
    <row r="7816" spans="2:4" ht="16" thickBot="1" x14ac:dyDescent="0.25">
      <c r="B7816" s="4">
        <v>7811</v>
      </c>
      <c r="C7816" s="4">
        <v>114.22203648051804</v>
      </c>
      <c r="D7816" s="45"/>
    </row>
    <row r="7817" spans="2:4" ht="16" thickBot="1" x14ac:dyDescent="0.25">
      <c r="B7817" s="5">
        <v>7812</v>
      </c>
      <c r="C7817" s="5">
        <v>61.355704905600653</v>
      </c>
      <c r="D7817" s="45"/>
    </row>
    <row r="7818" spans="2:4" ht="16" thickBot="1" x14ac:dyDescent="0.25">
      <c r="B7818" s="4">
        <v>7813</v>
      </c>
      <c r="C7818" s="4">
        <v>117.407532420189</v>
      </c>
      <c r="D7818" s="45"/>
    </row>
    <row r="7819" spans="2:4" ht="16" thickBot="1" x14ac:dyDescent="0.25">
      <c r="B7819" s="5">
        <v>7814</v>
      </c>
      <c r="C7819" s="5">
        <v>84.755438179683722</v>
      </c>
      <c r="D7819" s="45"/>
    </row>
    <row r="7820" spans="2:4" ht="16" thickBot="1" x14ac:dyDescent="0.25">
      <c r="B7820" s="4">
        <v>7815</v>
      </c>
      <c r="C7820" s="4">
        <v>82.288328731167155</v>
      </c>
      <c r="D7820" s="45"/>
    </row>
    <row r="7821" spans="2:4" ht="16" thickBot="1" x14ac:dyDescent="0.25">
      <c r="B7821" s="5">
        <v>7816</v>
      </c>
      <c r="C7821" s="5">
        <v>206.5118374030439</v>
      </c>
      <c r="D7821" s="45"/>
    </row>
    <row r="7822" spans="2:4" ht="16" thickBot="1" x14ac:dyDescent="0.25">
      <c r="B7822" s="4">
        <v>7817</v>
      </c>
      <c r="C7822" s="4">
        <v>175.43556481256616</v>
      </c>
      <c r="D7822" s="45"/>
    </row>
    <row r="7823" spans="2:4" ht="16" thickBot="1" x14ac:dyDescent="0.25">
      <c r="B7823" s="5">
        <v>7818</v>
      </c>
      <c r="C7823" s="5">
        <v>126.52793799193236</v>
      </c>
      <c r="D7823" s="45"/>
    </row>
    <row r="7824" spans="2:4" ht="16" thickBot="1" x14ac:dyDescent="0.25">
      <c r="B7824" s="4">
        <v>7819</v>
      </c>
      <c r="C7824" s="4">
        <v>83.839180229866741</v>
      </c>
      <c r="D7824" s="45"/>
    </row>
    <row r="7825" spans="2:4" ht="16" thickBot="1" x14ac:dyDescent="0.25">
      <c r="B7825" s="5">
        <v>7820</v>
      </c>
      <c r="C7825" s="5">
        <v>102.683448883681</v>
      </c>
      <c r="D7825" s="45"/>
    </row>
    <row r="7826" spans="2:4" ht="16" thickBot="1" x14ac:dyDescent="0.25">
      <c r="B7826" s="4">
        <v>7821</v>
      </c>
      <c r="C7826" s="4">
        <v>107.84288188354587</v>
      </c>
      <c r="D7826" s="45"/>
    </row>
    <row r="7827" spans="2:4" ht="16" thickBot="1" x14ac:dyDescent="0.25">
      <c r="B7827" s="5">
        <v>7822</v>
      </c>
      <c r="C7827" s="5">
        <v>196.77988256519356</v>
      </c>
      <c r="D7827" s="45"/>
    </row>
    <row r="7828" spans="2:4" ht="16" thickBot="1" x14ac:dyDescent="0.25">
      <c r="B7828" s="4">
        <v>7823</v>
      </c>
      <c r="C7828" s="4">
        <v>228.81768885531946</v>
      </c>
      <c r="D7828" s="45"/>
    </row>
    <row r="7829" spans="2:4" ht="16" thickBot="1" x14ac:dyDescent="0.25">
      <c r="B7829" s="5">
        <v>7824</v>
      </c>
      <c r="C7829" s="5">
        <v>156.60210980018076</v>
      </c>
      <c r="D7829" s="45"/>
    </row>
    <row r="7830" spans="2:4" ht="16" thickBot="1" x14ac:dyDescent="0.25">
      <c r="B7830" s="4">
        <v>7825</v>
      </c>
      <c r="C7830" s="4">
        <v>89.683279023013284</v>
      </c>
      <c r="D7830" s="45"/>
    </row>
    <row r="7831" spans="2:4" ht="16" thickBot="1" x14ac:dyDescent="0.25">
      <c r="B7831" s="5">
        <v>7826</v>
      </c>
      <c r="C7831" s="5">
        <v>227.292431016916</v>
      </c>
      <c r="D7831" s="45"/>
    </row>
    <row r="7832" spans="2:4" ht="16" thickBot="1" x14ac:dyDescent="0.25">
      <c r="B7832" s="4">
        <v>7827</v>
      </c>
      <c r="C7832" s="4">
        <v>237.45377559672403</v>
      </c>
      <c r="D7832" s="45"/>
    </row>
    <row r="7833" spans="2:4" ht="16" thickBot="1" x14ac:dyDescent="0.25">
      <c r="B7833" s="5">
        <v>7828</v>
      </c>
      <c r="C7833" s="5">
        <v>74.384409204762377</v>
      </c>
      <c r="D7833" s="45"/>
    </row>
    <row r="7834" spans="2:4" ht="16" thickBot="1" x14ac:dyDescent="0.25">
      <c r="B7834" s="4">
        <v>7829</v>
      </c>
      <c r="C7834" s="4">
        <v>106.8915593870704</v>
      </c>
      <c r="D7834" s="45"/>
    </row>
    <row r="7835" spans="2:4" ht="16" thickBot="1" x14ac:dyDescent="0.25">
      <c r="B7835" s="5">
        <v>7830</v>
      </c>
      <c r="C7835" s="5">
        <v>79.065554913148873</v>
      </c>
      <c r="D7835" s="45"/>
    </row>
    <row r="7836" spans="2:4" ht="16" thickBot="1" x14ac:dyDescent="0.25">
      <c r="B7836" s="4">
        <v>7831</v>
      </c>
      <c r="C7836" s="4">
        <v>219.56752094462882</v>
      </c>
      <c r="D7836" s="45"/>
    </row>
    <row r="7837" spans="2:4" ht="16" thickBot="1" x14ac:dyDescent="0.25">
      <c r="B7837" s="5">
        <v>7832</v>
      </c>
      <c r="C7837" s="5">
        <v>128.3913272727282</v>
      </c>
      <c r="D7837" s="45"/>
    </row>
    <row r="7838" spans="2:4" ht="16" thickBot="1" x14ac:dyDescent="0.25">
      <c r="B7838" s="4">
        <v>7833</v>
      </c>
      <c r="C7838" s="4">
        <v>118.38569325667594</v>
      </c>
      <c r="D7838" s="45"/>
    </row>
    <row r="7839" spans="2:4" ht="16" thickBot="1" x14ac:dyDescent="0.25">
      <c r="B7839" s="5">
        <v>7834</v>
      </c>
      <c r="C7839" s="5">
        <v>129.76997849020751</v>
      </c>
      <c r="D7839" s="45"/>
    </row>
    <row r="7840" spans="2:4" ht="16" thickBot="1" x14ac:dyDescent="0.25">
      <c r="B7840" s="4">
        <v>7835</v>
      </c>
      <c r="C7840" s="4">
        <v>146.67879345729494</v>
      </c>
      <c r="D7840" s="45"/>
    </row>
    <row r="7841" spans="2:4" ht="16" thickBot="1" x14ac:dyDescent="0.25">
      <c r="B7841" s="5">
        <v>7836</v>
      </c>
      <c r="C7841" s="5">
        <v>172.72645726767365</v>
      </c>
      <c r="D7841" s="45"/>
    </row>
    <row r="7842" spans="2:4" ht="16" thickBot="1" x14ac:dyDescent="0.25">
      <c r="B7842" s="4">
        <v>7837</v>
      </c>
      <c r="C7842" s="4">
        <v>68.920132799106867</v>
      </c>
      <c r="D7842" s="45"/>
    </row>
    <row r="7843" spans="2:4" ht="16" thickBot="1" x14ac:dyDescent="0.25">
      <c r="B7843" s="5">
        <v>7838</v>
      </c>
      <c r="C7843" s="5">
        <v>84.046518571661395</v>
      </c>
      <c r="D7843" s="45"/>
    </row>
    <row r="7844" spans="2:4" ht="16" thickBot="1" x14ac:dyDescent="0.25">
      <c r="B7844" s="4">
        <v>7839</v>
      </c>
      <c r="C7844" s="4">
        <v>95.997817526131939</v>
      </c>
      <c r="D7844" s="45"/>
    </row>
    <row r="7845" spans="2:4" ht="16" thickBot="1" x14ac:dyDescent="0.25">
      <c r="B7845" s="5">
        <v>7840</v>
      </c>
      <c r="C7845" s="5">
        <v>102.58284261921683</v>
      </c>
      <c r="D7845" s="45"/>
    </row>
    <row r="7846" spans="2:4" ht="16" thickBot="1" x14ac:dyDescent="0.25">
      <c r="B7846" s="4">
        <v>7841</v>
      </c>
      <c r="C7846" s="4">
        <v>161.11098907414524</v>
      </c>
      <c r="D7846" s="45"/>
    </row>
    <row r="7847" spans="2:4" ht="16" thickBot="1" x14ac:dyDescent="0.25">
      <c r="B7847" s="5">
        <v>7842</v>
      </c>
      <c r="C7847" s="5">
        <v>169.70957170193054</v>
      </c>
      <c r="D7847" s="45"/>
    </row>
    <row r="7848" spans="2:4" ht="16" thickBot="1" x14ac:dyDescent="0.25">
      <c r="B7848" s="4">
        <v>7843</v>
      </c>
      <c r="C7848" s="4">
        <v>152.44118704479558</v>
      </c>
      <c r="D7848" s="45"/>
    </row>
    <row r="7849" spans="2:4" ht="16" thickBot="1" x14ac:dyDescent="0.25">
      <c r="B7849" s="5">
        <v>7844</v>
      </c>
      <c r="C7849" s="5">
        <v>189.09066274668777</v>
      </c>
      <c r="D7849" s="45"/>
    </row>
    <row r="7850" spans="2:4" ht="16" thickBot="1" x14ac:dyDescent="0.25">
      <c r="B7850" s="4">
        <v>7845</v>
      </c>
      <c r="C7850" s="4">
        <v>54.382510677312844</v>
      </c>
      <c r="D7850" s="45"/>
    </row>
    <row r="7851" spans="2:4" ht="16" thickBot="1" x14ac:dyDescent="0.25">
      <c r="B7851" s="5">
        <v>7846</v>
      </c>
      <c r="C7851" s="5">
        <v>163.98260554211268</v>
      </c>
      <c r="D7851" s="45"/>
    </row>
    <row r="7852" spans="2:4" ht="16" thickBot="1" x14ac:dyDescent="0.25">
      <c r="B7852" s="4">
        <v>7847</v>
      </c>
      <c r="C7852" s="4">
        <v>159.02994218886846</v>
      </c>
      <c r="D7852" s="45"/>
    </row>
    <row r="7853" spans="2:4" ht="16" thickBot="1" x14ac:dyDescent="0.25">
      <c r="B7853" s="5">
        <v>7848</v>
      </c>
      <c r="C7853" s="5">
        <v>67.587450899810165</v>
      </c>
      <c r="D7853" s="45"/>
    </row>
    <row r="7854" spans="2:4" ht="16" thickBot="1" x14ac:dyDescent="0.25">
      <c r="B7854" s="4">
        <v>7849</v>
      </c>
      <c r="C7854" s="4">
        <v>55.561639042299511</v>
      </c>
      <c r="D7854" s="45"/>
    </row>
    <row r="7855" spans="2:4" ht="16" thickBot="1" x14ac:dyDescent="0.25">
      <c r="B7855" s="5">
        <v>7850</v>
      </c>
      <c r="C7855" s="5">
        <v>137.44045205769015</v>
      </c>
      <c r="D7855" s="45"/>
    </row>
    <row r="7856" spans="2:4" ht="16" thickBot="1" x14ac:dyDescent="0.25">
      <c r="B7856" s="4">
        <v>7851</v>
      </c>
      <c r="C7856" s="4">
        <v>345.71018677547653</v>
      </c>
      <c r="D7856" s="45"/>
    </row>
    <row r="7857" spans="2:4" ht="16" thickBot="1" x14ac:dyDescent="0.25">
      <c r="B7857" s="5">
        <v>7852</v>
      </c>
      <c r="C7857" s="5">
        <v>112.03749586036379</v>
      </c>
      <c r="D7857" s="45"/>
    </row>
    <row r="7858" spans="2:4" ht="16" thickBot="1" x14ac:dyDescent="0.25">
      <c r="B7858" s="4">
        <v>7853</v>
      </c>
      <c r="C7858" s="4">
        <v>167.69789413542279</v>
      </c>
      <c r="D7858" s="45"/>
    </row>
    <row r="7859" spans="2:4" ht="16" thickBot="1" x14ac:dyDescent="0.25">
      <c r="B7859" s="5">
        <v>7854</v>
      </c>
      <c r="C7859" s="5">
        <v>116.75588204881079</v>
      </c>
      <c r="D7859" s="45"/>
    </row>
    <row r="7860" spans="2:4" ht="16" thickBot="1" x14ac:dyDescent="0.25">
      <c r="B7860" s="4">
        <v>7855</v>
      </c>
      <c r="C7860" s="4">
        <v>261.62634621491799</v>
      </c>
      <c r="D7860" s="45"/>
    </row>
    <row r="7861" spans="2:4" ht="16" thickBot="1" x14ac:dyDescent="0.25">
      <c r="B7861" s="5">
        <v>7856</v>
      </c>
      <c r="C7861" s="5">
        <v>82.952044166476171</v>
      </c>
      <c r="D7861" s="45"/>
    </row>
    <row r="7862" spans="2:4" ht="16" thickBot="1" x14ac:dyDescent="0.25">
      <c r="B7862" s="4">
        <v>7857</v>
      </c>
      <c r="C7862" s="4">
        <v>212.77830551397938</v>
      </c>
      <c r="D7862" s="45"/>
    </row>
    <row r="7863" spans="2:4" ht="16" thickBot="1" x14ac:dyDescent="0.25">
      <c r="B7863" s="5">
        <v>7858</v>
      </c>
      <c r="C7863" s="5">
        <v>98.338974246860872</v>
      </c>
      <c r="D7863" s="45"/>
    </row>
    <row r="7864" spans="2:4" ht="16" thickBot="1" x14ac:dyDescent="0.25">
      <c r="B7864" s="4">
        <v>7859</v>
      </c>
      <c r="C7864" s="4">
        <v>291.35421581777939</v>
      </c>
      <c r="D7864" s="45"/>
    </row>
    <row r="7865" spans="2:4" ht="16" thickBot="1" x14ac:dyDescent="0.25">
      <c r="B7865" s="5">
        <v>7860</v>
      </c>
      <c r="C7865" s="5">
        <v>333.22329732432092</v>
      </c>
      <c r="D7865" s="45"/>
    </row>
    <row r="7866" spans="2:4" ht="16" thickBot="1" x14ac:dyDescent="0.25">
      <c r="B7866" s="4">
        <v>7861</v>
      </c>
      <c r="C7866" s="4">
        <v>123.0125209185175</v>
      </c>
      <c r="D7866" s="45"/>
    </row>
    <row r="7867" spans="2:4" ht="16" thickBot="1" x14ac:dyDescent="0.25">
      <c r="B7867" s="5">
        <v>7862</v>
      </c>
      <c r="C7867" s="5">
        <v>255.37847137645667</v>
      </c>
      <c r="D7867" s="45"/>
    </row>
    <row r="7868" spans="2:4" ht="16" thickBot="1" x14ac:dyDescent="0.25">
      <c r="B7868" s="4">
        <v>7863</v>
      </c>
      <c r="C7868" s="4">
        <v>249.69920603820884</v>
      </c>
      <c r="D7868" s="45"/>
    </row>
    <row r="7869" spans="2:4" ht="16" thickBot="1" x14ac:dyDescent="0.25">
      <c r="B7869" s="5">
        <v>7864</v>
      </c>
      <c r="C7869" s="5">
        <v>226.15987484041779</v>
      </c>
      <c r="D7869" s="45"/>
    </row>
    <row r="7870" spans="2:4" ht="16" thickBot="1" x14ac:dyDescent="0.25">
      <c r="B7870" s="4">
        <v>7865</v>
      </c>
      <c r="C7870" s="4">
        <v>100.54218088852599</v>
      </c>
      <c r="D7870" s="45"/>
    </row>
    <row r="7871" spans="2:4" ht="16" thickBot="1" x14ac:dyDescent="0.25">
      <c r="B7871" s="5">
        <v>7866</v>
      </c>
      <c r="C7871" s="5">
        <v>57.527244088274522</v>
      </c>
      <c r="D7871" s="45"/>
    </row>
    <row r="7872" spans="2:4" ht="16" thickBot="1" x14ac:dyDescent="0.25">
      <c r="B7872" s="4">
        <v>7867</v>
      </c>
      <c r="C7872" s="4">
        <v>312.83065229378616</v>
      </c>
      <c r="D7872" s="45"/>
    </row>
    <row r="7873" spans="2:4" ht="16" thickBot="1" x14ac:dyDescent="0.25">
      <c r="B7873" s="5">
        <v>7868</v>
      </c>
      <c r="C7873" s="5">
        <v>106.29843556659799</v>
      </c>
      <c r="D7873" s="45"/>
    </row>
    <row r="7874" spans="2:4" ht="16" thickBot="1" x14ac:dyDescent="0.25">
      <c r="B7874" s="4">
        <v>7869</v>
      </c>
      <c r="C7874" s="4">
        <v>262.53856002168237</v>
      </c>
      <c r="D7874" s="45"/>
    </row>
    <row r="7875" spans="2:4" ht="16" thickBot="1" x14ac:dyDescent="0.25">
      <c r="B7875" s="5">
        <v>7870</v>
      </c>
      <c r="C7875" s="5">
        <v>213.72286694695967</v>
      </c>
      <c r="D7875" s="45"/>
    </row>
    <row r="7876" spans="2:4" ht="16" thickBot="1" x14ac:dyDescent="0.25">
      <c r="B7876" s="4">
        <v>7871</v>
      </c>
      <c r="C7876" s="4">
        <v>249.78594833524156</v>
      </c>
      <c r="D7876" s="45"/>
    </row>
    <row r="7877" spans="2:4" ht="16" thickBot="1" x14ac:dyDescent="0.25">
      <c r="B7877" s="5">
        <v>7872</v>
      </c>
      <c r="C7877" s="5">
        <v>101.66160659761356</v>
      </c>
      <c r="D7877" s="45"/>
    </row>
    <row r="7878" spans="2:4" ht="16" thickBot="1" x14ac:dyDescent="0.25">
      <c r="B7878" s="4">
        <v>7873</v>
      </c>
      <c r="C7878" s="4">
        <v>245.65224799193354</v>
      </c>
      <c r="D7878" s="45"/>
    </row>
    <row r="7879" spans="2:4" ht="16" thickBot="1" x14ac:dyDescent="0.25">
      <c r="B7879" s="5">
        <v>7874</v>
      </c>
      <c r="C7879" s="5">
        <v>100.79041663934932</v>
      </c>
      <c r="D7879" s="45"/>
    </row>
    <row r="7880" spans="2:4" ht="16" thickBot="1" x14ac:dyDescent="0.25">
      <c r="B7880" s="4">
        <v>7875</v>
      </c>
      <c r="C7880" s="4">
        <v>98.849264628507314</v>
      </c>
      <c r="D7880" s="45"/>
    </row>
    <row r="7881" spans="2:4" ht="16" thickBot="1" x14ac:dyDescent="0.25">
      <c r="B7881" s="5">
        <v>7876</v>
      </c>
      <c r="C7881" s="5">
        <v>204.04387090047831</v>
      </c>
      <c r="D7881" s="45"/>
    </row>
    <row r="7882" spans="2:4" ht="16" thickBot="1" x14ac:dyDescent="0.25">
      <c r="B7882" s="4">
        <v>7877</v>
      </c>
      <c r="C7882" s="4">
        <v>184.4115893225455</v>
      </c>
      <c r="D7882" s="45"/>
    </row>
    <row r="7883" spans="2:4" ht="16" thickBot="1" x14ac:dyDescent="0.25">
      <c r="B7883" s="5">
        <v>7878</v>
      </c>
      <c r="C7883" s="5">
        <v>493.47632639718745</v>
      </c>
      <c r="D7883" s="45"/>
    </row>
    <row r="7884" spans="2:4" ht="16" thickBot="1" x14ac:dyDescent="0.25">
      <c r="B7884" s="4">
        <v>7879</v>
      </c>
      <c r="C7884" s="4">
        <v>88.006849298012298</v>
      </c>
      <c r="D7884" s="45"/>
    </row>
    <row r="7885" spans="2:4" ht="16" thickBot="1" x14ac:dyDescent="0.25">
      <c r="B7885" s="5">
        <v>7880</v>
      </c>
      <c r="C7885" s="5">
        <v>172.19447562731045</v>
      </c>
      <c r="D7885" s="45"/>
    </row>
    <row r="7886" spans="2:4" ht="16" thickBot="1" x14ac:dyDescent="0.25">
      <c r="B7886" s="4">
        <v>7881</v>
      </c>
      <c r="C7886" s="4">
        <v>43.142698036550897</v>
      </c>
      <c r="D7886" s="45"/>
    </row>
    <row r="7887" spans="2:4" ht="16" thickBot="1" x14ac:dyDescent="0.25">
      <c r="B7887" s="5">
        <v>7882</v>
      </c>
      <c r="C7887" s="5">
        <v>140.62867743412534</v>
      </c>
      <c r="D7887" s="45"/>
    </row>
    <row r="7888" spans="2:4" ht="16" thickBot="1" x14ac:dyDescent="0.25">
      <c r="B7888" s="4">
        <v>7883</v>
      </c>
      <c r="C7888" s="4">
        <v>114.66383290686515</v>
      </c>
      <c r="D7888" s="45"/>
    </row>
    <row r="7889" spans="2:4" ht="16" thickBot="1" x14ac:dyDescent="0.25">
      <c r="B7889" s="5">
        <v>7884</v>
      </c>
      <c r="C7889" s="5">
        <v>146.432650788438</v>
      </c>
      <c r="D7889" s="45"/>
    </row>
    <row r="7890" spans="2:4" ht="16" thickBot="1" x14ac:dyDescent="0.25">
      <c r="B7890" s="4">
        <v>7885</v>
      </c>
      <c r="C7890" s="4">
        <v>227.09979336204847</v>
      </c>
      <c r="D7890" s="45"/>
    </row>
    <row r="7891" spans="2:4" ht="16" thickBot="1" x14ac:dyDescent="0.25">
      <c r="B7891" s="5">
        <v>7886</v>
      </c>
      <c r="C7891" s="5">
        <v>131.7461292458045</v>
      </c>
      <c r="D7891" s="45"/>
    </row>
    <row r="7892" spans="2:4" ht="16" thickBot="1" x14ac:dyDescent="0.25">
      <c r="B7892" s="4">
        <v>7887</v>
      </c>
      <c r="C7892" s="4">
        <v>533.77517600832982</v>
      </c>
      <c r="D7892" s="45"/>
    </row>
    <row r="7893" spans="2:4" ht="16" thickBot="1" x14ac:dyDescent="0.25">
      <c r="B7893" s="5">
        <v>7888</v>
      </c>
      <c r="C7893" s="5">
        <v>320.26947243588819</v>
      </c>
      <c r="D7893" s="45"/>
    </row>
    <row r="7894" spans="2:4" ht="16" thickBot="1" x14ac:dyDescent="0.25">
      <c r="B7894" s="4">
        <v>7889</v>
      </c>
      <c r="C7894" s="4">
        <v>171.65457374933382</v>
      </c>
      <c r="D7894" s="45"/>
    </row>
    <row r="7895" spans="2:4" ht="16" thickBot="1" x14ac:dyDescent="0.25">
      <c r="B7895" s="5">
        <v>7890</v>
      </c>
      <c r="C7895" s="5">
        <v>34.867011255252159</v>
      </c>
      <c r="D7895" s="45"/>
    </row>
    <row r="7896" spans="2:4" ht="16" thickBot="1" x14ac:dyDescent="0.25">
      <c r="B7896" s="4">
        <v>7891</v>
      </c>
      <c r="C7896" s="4">
        <v>41.252213496662904</v>
      </c>
      <c r="D7896" s="45"/>
    </row>
    <row r="7897" spans="2:4" ht="16" thickBot="1" x14ac:dyDescent="0.25">
      <c r="B7897" s="5">
        <v>7892</v>
      </c>
      <c r="C7897" s="5">
        <v>260.33361002984441</v>
      </c>
      <c r="D7897" s="45"/>
    </row>
    <row r="7898" spans="2:4" ht="16" thickBot="1" x14ac:dyDescent="0.25">
      <c r="B7898" s="4">
        <v>7893</v>
      </c>
      <c r="C7898" s="4">
        <v>76.803615955489164</v>
      </c>
      <c r="D7898" s="45"/>
    </row>
    <row r="7899" spans="2:4" ht="16" thickBot="1" x14ac:dyDescent="0.25">
      <c r="B7899" s="5">
        <v>7894</v>
      </c>
      <c r="C7899" s="5">
        <v>114.1616026309142</v>
      </c>
      <c r="D7899" s="45"/>
    </row>
    <row r="7900" spans="2:4" ht="16" thickBot="1" x14ac:dyDescent="0.25">
      <c r="B7900" s="4">
        <v>7895</v>
      </c>
      <c r="C7900" s="4">
        <v>271.02793374648786</v>
      </c>
      <c r="D7900" s="45"/>
    </row>
    <row r="7901" spans="2:4" ht="16" thickBot="1" x14ac:dyDescent="0.25">
      <c r="B7901" s="5">
        <v>7896</v>
      </c>
      <c r="C7901" s="5">
        <v>193.14969120467552</v>
      </c>
      <c r="D7901" s="45"/>
    </row>
    <row r="7902" spans="2:4" ht="16" thickBot="1" x14ac:dyDescent="0.25">
      <c r="B7902" s="4">
        <v>7897</v>
      </c>
      <c r="C7902" s="4">
        <v>143.97044235187414</v>
      </c>
      <c r="D7902" s="45"/>
    </row>
    <row r="7903" spans="2:4" ht="16" thickBot="1" x14ac:dyDescent="0.25">
      <c r="B7903" s="5">
        <v>7898</v>
      </c>
      <c r="C7903" s="5">
        <v>151.47679654001251</v>
      </c>
      <c r="D7903" s="45"/>
    </row>
    <row r="7904" spans="2:4" ht="16" thickBot="1" x14ac:dyDescent="0.25">
      <c r="B7904" s="4">
        <v>7899</v>
      </c>
      <c r="C7904" s="4">
        <v>72.277565765299897</v>
      </c>
      <c r="D7904" s="45"/>
    </row>
    <row r="7905" spans="2:4" ht="16" thickBot="1" x14ac:dyDescent="0.25">
      <c r="B7905" s="5">
        <v>7900</v>
      </c>
      <c r="C7905" s="5">
        <v>235.97144037080685</v>
      </c>
      <c r="D7905" s="45"/>
    </row>
    <row r="7906" spans="2:4" ht="16" thickBot="1" x14ac:dyDescent="0.25">
      <c r="B7906" s="4">
        <v>7901</v>
      </c>
      <c r="C7906" s="4">
        <v>70.154073151830488</v>
      </c>
      <c r="D7906" s="45"/>
    </row>
    <row r="7907" spans="2:4" ht="16" thickBot="1" x14ac:dyDescent="0.25">
      <c r="B7907" s="5">
        <v>7902</v>
      </c>
      <c r="C7907" s="5">
        <v>118.85393397596862</v>
      </c>
      <c r="D7907" s="45"/>
    </row>
    <row r="7908" spans="2:4" ht="16" thickBot="1" x14ac:dyDescent="0.25">
      <c r="B7908" s="4">
        <v>7903</v>
      </c>
      <c r="C7908" s="4">
        <v>256.29800605839046</v>
      </c>
      <c r="D7908" s="45"/>
    </row>
    <row r="7909" spans="2:4" ht="16" thickBot="1" x14ac:dyDescent="0.25">
      <c r="B7909" s="5">
        <v>7904</v>
      </c>
      <c r="C7909" s="5">
        <v>84.288850404884414</v>
      </c>
      <c r="D7909" s="45"/>
    </row>
    <row r="7910" spans="2:4" ht="16" thickBot="1" x14ac:dyDescent="0.25">
      <c r="B7910" s="4">
        <v>7905</v>
      </c>
      <c r="C7910" s="4">
        <v>110.94711319435675</v>
      </c>
      <c r="D7910" s="45"/>
    </row>
    <row r="7911" spans="2:4" ht="16" thickBot="1" x14ac:dyDescent="0.25">
      <c r="B7911" s="5">
        <v>7906</v>
      </c>
      <c r="C7911" s="5">
        <v>222.21857166418607</v>
      </c>
      <c r="D7911" s="45"/>
    </row>
    <row r="7912" spans="2:4" ht="16" thickBot="1" x14ac:dyDescent="0.25">
      <c r="B7912" s="4">
        <v>7907</v>
      </c>
      <c r="C7912" s="4">
        <v>244.2577366779164</v>
      </c>
      <c r="D7912" s="45"/>
    </row>
    <row r="7913" spans="2:4" ht="16" thickBot="1" x14ac:dyDescent="0.25">
      <c r="B7913" s="5">
        <v>7908</v>
      </c>
      <c r="C7913" s="5">
        <v>310.37229955611224</v>
      </c>
      <c r="D7913" s="45"/>
    </row>
    <row r="7914" spans="2:4" ht="16" thickBot="1" x14ac:dyDescent="0.25">
      <c r="B7914" s="4">
        <v>7909</v>
      </c>
      <c r="C7914" s="4">
        <v>78.53048651248298</v>
      </c>
      <c r="D7914" s="45"/>
    </row>
    <row r="7915" spans="2:4" ht="16" thickBot="1" x14ac:dyDescent="0.25">
      <c r="B7915" s="5">
        <v>7910</v>
      </c>
      <c r="C7915" s="5">
        <v>122.07367931780588</v>
      </c>
      <c r="D7915" s="45"/>
    </row>
    <row r="7916" spans="2:4" ht="16" thickBot="1" x14ac:dyDescent="0.25">
      <c r="B7916" s="4">
        <v>7911</v>
      </c>
      <c r="C7916" s="4">
        <v>137.03737342454556</v>
      </c>
      <c r="D7916" s="45"/>
    </row>
    <row r="7917" spans="2:4" ht="16" thickBot="1" x14ac:dyDescent="0.25">
      <c r="B7917" s="5">
        <v>7912</v>
      </c>
      <c r="C7917" s="5">
        <v>88.551198743056517</v>
      </c>
      <c r="D7917" s="45"/>
    </row>
    <row r="7918" spans="2:4" ht="16" thickBot="1" x14ac:dyDescent="0.25">
      <c r="B7918" s="4">
        <v>7913</v>
      </c>
      <c r="C7918" s="4">
        <v>302.43169048889433</v>
      </c>
      <c r="D7918" s="45"/>
    </row>
    <row r="7919" spans="2:4" ht="16" thickBot="1" x14ac:dyDescent="0.25">
      <c r="B7919" s="5">
        <v>7914</v>
      </c>
      <c r="C7919" s="5">
        <v>231.6555855573551</v>
      </c>
      <c r="D7919" s="45"/>
    </row>
    <row r="7920" spans="2:4" ht="16" thickBot="1" x14ac:dyDescent="0.25">
      <c r="B7920" s="4">
        <v>7915</v>
      </c>
      <c r="C7920" s="4">
        <v>244.85421496628371</v>
      </c>
      <c r="D7920" s="45"/>
    </row>
    <row r="7921" spans="2:4" ht="16" thickBot="1" x14ac:dyDescent="0.25">
      <c r="B7921" s="5">
        <v>7916</v>
      </c>
      <c r="C7921" s="5">
        <v>126.08655044968692</v>
      </c>
      <c r="D7921" s="45"/>
    </row>
    <row r="7922" spans="2:4" ht="16" thickBot="1" x14ac:dyDescent="0.25">
      <c r="B7922" s="4">
        <v>7917</v>
      </c>
      <c r="C7922" s="4">
        <v>38.553827865923601</v>
      </c>
      <c r="D7922" s="45"/>
    </row>
    <row r="7923" spans="2:4" ht="16" thickBot="1" x14ac:dyDescent="0.25">
      <c r="B7923" s="5">
        <v>7918</v>
      </c>
      <c r="C7923" s="5">
        <v>68.83693772142972</v>
      </c>
      <c r="D7923" s="45"/>
    </row>
    <row r="7924" spans="2:4" ht="16" thickBot="1" x14ac:dyDescent="0.25">
      <c r="B7924" s="4">
        <v>7919</v>
      </c>
      <c r="C7924" s="4">
        <v>130.5036161038725</v>
      </c>
      <c r="D7924" s="45"/>
    </row>
    <row r="7925" spans="2:4" ht="16" thickBot="1" x14ac:dyDescent="0.25">
      <c r="B7925" s="5">
        <v>7920</v>
      </c>
      <c r="C7925" s="5">
        <v>185.16022616558072</v>
      </c>
      <c r="D7925" s="45"/>
    </row>
    <row r="7926" spans="2:4" ht="16" thickBot="1" x14ac:dyDescent="0.25">
      <c r="B7926" s="4">
        <v>7921</v>
      </c>
      <c r="C7926" s="4">
        <v>172.17545791068153</v>
      </c>
      <c r="D7926" s="45"/>
    </row>
    <row r="7927" spans="2:4" ht="16" thickBot="1" x14ac:dyDescent="0.25">
      <c r="B7927" s="5">
        <v>7922</v>
      </c>
      <c r="C7927" s="5">
        <v>470.00125221688455</v>
      </c>
      <c r="D7927" s="45"/>
    </row>
    <row r="7928" spans="2:4" ht="16" thickBot="1" x14ac:dyDescent="0.25">
      <c r="B7928" s="4">
        <v>7923</v>
      </c>
      <c r="C7928" s="4">
        <v>74.037054811224863</v>
      </c>
      <c r="D7928" s="45"/>
    </row>
    <row r="7929" spans="2:4" ht="16" thickBot="1" x14ac:dyDescent="0.25">
      <c r="B7929" s="5">
        <v>7924</v>
      </c>
      <c r="C7929" s="5">
        <v>214.73026898862071</v>
      </c>
      <c r="D7929" s="45"/>
    </row>
    <row r="7930" spans="2:4" ht="16" thickBot="1" x14ac:dyDescent="0.25">
      <c r="B7930" s="4">
        <v>7925</v>
      </c>
      <c r="C7930" s="4">
        <v>289.75580978237582</v>
      </c>
      <c r="D7930" s="45"/>
    </row>
    <row r="7931" spans="2:4" ht="16" thickBot="1" x14ac:dyDescent="0.25">
      <c r="B7931" s="5">
        <v>7926</v>
      </c>
      <c r="C7931" s="5">
        <v>245.49946234359976</v>
      </c>
      <c r="D7931" s="45"/>
    </row>
    <row r="7932" spans="2:4" ht="16" thickBot="1" x14ac:dyDescent="0.25">
      <c r="B7932" s="4">
        <v>7927</v>
      </c>
      <c r="C7932" s="4">
        <v>138.13607315475622</v>
      </c>
      <c r="D7932" s="45"/>
    </row>
    <row r="7933" spans="2:4" ht="16" thickBot="1" x14ac:dyDescent="0.25">
      <c r="B7933" s="5">
        <v>7928</v>
      </c>
      <c r="C7933" s="5">
        <v>146.18258536477566</v>
      </c>
      <c r="D7933" s="45"/>
    </row>
    <row r="7934" spans="2:4" ht="16" thickBot="1" x14ac:dyDescent="0.25">
      <c r="B7934" s="4">
        <v>7929</v>
      </c>
      <c r="C7934" s="4">
        <v>76.157533887638976</v>
      </c>
      <c r="D7934" s="45"/>
    </row>
    <row r="7935" spans="2:4" ht="16" thickBot="1" x14ac:dyDescent="0.25">
      <c r="B7935" s="5">
        <v>7930</v>
      </c>
      <c r="C7935" s="5">
        <v>156.42160144378755</v>
      </c>
      <c r="D7935" s="45"/>
    </row>
    <row r="7936" spans="2:4" ht="16" thickBot="1" x14ac:dyDescent="0.25">
      <c r="B7936" s="4">
        <v>7931</v>
      </c>
      <c r="C7936" s="4">
        <v>148.15521014761049</v>
      </c>
      <c r="D7936" s="45"/>
    </row>
    <row r="7937" spans="2:4" ht="16" thickBot="1" x14ac:dyDescent="0.25">
      <c r="B7937" s="5">
        <v>7932</v>
      </c>
      <c r="C7937" s="5">
        <v>89.436021200163907</v>
      </c>
      <c r="D7937" s="45"/>
    </row>
    <row r="7938" spans="2:4" ht="16" thickBot="1" x14ac:dyDescent="0.25">
      <c r="B7938" s="4">
        <v>7933</v>
      </c>
      <c r="C7938" s="4">
        <v>150.04766337346035</v>
      </c>
      <c r="D7938" s="45"/>
    </row>
    <row r="7939" spans="2:4" ht="16" thickBot="1" x14ac:dyDescent="0.25">
      <c r="B7939" s="5">
        <v>7934</v>
      </c>
      <c r="C7939" s="5">
        <v>175.4642926871031</v>
      </c>
      <c r="D7939" s="45"/>
    </row>
    <row r="7940" spans="2:4" ht="16" thickBot="1" x14ac:dyDescent="0.25">
      <c r="B7940" s="4">
        <v>7935</v>
      </c>
      <c r="C7940" s="4">
        <v>173.25975945098816</v>
      </c>
      <c r="D7940" s="45"/>
    </row>
    <row r="7941" spans="2:4" ht="16" thickBot="1" x14ac:dyDescent="0.25">
      <c r="B7941" s="5">
        <v>7936</v>
      </c>
      <c r="C7941" s="5">
        <v>189.61545163082963</v>
      </c>
      <c r="D7941" s="45"/>
    </row>
    <row r="7942" spans="2:4" ht="16" thickBot="1" x14ac:dyDescent="0.25">
      <c r="B7942" s="4">
        <v>7937</v>
      </c>
      <c r="C7942" s="4">
        <v>422.92878723225186</v>
      </c>
      <c r="D7942" s="45"/>
    </row>
    <row r="7943" spans="2:4" ht="16" thickBot="1" x14ac:dyDescent="0.25">
      <c r="B7943" s="5">
        <v>7938</v>
      </c>
      <c r="C7943" s="5">
        <v>70.699547199836672</v>
      </c>
      <c r="D7943" s="45"/>
    </row>
    <row r="7944" spans="2:4" ht="16" thickBot="1" x14ac:dyDescent="0.25">
      <c r="B7944" s="4">
        <v>7939</v>
      </c>
      <c r="C7944" s="4">
        <v>108.85936237280924</v>
      </c>
      <c r="D7944" s="45"/>
    </row>
    <row r="7945" spans="2:4" ht="16" thickBot="1" x14ac:dyDescent="0.25">
      <c r="B7945" s="5">
        <v>7940</v>
      </c>
      <c r="C7945" s="5">
        <v>164.5585918988659</v>
      </c>
      <c r="D7945" s="45"/>
    </row>
    <row r="7946" spans="2:4" ht="16" thickBot="1" x14ac:dyDescent="0.25">
      <c r="B7946" s="4">
        <v>7941</v>
      </c>
      <c r="C7946" s="4">
        <v>123.92811818475191</v>
      </c>
      <c r="D7946" s="45"/>
    </row>
    <row r="7947" spans="2:4" ht="16" thickBot="1" x14ac:dyDescent="0.25">
      <c r="B7947" s="5">
        <v>7942</v>
      </c>
      <c r="C7947" s="5">
        <v>178.44225674192069</v>
      </c>
      <c r="D7947" s="45"/>
    </row>
    <row r="7948" spans="2:4" ht="16" thickBot="1" x14ac:dyDescent="0.25">
      <c r="B7948" s="4">
        <v>7943</v>
      </c>
      <c r="C7948" s="4">
        <v>88.839393261160296</v>
      </c>
      <c r="D7948" s="45"/>
    </row>
    <row r="7949" spans="2:4" ht="16" thickBot="1" x14ac:dyDescent="0.25">
      <c r="B7949" s="5">
        <v>7944</v>
      </c>
      <c r="C7949" s="5">
        <v>236.23403418203236</v>
      </c>
      <c r="D7949" s="45"/>
    </row>
    <row r="7950" spans="2:4" ht="16" thickBot="1" x14ac:dyDescent="0.25">
      <c r="B7950" s="4">
        <v>7945</v>
      </c>
      <c r="C7950" s="4">
        <v>80.30070485425459</v>
      </c>
      <c r="D7950" s="45"/>
    </row>
    <row r="7951" spans="2:4" ht="16" thickBot="1" x14ac:dyDescent="0.25">
      <c r="B7951" s="5">
        <v>7946</v>
      </c>
      <c r="C7951" s="5">
        <v>257.76590277156652</v>
      </c>
      <c r="D7951" s="45"/>
    </row>
    <row r="7952" spans="2:4" ht="16" thickBot="1" x14ac:dyDescent="0.25">
      <c r="B7952" s="4">
        <v>7947</v>
      </c>
      <c r="C7952" s="4">
        <v>175.39812873853455</v>
      </c>
      <c r="D7952" s="45"/>
    </row>
    <row r="7953" spans="2:4" ht="16" thickBot="1" x14ac:dyDescent="0.25">
      <c r="B7953" s="5">
        <v>7948</v>
      </c>
      <c r="C7953" s="5">
        <v>154.29120827273638</v>
      </c>
      <c r="D7953" s="45"/>
    </row>
    <row r="7954" spans="2:4" ht="16" thickBot="1" x14ac:dyDescent="0.25">
      <c r="B7954" s="4">
        <v>7949</v>
      </c>
      <c r="C7954" s="4">
        <v>194.55539002736691</v>
      </c>
      <c r="D7954" s="45"/>
    </row>
    <row r="7955" spans="2:4" ht="16" thickBot="1" x14ac:dyDescent="0.25">
      <c r="B7955" s="5">
        <v>7950</v>
      </c>
      <c r="C7955" s="5">
        <v>112.75285024630227</v>
      </c>
      <c r="D7955" s="45"/>
    </row>
    <row r="7956" spans="2:4" ht="16" thickBot="1" x14ac:dyDescent="0.25">
      <c r="B7956" s="4">
        <v>7951</v>
      </c>
      <c r="C7956" s="4">
        <v>153.81460302084398</v>
      </c>
      <c r="D7956" s="45"/>
    </row>
    <row r="7957" spans="2:4" ht="16" thickBot="1" x14ac:dyDescent="0.25">
      <c r="B7957" s="5">
        <v>7952</v>
      </c>
      <c r="C7957" s="5">
        <v>111.20366721310219</v>
      </c>
      <c r="D7957" s="45"/>
    </row>
    <row r="7958" spans="2:4" ht="16" thickBot="1" x14ac:dyDescent="0.25">
      <c r="B7958" s="4">
        <v>7953</v>
      </c>
      <c r="C7958" s="4">
        <v>82.386562416453216</v>
      </c>
      <c r="D7958" s="45"/>
    </row>
    <row r="7959" spans="2:4" ht="16" thickBot="1" x14ac:dyDescent="0.25">
      <c r="B7959" s="5">
        <v>7954</v>
      </c>
      <c r="C7959" s="5">
        <v>137.26912157711774</v>
      </c>
      <c r="D7959" s="45"/>
    </row>
    <row r="7960" spans="2:4" ht="16" thickBot="1" x14ac:dyDescent="0.25">
      <c r="B7960" s="4">
        <v>7955</v>
      </c>
      <c r="C7960" s="4">
        <v>296.66586286042974</v>
      </c>
      <c r="D7960" s="45"/>
    </row>
    <row r="7961" spans="2:4" ht="16" thickBot="1" x14ac:dyDescent="0.25">
      <c r="B7961" s="5">
        <v>7956</v>
      </c>
      <c r="C7961" s="5">
        <v>242.12074683868897</v>
      </c>
      <c r="D7961" s="45"/>
    </row>
    <row r="7962" spans="2:4" ht="16" thickBot="1" x14ac:dyDescent="0.25">
      <c r="B7962" s="4">
        <v>7957</v>
      </c>
      <c r="C7962" s="4">
        <v>149.85715517869559</v>
      </c>
      <c r="D7962" s="45"/>
    </row>
    <row r="7963" spans="2:4" ht="16" thickBot="1" x14ac:dyDescent="0.25">
      <c r="B7963" s="5">
        <v>7958</v>
      </c>
      <c r="C7963" s="5">
        <v>410.57984299429899</v>
      </c>
      <c r="D7963" s="45"/>
    </row>
    <row r="7964" spans="2:4" ht="16" thickBot="1" x14ac:dyDescent="0.25">
      <c r="B7964" s="4">
        <v>7959</v>
      </c>
      <c r="C7964" s="4">
        <v>63.849960592238993</v>
      </c>
      <c r="D7964" s="45"/>
    </row>
    <row r="7965" spans="2:4" ht="16" thickBot="1" x14ac:dyDescent="0.25">
      <c r="B7965" s="5">
        <v>7960</v>
      </c>
      <c r="C7965" s="5">
        <v>148.87875758250823</v>
      </c>
      <c r="D7965" s="45"/>
    </row>
    <row r="7966" spans="2:4" ht="16" thickBot="1" x14ac:dyDescent="0.25">
      <c r="B7966" s="4">
        <v>7961</v>
      </c>
      <c r="C7966" s="4">
        <v>272.3675298758767</v>
      </c>
      <c r="D7966" s="45"/>
    </row>
    <row r="7967" spans="2:4" ht="16" thickBot="1" x14ac:dyDescent="0.25">
      <c r="B7967" s="5">
        <v>7962</v>
      </c>
      <c r="C7967" s="5">
        <v>87.048114658260502</v>
      </c>
      <c r="D7967" s="45"/>
    </row>
    <row r="7968" spans="2:4" ht="16" thickBot="1" x14ac:dyDescent="0.25">
      <c r="B7968" s="4">
        <v>7963</v>
      </c>
      <c r="C7968" s="4">
        <v>75.140867249630432</v>
      </c>
      <c r="D7968" s="45"/>
    </row>
    <row r="7969" spans="2:4" ht="16" thickBot="1" x14ac:dyDescent="0.25">
      <c r="B7969" s="5">
        <v>7964</v>
      </c>
      <c r="C7969" s="5">
        <v>120.99886721113195</v>
      </c>
      <c r="D7969" s="45"/>
    </row>
    <row r="7970" spans="2:4" ht="16" thickBot="1" x14ac:dyDescent="0.25">
      <c r="B7970" s="4">
        <v>7965</v>
      </c>
      <c r="C7970" s="4">
        <v>466.85959758223765</v>
      </c>
      <c r="D7970" s="45"/>
    </row>
    <row r="7971" spans="2:4" ht="16" thickBot="1" x14ac:dyDescent="0.25">
      <c r="B7971" s="5">
        <v>7966</v>
      </c>
      <c r="C7971" s="5">
        <v>130.75441012472237</v>
      </c>
      <c r="D7971" s="45"/>
    </row>
    <row r="7972" spans="2:4" ht="16" thickBot="1" x14ac:dyDescent="0.25">
      <c r="B7972" s="4">
        <v>7967</v>
      </c>
      <c r="C7972" s="4">
        <v>92.69273388745232</v>
      </c>
      <c r="D7972" s="45"/>
    </row>
    <row r="7973" spans="2:4" ht="16" thickBot="1" x14ac:dyDescent="0.25">
      <c r="B7973" s="5">
        <v>7968</v>
      </c>
      <c r="C7973" s="5">
        <v>261.40179545274276</v>
      </c>
      <c r="D7973" s="45"/>
    </row>
    <row r="7974" spans="2:4" ht="16" thickBot="1" x14ac:dyDescent="0.25">
      <c r="B7974" s="4">
        <v>7969</v>
      </c>
      <c r="C7974" s="4">
        <v>187.00868486803785</v>
      </c>
      <c r="D7974" s="45"/>
    </row>
    <row r="7975" spans="2:4" ht="16" thickBot="1" x14ac:dyDescent="0.25">
      <c r="B7975" s="5">
        <v>7970</v>
      </c>
      <c r="C7975" s="5">
        <v>193.02125012767684</v>
      </c>
      <c r="D7975" s="45"/>
    </row>
    <row r="7976" spans="2:4" ht="16" thickBot="1" x14ac:dyDescent="0.25">
      <c r="B7976" s="4">
        <v>7971</v>
      </c>
      <c r="C7976" s="4">
        <v>210.4602094072863</v>
      </c>
      <c r="D7976" s="45"/>
    </row>
    <row r="7977" spans="2:4" ht="16" thickBot="1" x14ac:dyDescent="0.25">
      <c r="B7977" s="5">
        <v>7972</v>
      </c>
      <c r="C7977" s="5">
        <v>124.01146786696442</v>
      </c>
      <c r="D7977" s="45"/>
    </row>
    <row r="7978" spans="2:4" ht="16" thickBot="1" x14ac:dyDescent="0.25">
      <c r="B7978" s="4">
        <v>7973</v>
      </c>
      <c r="C7978" s="4">
        <v>111.18684017436148</v>
      </c>
      <c r="D7978" s="45"/>
    </row>
    <row r="7979" spans="2:4" ht="16" thickBot="1" x14ac:dyDescent="0.25">
      <c r="B7979" s="5">
        <v>7974</v>
      </c>
      <c r="C7979" s="5">
        <v>102.25392708512595</v>
      </c>
      <c r="D7979" s="45"/>
    </row>
    <row r="7980" spans="2:4" ht="16" thickBot="1" x14ac:dyDescent="0.25">
      <c r="B7980" s="4">
        <v>7975</v>
      </c>
      <c r="C7980" s="4">
        <v>143.06378969540515</v>
      </c>
      <c r="D7980" s="45"/>
    </row>
    <row r="7981" spans="2:4" ht="16" thickBot="1" x14ac:dyDescent="0.25">
      <c r="B7981" s="5">
        <v>7976</v>
      </c>
      <c r="C7981" s="5">
        <v>266.36103902749909</v>
      </c>
      <c r="D7981" s="45"/>
    </row>
    <row r="7982" spans="2:4" ht="16" thickBot="1" x14ac:dyDescent="0.25">
      <c r="B7982" s="4">
        <v>7977</v>
      </c>
      <c r="C7982" s="4">
        <v>228.90634705159093</v>
      </c>
      <c r="D7982" s="45"/>
    </row>
    <row r="7983" spans="2:4" ht="16" thickBot="1" x14ac:dyDescent="0.25">
      <c r="B7983" s="5">
        <v>7978</v>
      </c>
      <c r="C7983" s="5">
        <v>135.6903566729863</v>
      </c>
      <c r="D7983" s="45"/>
    </row>
    <row r="7984" spans="2:4" ht="16" thickBot="1" x14ac:dyDescent="0.25">
      <c r="B7984" s="4">
        <v>7979</v>
      </c>
      <c r="C7984" s="4">
        <v>200.80250337873579</v>
      </c>
      <c r="D7984" s="45"/>
    </row>
    <row r="7985" spans="2:4" ht="16" thickBot="1" x14ac:dyDescent="0.25">
      <c r="B7985" s="5">
        <v>7980</v>
      </c>
      <c r="C7985" s="5">
        <v>136.14671212686611</v>
      </c>
      <c r="D7985" s="45"/>
    </row>
    <row r="7986" spans="2:4" ht="16" thickBot="1" x14ac:dyDescent="0.25">
      <c r="B7986" s="4">
        <v>7981</v>
      </c>
      <c r="C7986" s="4">
        <v>51.615594831439516</v>
      </c>
      <c r="D7986" s="45"/>
    </row>
    <row r="7987" spans="2:4" ht="16" thickBot="1" x14ac:dyDescent="0.25">
      <c r="B7987" s="5">
        <v>7982</v>
      </c>
      <c r="C7987" s="5">
        <v>133.5432060681477</v>
      </c>
      <c r="D7987" s="45"/>
    </row>
    <row r="7988" spans="2:4" ht="16" thickBot="1" x14ac:dyDescent="0.25">
      <c r="B7988" s="4">
        <v>7983</v>
      </c>
      <c r="C7988" s="4">
        <v>190.4133233767819</v>
      </c>
      <c r="D7988" s="45"/>
    </row>
    <row r="7989" spans="2:4" ht="16" thickBot="1" x14ac:dyDescent="0.25">
      <c r="B7989" s="5">
        <v>7984</v>
      </c>
      <c r="C7989" s="5">
        <v>165.3996891290071</v>
      </c>
      <c r="D7989" s="45"/>
    </row>
    <row r="7990" spans="2:4" ht="16" thickBot="1" x14ac:dyDescent="0.25">
      <c r="B7990" s="4">
        <v>7985</v>
      </c>
      <c r="C7990" s="4">
        <v>169.16645711828252</v>
      </c>
      <c r="D7990" s="45"/>
    </row>
    <row r="7991" spans="2:4" ht="16" thickBot="1" x14ac:dyDescent="0.25">
      <c r="B7991" s="5">
        <v>7986</v>
      </c>
      <c r="C7991" s="5">
        <v>65.530213077325811</v>
      </c>
      <c r="D7991" s="45"/>
    </row>
    <row r="7992" spans="2:4" ht="16" thickBot="1" x14ac:dyDescent="0.25">
      <c r="B7992" s="4">
        <v>7987</v>
      </c>
      <c r="C7992" s="4">
        <v>232.07104228933045</v>
      </c>
      <c r="D7992" s="45"/>
    </row>
    <row r="7993" spans="2:4" ht="16" thickBot="1" x14ac:dyDescent="0.25">
      <c r="B7993" s="5">
        <v>7988</v>
      </c>
      <c r="C7993" s="5">
        <v>390.84466470470772</v>
      </c>
      <c r="D7993" s="45"/>
    </row>
    <row r="7994" spans="2:4" ht="16" thickBot="1" x14ac:dyDescent="0.25">
      <c r="B7994" s="4">
        <v>7989</v>
      </c>
      <c r="C7994" s="4">
        <v>160.71887521686713</v>
      </c>
      <c r="D7994" s="45"/>
    </row>
    <row r="7995" spans="2:4" ht="16" thickBot="1" x14ac:dyDescent="0.25">
      <c r="B7995" s="5">
        <v>7990</v>
      </c>
      <c r="C7995" s="5">
        <v>775.4782932355663</v>
      </c>
      <c r="D7995" s="45"/>
    </row>
    <row r="7996" spans="2:4" ht="16" thickBot="1" x14ac:dyDescent="0.25">
      <c r="B7996" s="4">
        <v>7991</v>
      </c>
      <c r="C7996" s="4">
        <v>111.54673448611909</v>
      </c>
      <c r="D7996" s="45"/>
    </row>
    <row r="7997" spans="2:4" ht="16" thickBot="1" x14ac:dyDescent="0.25">
      <c r="B7997" s="5">
        <v>7992</v>
      </c>
      <c r="C7997" s="5">
        <v>77.125042610959582</v>
      </c>
      <c r="D7997" s="45"/>
    </row>
    <row r="7998" spans="2:4" ht="16" thickBot="1" x14ac:dyDescent="0.25">
      <c r="B7998" s="4">
        <v>7993</v>
      </c>
      <c r="C7998" s="4">
        <v>202.39089781258284</v>
      </c>
      <c r="D7998" s="45"/>
    </row>
    <row r="7999" spans="2:4" ht="16" thickBot="1" x14ac:dyDescent="0.25">
      <c r="B7999" s="5">
        <v>7994</v>
      </c>
      <c r="C7999" s="5">
        <v>185.73282231152061</v>
      </c>
      <c r="D7999" s="45"/>
    </row>
    <row r="8000" spans="2:4" ht="16" thickBot="1" x14ac:dyDescent="0.25">
      <c r="B8000" s="4">
        <v>7995</v>
      </c>
      <c r="C8000" s="4">
        <v>186.91322623448906</v>
      </c>
      <c r="D8000" s="45"/>
    </row>
    <row r="8001" spans="2:4" ht="16" thickBot="1" x14ac:dyDescent="0.25">
      <c r="B8001" s="5">
        <v>7996</v>
      </c>
      <c r="C8001" s="5">
        <v>71.792868357010946</v>
      </c>
      <c r="D8001" s="45"/>
    </row>
    <row r="8002" spans="2:4" ht="16" thickBot="1" x14ac:dyDescent="0.25">
      <c r="B8002" s="4">
        <v>7997</v>
      </c>
      <c r="C8002" s="4">
        <v>80.689985151396627</v>
      </c>
      <c r="D8002" s="45"/>
    </row>
    <row r="8003" spans="2:4" ht="16" thickBot="1" x14ac:dyDescent="0.25">
      <c r="B8003" s="5">
        <v>7998</v>
      </c>
      <c r="C8003" s="5">
        <v>91.890788385192209</v>
      </c>
      <c r="D8003" s="45"/>
    </row>
    <row r="8004" spans="2:4" ht="16" thickBot="1" x14ac:dyDescent="0.25">
      <c r="B8004" s="4">
        <v>7999</v>
      </c>
      <c r="C8004" s="4">
        <v>105.52720509594702</v>
      </c>
      <c r="D8004" s="45"/>
    </row>
    <row r="8005" spans="2:4" ht="16" thickBot="1" x14ac:dyDescent="0.25">
      <c r="B8005" s="5">
        <v>8000</v>
      </c>
      <c r="C8005" s="5">
        <v>347.59723373677434</v>
      </c>
      <c r="D8005" s="45"/>
    </row>
    <row r="8006" spans="2:4" ht="16" thickBot="1" x14ac:dyDescent="0.25">
      <c r="B8006" s="4">
        <v>8001</v>
      </c>
      <c r="C8006" s="4">
        <v>228.28227451727199</v>
      </c>
      <c r="D8006" s="45"/>
    </row>
    <row r="8007" spans="2:4" ht="16" thickBot="1" x14ac:dyDescent="0.25">
      <c r="B8007" s="5">
        <v>8002</v>
      </c>
      <c r="C8007" s="5">
        <v>113.26596386134398</v>
      </c>
      <c r="D8007" s="45"/>
    </row>
    <row r="8008" spans="2:4" ht="16" thickBot="1" x14ac:dyDescent="0.25">
      <c r="B8008" s="4">
        <v>8003</v>
      </c>
      <c r="C8008" s="4">
        <v>163.0493064156922</v>
      </c>
      <c r="D8008" s="45"/>
    </row>
    <row r="8009" spans="2:4" ht="16" thickBot="1" x14ac:dyDescent="0.25">
      <c r="B8009" s="5">
        <v>8004</v>
      </c>
      <c r="C8009" s="5">
        <v>147.27198782217056</v>
      </c>
      <c r="D8009" s="45"/>
    </row>
    <row r="8010" spans="2:4" ht="16" thickBot="1" x14ac:dyDescent="0.25">
      <c r="B8010" s="4">
        <v>8005</v>
      </c>
      <c r="C8010" s="4">
        <v>127.71670551210507</v>
      </c>
      <c r="D8010" s="45"/>
    </row>
    <row r="8011" spans="2:4" ht="16" thickBot="1" x14ac:dyDescent="0.25">
      <c r="B8011" s="5">
        <v>8006</v>
      </c>
      <c r="C8011" s="5">
        <v>125.9592855860579</v>
      </c>
      <c r="D8011" s="45"/>
    </row>
    <row r="8012" spans="2:4" ht="16" thickBot="1" x14ac:dyDescent="0.25">
      <c r="B8012" s="4">
        <v>8007</v>
      </c>
      <c r="C8012" s="4">
        <v>80.684721300162778</v>
      </c>
      <c r="D8012" s="45"/>
    </row>
    <row r="8013" spans="2:4" ht="16" thickBot="1" x14ac:dyDescent="0.25">
      <c r="B8013" s="5">
        <v>8008</v>
      </c>
      <c r="C8013" s="5">
        <v>97.707166436928304</v>
      </c>
      <c r="D8013" s="45"/>
    </row>
    <row r="8014" spans="2:4" ht="16" thickBot="1" x14ac:dyDescent="0.25">
      <c r="B8014" s="4">
        <v>8009</v>
      </c>
      <c r="C8014" s="4">
        <v>162.92994293425727</v>
      </c>
      <c r="D8014" s="45"/>
    </row>
    <row r="8015" spans="2:4" ht="16" thickBot="1" x14ac:dyDescent="0.25">
      <c r="B8015" s="5">
        <v>8010</v>
      </c>
      <c r="C8015" s="5">
        <v>69.79496437694992</v>
      </c>
      <c r="D8015" s="45"/>
    </row>
    <row r="8016" spans="2:4" ht="16" thickBot="1" x14ac:dyDescent="0.25">
      <c r="B8016" s="4">
        <v>8011</v>
      </c>
      <c r="C8016" s="4">
        <v>126.34410811869444</v>
      </c>
      <c r="D8016" s="45"/>
    </row>
    <row r="8017" spans="2:4" ht="16" thickBot="1" x14ac:dyDescent="0.25">
      <c r="B8017" s="5">
        <v>8012</v>
      </c>
      <c r="C8017" s="5">
        <v>158.96501727496477</v>
      </c>
      <c r="D8017" s="45"/>
    </row>
    <row r="8018" spans="2:4" ht="16" thickBot="1" x14ac:dyDescent="0.25">
      <c r="B8018" s="4">
        <v>8013</v>
      </c>
      <c r="C8018" s="4">
        <v>269.6718364915634</v>
      </c>
      <c r="D8018" s="45"/>
    </row>
    <row r="8019" spans="2:4" ht="16" thickBot="1" x14ac:dyDescent="0.25">
      <c r="B8019" s="5">
        <v>8014</v>
      </c>
      <c r="C8019" s="5">
        <v>211.53739243657364</v>
      </c>
      <c r="D8019" s="45"/>
    </row>
    <row r="8020" spans="2:4" ht="16" thickBot="1" x14ac:dyDescent="0.25">
      <c r="B8020" s="4">
        <v>8015</v>
      </c>
      <c r="C8020" s="4">
        <v>147.80306027053359</v>
      </c>
      <c r="D8020" s="45"/>
    </row>
    <row r="8021" spans="2:4" ht="16" thickBot="1" x14ac:dyDescent="0.25">
      <c r="B8021" s="5">
        <v>8016</v>
      </c>
      <c r="C8021" s="5">
        <v>97.71467944337995</v>
      </c>
      <c r="D8021" s="45"/>
    </row>
    <row r="8022" spans="2:4" ht="16" thickBot="1" x14ac:dyDescent="0.25">
      <c r="B8022" s="4">
        <v>8017</v>
      </c>
      <c r="C8022" s="4">
        <v>82.926643861161466</v>
      </c>
      <c r="D8022" s="45"/>
    </row>
    <row r="8023" spans="2:4" ht="16" thickBot="1" x14ac:dyDescent="0.25">
      <c r="B8023" s="5">
        <v>8018</v>
      </c>
      <c r="C8023" s="5">
        <v>225.43419724359225</v>
      </c>
      <c r="D8023" s="45"/>
    </row>
    <row r="8024" spans="2:4" ht="16" thickBot="1" x14ac:dyDescent="0.25">
      <c r="B8024" s="4">
        <v>8019</v>
      </c>
      <c r="C8024" s="4">
        <v>149.24882201193131</v>
      </c>
      <c r="D8024" s="45"/>
    </row>
    <row r="8025" spans="2:4" ht="16" thickBot="1" x14ac:dyDescent="0.25">
      <c r="B8025" s="5">
        <v>8020</v>
      </c>
      <c r="C8025" s="5">
        <v>133.89755063838578</v>
      </c>
      <c r="D8025" s="45"/>
    </row>
    <row r="8026" spans="2:4" ht="16" thickBot="1" x14ac:dyDescent="0.25">
      <c r="B8026" s="4">
        <v>8021</v>
      </c>
      <c r="C8026" s="4">
        <v>135.05038447473689</v>
      </c>
      <c r="D8026" s="45"/>
    </row>
    <row r="8027" spans="2:4" ht="16" thickBot="1" x14ac:dyDescent="0.25">
      <c r="B8027" s="5">
        <v>8022</v>
      </c>
      <c r="C8027" s="5">
        <v>105.22871553284438</v>
      </c>
      <c r="D8027" s="45"/>
    </row>
    <row r="8028" spans="2:4" ht="16" thickBot="1" x14ac:dyDescent="0.25">
      <c r="B8028" s="4">
        <v>8023</v>
      </c>
      <c r="C8028" s="4">
        <v>108.04388226670741</v>
      </c>
      <c r="D8028" s="45"/>
    </row>
    <row r="8029" spans="2:4" ht="16" thickBot="1" x14ac:dyDescent="0.25">
      <c r="B8029" s="5">
        <v>8024</v>
      </c>
      <c r="C8029" s="5">
        <v>188.14781690607714</v>
      </c>
      <c r="D8029" s="45"/>
    </row>
    <row r="8030" spans="2:4" ht="16" thickBot="1" x14ac:dyDescent="0.25">
      <c r="B8030" s="4">
        <v>8025</v>
      </c>
      <c r="C8030" s="4">
        <v>130.23137364885156</v>
      </c>
      <c r="D8030" s="45"/>
    </row>
    <row r="8031" spans="2:4" ht="16" thickBot="1" x14ac:dyDescent="0.25">
      <c r="B8031" s="5">
        <v>8026</v>
      </c>
      <c r="C8031" s="5">
        <v>153.65244205396368</v>
      </c>
      <c r="D8031" s="45"/>
    </row>
    <row r="8032" spans="2:4" ht="16" thickBot="1" x14ac:dyDescent="0.25">
      <c r="B8032" s="4">
        <v>8027</v>
      </c>
      <c r="C8032" s="4">
        <v>118.31808351761266</v>
      </c>
      <c r="D8032" s="45"/>
    </row>
    <row r="8033" spans="2:4" ht="16" thickBot="1" x14ac:dyDescent="0.25">
      <c r="B8033" s="5">
        <v>8028</v>
      </c>
      <c r="C8033" s="5">
        <v>226.32100736476036</v>
      </c>
      <c r="D8033" s="45"/>
    </row>
    <row r="8034" spans="2:4" ht="16" thickBot="1" x14ac:dyDescent="0.25">
      <c r="B8034" s="4">
        <v>8029</v>
      </c>
      <c r="C8034" s="4">
        <v>220.57284037088741</v>
      </c>
      <c r="D8034" s="45"/>
    </row>
    <row r="8035" spans="2:4" ht="16" thickBot="1" x14ac:dyDescent="0.25">
      <c r="B8035" s="5">
        <v>8030</v>
      </c>
      <c r="C8035" s="5">
        <v>207.01738196925328</v>
      </c>
      <c r="D8035" s="45"/>
    </row>
    <row r="8036" spans="2:4" ht="16" thickBot="1" x14ac:dyDescent="0.25">
      <c r="B8036" s="4">
        <v>8031</v>
      </c>
      <c r="C8036" s="4">
        <v>147.89186795667723</v>
      </c>
      <c r="D8036" s="45"/>
    </row>
    <row r="8037" spans="2:4" ht="16" thickBot="1" x14ac:dyDescent="0.25">
      <c r="B8037" s="5">
        <v>8032</v>
      </c>
      <c r="C8037" s="5">
        <v>187.5774677588262</v>
      </c>
      <c r="D8037" s="45"/>
    </row>
    <row r="8038" spans="2:4" ht="16" thickBot="1" x14ac:dyDescent="0.25">
      <c r="B8038" s="4">
        <v>8033</v>
      </c>
      <c r="C8038" s="4">
        <v>143.27664750031289</v>
      </c>
      <c r="D8038" s="45"/>
    </row>
    <row r="8039" spans="2:4" ht="16" thickBot="1" x14ac:dyDescent="0.25">
      <c r="B8039" s="5">
        <v>8034</v>
      </c>
      <c r="C8039" s="5">
        <v>201.70087860441103</v>
      </c>
      <c r="D8039" s="45"/>
    </row>
    <row r="8040" spans="2:4" ht="16" thickBot="1" x14ac:dyDescent="0.25">
      <c r="B8040" s="4">
        <v>8035</v>
      </c>
      <c r="C8040" s="4">
        <v>290.34442087414897</v>
      </c>
      <c r="D8040" s="45"/>
    </row>
    <row r="8041" spans="2:4" ht="16" thickBot="1" x14ac:dyDescent="0.25">
      <c r="B8041" s="5">
        <v>8036</v>
      </c>
      <c r="C8041" s="5">
        <v>143.81662679784299</v>
      </c>
      <c r="D8041" s="45"/>
    </row>
    <row r="8042" spans="2:4" ht="16" thickBot="1" x14ac:dyDescent="0.25">
      <c r="B8042" s="4">
        <v>8037</v>
      </c>
      <c r="C8042" s="4">
        <v>153.65952549524326</v>
      </c>
      <c r="D8042" s="45"/>
    </row>
    <row r="8043" spans="2:4" ht="16" thickBot="1" x14ac:dyDescent="0.25">
      <c r="B8043" s="5">
        <v>8038</v>
      </c>
      <c r="C8043" s="5">
        <v>135.42440776404825</v>
      </c>
      <c r="D8043" s="45"/>
    </row>
    <row r="8044" spans="2:4" ht="16" thickBot="1" x14ac:dyDescent="0.25">
      <c r="B8044" s="4">
        <v>8039</v>
      </c>
      <c r="C8044" s="4">
        <v>97.167805648483338</v>
      </c>
      <c r="D8044" s="45"/>
    </row>
    <row r="8045" spans="2:4" ht="16" thickBot="1" x14ac:dyDescent="0.25">
      <c r="B8045" s="5">
        <v>8040</v>
      </c>
      <c r="C8045" s="5">
        <v>246.80751481410215</v>
      </c>
      <c r="D8045" s="45"/>
    </row>
    <row r="8046" spans="2:4" ht="16" thickBot="1" x14ac:dyDescent="0.25">
      <c r="B8046" s="4">
        <v>8041</v>
      </c>
      <c r="C8046" s="4">
        <v>75.890138982098634</v>
      </c>
      <c r="D8046" s="45"/>
    </row>
    <row r="8047" spans="2:4" ht="16" thickBot="1" x14ac:dyDescent="0.25">
      <c r="B8047" s="5">
        <v>8042</v>
      </c>
      <c r="C8047" s="5">
        <v>228.76411484041097</v>
      </c>
      <c r="D8047" s="45"/>
    </row>
    <row r="8048" spans="2:4" ht="16" thickBot="1" x14ac:dyDescent="0.25">
      <c r="B8048" s="4">
        <v>8043</v>
      </c>
      <c r="C8048" s="4">
        <v>184.80547671144936</v>
      </c>
      <c r="D8048" s="45"/>
    </row>
    <row r="8049" spans="2:4" ht="16" thickBot="1" x14ac:dyDescent="0.25">
      <c r="B8049" s="5">
        <v>8044</v>
      </c>
      <c r="C8049" s="5">
        <v>157.05121132769025</v>
      </c>
      <c r="D8049" s="45"/>
    </row>
    <row r="8050" spans="2:4" ht="16" thickBot="1" x14ac:dyDescent="0.25">
      <c r="B8050" s="4">
        <v>8045</v>
      </c>
      <c r="C8050" s="4">
        <v>145.18261474806172</v>
      </c>
      <c r="D8050" s="45"/>
    </row>
    <row r="8051" spans="2:4" ht="16" thickBot="1" x14ac:dyDescent="0.25">
      <c r="B8051" s="5">
        <v>8046</v>
      </c>
      <c r="C8051" s="5">
        <v>185.95213622254664</v>
      </c>
      <c r="D8051" s="45"/>
    </row>
    <row r="8052" spans="2:4" ht="16" thickBot="1" x14ac:dyDescent="0.25">
      <c r="B8052" s="4">
        <v>8047</v>
      </c>
      <c r="C8052" s="4">
        <v>124.38963641380589</v>
      </c>
      <c r="D8052" s="45"/>
    </row>
    <row r="8053" spans="2:4" ht="16" thickBot="1" x14ac:dyDescent="0.25">
      <c r="B8053" s="5">
        <v>8048</v>
      </c>
      <c r="C8053" s="5">
        <v>88.524955423026285</v>
      </c>
      <c r="D8053" s="45"/>
    </row>
    <row r="8054" spans="2:4" ht="16" thickBot="1" x14ac:dyDescent="0.25">
      <c r="B8054" s="4">
        <v>8049</v>
      </c>
      <c r="C8054" s="4">
        <v>232.53057243445588</v>
      </c>
      <c r="D8054" s="45"/>
    </row>
    <row r="8055" spans="2:4" ht="16" thickBot="1" x14ac:dyDescent="0.25">
      <c r="B8055" s="5">
        <v>8050</v>
      </c>
      <c r="C8055" s="5">
        <v>95.786630766445072</v>
      </c>
      <c r="D8055" s="45"/>
    </row>
    <row r="8056" spans="2:4" ht="16" thickBot="1" x14ac:dyDescent="0.25">
      <c r="B8056" s="4">
        <v>8051</v>
      </c>
      <c r="C8056" s="4">
        <v>90.334056220573061</v>
      </c>
      <c r="D8056" s="45"/>
    </row>
    <row r="8057" spans="2:4" ht="16" thickBot="1" x14ac:dyDescent="0.25">
      <c r="B8057" s="5">
        <v>8052</v>
      </c>
      <c r="C8057" s="5">
        <v>170.61663158946499</v>
      </c>
      <c r="D8057" s="45"/>
    </row>
    <row r="8058" spans="2:4" ht="16" thickBot="1" x14ac:dyDescent="0.25">
      <c r="B8058" s="4">
        <v>8053</v>
      </c>
      <c r="C8058" s="4">
        <v>315.87030940716483</v>
      </c>
      <c r="D8058" s="45"/>
    </row>
    <row r="8059" spans="2:4" ht="16" thickBot="1" x14ac:dyDescent="0.25">
      <c r="B8059" s="5">
        <v>8054</v>
      </c>
      <c r="C8059" s="5">
        <v>128.12669006025388</v>
      </c>
      <c r="D8059" s="45"/>
    </row>
    <row r="8060" spans="2:4" ht="16" thickBot="1" x14ac:dyDescent="0.25">
      <c r="B8060" s="4">
        <v>8055</v>
      </c>
      <c r="C8060" s="4">
        <v>208.27297407059089</v>
      </c>
      <c r="D8060" s="45"/>
    </row>
    <row r="8061" spans="2:4" ht="16" thickBot="1" x14ac:dyDescent="0.25">
      <c r="B8061" s="5">
        <v>8056</v>
      </c>
      <c r="C8061" s="5">
        <v>105.26226216364827</v>
      </c>
      <c r="D8061" s="45"/>
    </row>
    <row r="8062" spans="2:4" ht="16" thickBot="1" x14ac:dyDescent="0.25">
      <c r="B8062" s="4">
        <v>8057</v>
      </c>
      <c r="C8062" s="4">
        <v>184.45608434526147</v>
      </c>
      <c r="D8062" s="45"/>
    </row>
    <row r="8063" spans="2:4" ht="16" thickBot="1" x14ac:dyDescent="0.25">
      <c r="B8063" s="5">
        <v>8058</v>
      </c>
      <c r="C8063" s="5">
        <v>170.72414431823296</v>
      </c>
      <c r="D8063" s="45"/>
    </row>
    <row r="8064" spans="2:4" ht="16" thickBot="1" x14ac:dyDescent="0.25">
      <c r="B8064" s="4">
        <v>8059</v>
      </c>
      <c r="C8064" s="4">
        <v>114.13155904727225</v>
      </c>
      <c r="D8064" s="45"/>
    </row>
    <row r="8065" spans="2:4" ht="16" thickBot="1" x14ac:dyDescent="0.25">
      <c r="B8065" s="5">
        <v>8060</v>
      </c>
      <c r="C8065" s="5">
        <v>183.85151039855978</v>
      </c>
      <c r="D8065" s="45"/>
    </row>
    <row r="8066" spans="2:4" ht="16" thickBot="1" x14ac:dyDescent="0.25">
      <c r="B8066" s="4">
        <v>8061</v>
      </c>
      <c r="C8066" s="4">
        <v>89.475491536349963</v>
      </c>
      <c r="D8066" s="45"/>
    </row>
    <row r="8067" spans="2:4" ht="16" thickBot="1" x14ac:dyDescent="0.25">
      <c r="B8067" s="5">
        <v>8062</v>
      </c>
      <c r="C8067" s="5">
        <v>71.155080633947449</v>
      </c>
      <c r="D8067" s="45"/>
    </row>
    <row r="8068" spans="2:4" ht="16" thickBot="1" x14ac:dyDescent="0.25">
      <c r="B8068" s="4">
        <v>8063</v>
      </c>
      <c r="C8068" s="4">
        <v>175.00219523902157</v>
      </c>
      <c r="D8068" s="45"/>
    </row>
    <row r="8069" spans="2:4" ht="16" thickBot="1" x14ac:dyDescent="0.25">
      <c r="B8069" s="5">
        <v>8064</v>
      </c>
      <c r="C8069" s="5">
        <v>103.45938723251982</v>
      </c>
      <c r="D8069" s="45"/>
    </row>
    <row r="8070" spans="2:4" ht="16" thickBot="1" x14ac:dyDescent="0.25">
      <c r="B8070" s="4">
        <v>8065</v>
      </c>
      <c r="C8070" s="4">
        <v>146.99839532592216</v>
      </c>
      <c r="D8070" s="45"/>
    </row>
    <row r="8071" spans="2:4" ht="16" thickBot="1" x14ac:dyDescent="0.25">
      <c r="B8071" s="5">
        <v>8066</v>
      </c>
      <c r="C8071" s="5">
        <v>89.82701650929593</v>
      </c>
      <c r="D8071" s="45"/>
    </row>
    <row r="8072" spans="2:4" ht="16" thickBot="1" x14ac:dyDescent="0.25">
      <c r="B8072" s="4">
        <v>8067</v>
      </c>
      <c r="C8072" s="4">
        <v>165.32101995297313</v>
      </c>
      <c r="D8072" s="45"/>
    </row>
    <row r="8073" spans="2:4" ht="16" thickBot="1" x14ac:dyDescent="0.25">
      <c r="B8073" s="5">
        <v>8068</v>
      </c>
      <c r="C8073" s="5">
        <v>130.95763608328843</v>
      </c>
      <c r="D8073" s="45"/>
    </row>
    <row r="8074" spans="2:4" ht="16" thickBot="1" x14ac:dyDescent="0.25">
      <c r="B8074" s="4">
        <v>8069</v>
      </c>
      <c r="C8074" s="4">
        <v>167.19430619012988</v>
      </c>
      <c r="D8074" s="45"/>
    </row>
    <row r="8075" spans="2:4" ht="16" thickBot="1" x14ac:dyDescent="0.25">
      <c r="B8075" s="5">
        <v>8070</v>
      </c>
      <c r="C8075" s="5">
        <v>190.86379511387904</v>
      </c>
      <c r="D8075" s="45"/>
    </row>
    <row r="8076" spans="2:4" ht="16" thickBot="1" x14ac:dyDescent="0.25">
      <c r="B8076" s="4">
        <v>8071</v>
      </c>
      <c r="C8076" s="4">
        <v>363.04807444494531</v>
      </c>
      <c r="D8076" s="45"/>
    </row>
    <row r="8077" spans="2:4" ht="16" thickBot="1" x14ac:dyDescent="0.25">
      <c r="B8077" s="5">
        <v>8072</v>
      </c>
      <c r="C8077" s="5">
        <v>220.87407120729296</v>
      </c>
      <c r="D8077" s="45"/>
    </row>
    <row r="8078" spans="2:4" ht="16" thickBot="1" x14ac:dyDescent="0.25">
      <c r="B8078" s="4">
        <v>8073</v>
      </c>
      <c r="C8078" s="4">
        <v>148.3927232655264</v>
      </c>
      <c r="D8078" s="45"/>
    </row>
    <row r="8079" spans="2:4" ht="16" thickBot="1" x14ac:dyDescent="0.25">
      <c r="B8079" s="5">
        <v>8074</v>
      </c>
      <c r="C8079" s="5">
        <v>137.79111625191476</v>
      </c>
      <c r="D8079" s="45"/>
    </row>
    <row r="8080" spans="2:4" ht="16" thickBot="1" x14ac:dyDescent="0.25">
      <c r="B8080" s="4">
        <v>8075</v>
      </c>
      <c r="C8080" s="4">
        <v>347.4793850122897</v>
      </c>
      <c r="D8080" s="45"/>
    </row>
    <row r="8081" spans="2:4" ht="16" thickBot="1" x14ac:dyDescent="0.25">
      <c r="B8081" s="5">
        <v>8076</v>
      </c>
      <c r="C8081" s="5">
        <v>191.59862622057744</v>
      </c>
      <c r="D8081" s="45"/>
    </row>
    <row r="8082" spans="2:4" ht="16" thickBot="1" x14ac:dyDescent="0.25">
      <c r="B8082" s="4">
        <v>8077</v>
      </c>
      <c r="C8082" s="4">
        <v>122.76584200922012</v>
      </c>
      <c r="D8082" s="45"/>
    </row>
    <row r="8083" spans="2:4" ht="16" thickBot="1" x14ac:dyDescent="0.25">
      <c r="B8083" s="5">
        <v>8078</v>
      </c>
      <c r="C8083" s="5">
        <v>376.99843049288904</v>
      </c>
      <c r="D8083" s="45"/>
    </row>
    <row r="8084" spans="2:4" ht="16" thickBot="1" x14ac:dyDescent="0.25">
      <c r="B8084" s="4">
        <v>8079</v>
      </c>
      <c r="C8084" s="4">
        <v>49.802857057509563</v>
      </c>
      <c r="D8084" s="45"/>
    </row>
    <row r="8085" spans="2:4" ht="16" thickBot="1" x14ac:dyDescent="0.25">
      <c r="B8085" s="5">
        <v>8080</v>
      </c>
      <c r="C8085" s="5">
        <v>119.42604667016397</v>
      </c>
      <c r="D8085" s="45"/>
    </row>
    <row r="8086" spans="2:4" ht="16" thickBot="1" x14ac:dyDescent="0.25">
      <c r="B8086" s="4">
        <v>8081</v>
      </c>
      <c r="C8086" s="4">
        <v>163.20883217136418</v>
      </c>
      <c r="D8086" s="45"/>
    </row>
    <row r="8087" spans="2:4" ht="16" thickBot="1" x14ac:dyDescent="0.25">
      <c r="B8087" s="5">
        <v>8082</v>
      </c>
      <c r="C8087" s="5">
        <v>65.393975215210887</v>
      </c>
      <c r="D8087" s="45"/>
    </row>
    <row r="8088" spans="2:4" ht="16" thickBot="1" x14ac:dyDescent="0.25">
      <c r="B8088" s="4">
        <v>8083</v>
      </c>
      <c r="C8088" s="4">
        <v>119.45977771736739</v>
      </c>
      <c r="D8088" s="45"/>
    </row>
    <row r="8089" spans="2:4" ht="16" thickBot="1" x14ac:dyDescent="0.25">
      <c r="B8089" s="5">
        <v>8084</v>
      </c>
      <c r="C8089" s="5">
        <v>100.75626655282517</v>
      </c>
      <c r="D8089" s="45"/>
    </row>
    <row r="8090" spans="2:4" ht="16" thickBot="1" x14ac:dyDescent="0.25">
      <c r="B8090" s="4">
        <v>8085</v>
      </c>
      <c r="C8090" s="4">
        <v>54.899745112063414</v>
      </c>
      <c r="D8090" s="45"/>
    </row>
    <row r="8091" spans="2:4" ht="16" thickBot="1" x14ac:dyDescent="0.25">
      <c r="B8091" s="5">
        <v>8086</v>
      </c>
      <c r="C8091" s="5">
        <v>124.41430515748405</v>
      </c>
      <c r="D8091" s="45"/>
    </row>
    <row r="8092" spans="2:4" ht="16" thickBot="1" x14ac:dyDescent="0.25">
      <c r="B8092" s="4">
        <v>8087</v>
      </c>
      <c r="C8092" s="4">
        <v>71.68781200131049</v>
      </c>
      <c r="D8092" s="45"/>
    </row>
    <row r="8093" spans="2:4" ht="16" thickBot="1" x14ac:dyDescent="0.25">
      <c r="B8093" s="5">
        <v>8088</v>
      </c>
      <c r="C8093" s="5">
        <v>167.13035880617088</v>
      </c>
      <c r="D8093" s="45"/>
    </row>
    <row r="8094" spans="2:4" ht="16" thickBot="1" x14ac:dyDescent="0.25">
      <c r="B8094" s="4">
        <v>8089</v>
      </c>
      <c r="C8094" s="4">
        <v>187.44380110101449</v>
      </c>
      <c r="D8094" s="45"/>
    </row>
    <row r="8095" spans="2:4" ht="16" thickBot="1" x14ac:dyDescent="0.25">
      <c r="B8095" s="5">
        <v>8090</v>
      </c>
      <c r="C8095" s="5">
        <v>45.435465998726343</v>
      </c>
      <c r="D8095" s="45"/>
    </row>
    <row r="8096" spans="2:4" ht="16" thickBot="1" x14ac:dyDescent="0.25">
      <c r="B8096" s="4">
        <v>8091</v>
      </c>
      <c r="C8096" s="4">
        <v>97.456069346756735</v>
      </c>
      <c r="D8096" s="45"/>
    </row>
    <row r="8097" spans="2:4" ht="16" thickBot="1" x14ac:dyDescent="0.25">
      <c r="B8097" s="5">
        <v>8092</v>
      </c>
      <c r="C8097" s="5">
        <v>51.999789378642546</v>
      </c>
      <c r="D8097" s="45"/>
    </row>
    <row r="8098" spans="2:4" ht="16" thickBot="1" x14ac:dyDescent="0.25">
      <c r="B8098" s="4">
        <v>8093</v>
      </c>
      <c r="C8098" s="4">
        <v>209.72826817304934</v>
      </c>
      <c r="D8098" s="45"/>
    </row>
    <row r="8099" spans="2:4" ht="16" thickBot="1" x14ac:dyDescent="0.25">
      <c r="B8099" s="5">
        <v>8094</v>
      </c>
      <c r="C8099" s="5">
        <v>354.63349265690437</v>
      </c>
      <c r="D8099" s="45"/>
    </row>
    <row r="8100" spans="2:4" ht="16" thickBot="1" x14ac:dyDescent="0.25">
      <c r="B8100" s="4">
        <v>8095</v>
      </c>
      <c r="C8100" s="4">
        <v>143.16103311886883</v>
      </c>
      <c r="D8100" s="45"/>
    </row>
    <row r="8101" spans="2:4" ht="16" thickBot="1" x14ac:dyDescent="0.25">
      <c r="B8101" s="5">
        <v>8096</v>
      </c>
      <c r="C8101" s="5">
        <v>76.814952172301759</v>
      </c>
      <c r="D8101" s="45"/>
    </row>
    <row r="8102" spans="2:4" ht="16" thickBot="1" x14ac:dyDescent="0.25">
      <c r="B8102" s="4">
        <v>8097</v>
      </c>
      <c r="C8102" s="4">
        <v>79.64344634817671</v>
      </c>
      <c r="D8102" s="45"/>
    </row>
    <row r="8103" spans="2:4" ht="16" thickBot="1" x14ac:dyDescent="0.25">
      <c r="B8103" s="5">
        <v>8098</v>
      </c>
      <c r="C8103" s="5">
        <v>162.93022927441584</v>
      </c>
      <c r="D8103" s="45"/>
    </row>
    <row r="8104" spans="2:4" ht="16" thickBot="1" x14ac:dyDescent="0.25">
      <c r="B8104" s="4">
        <v>8099</v>
      </c>
      <c r="C8104" s="4">
        <v>97.230108204986465</v>
      </c>
      <c r="D8104" s="45"/>
    </row>
    <row r="8105" spans="2:4" ht="16" thickBot="1" x14ac:dyDescent="0.25">
      <c r="B8105" s="5">
        <v>8100</v>
      </c>
      <c r="C8105" s="5">
        <v>190.97029281945396</v>
      </c>
      <c r="D8105" s="45"/>
    </row>
    <row r="8106" spans="2:4" ht="16" thickBot="1" x14ac:dyDescent="0.25">
      <c r="B8106" s="4">
        <v>8101</v>
      </c>
      <c r="C8106" s="4">
        <v>287.15442011393003</v>
      </c>
      <c r="D8106" s="45"/>
    </row>
    <row r="8107" spans="2:4" ht="16" thickBot="1" x14ac:dyDescent="0.25">
      <c r="B8107" s="5">
        <v>8102</v>
      </c>
      <c r="C8107" s="5">
        <v>108.32539627970432</v>
      </c>
      <c r="D8107" s="45"/>
    </row>
    <row r="8108" spans="2:4" ht="16" thickBot="1" x14ac:dyDescent="0.25">
      <c r="B8108" s="4">
        <v>8103</v>
      </c>
      <c r="C8108" s="4">
        <v>141.3941675977039</v>
      </c>
      <c r="D8108" s="45"/>
    </row>
    <row r="8109" spans="2:4" ht="16" thickBot="1" x14ac:dyDescent="0.25">
      <c r="B8109" s="5">
        <v>8104</v>
      </c>
      <c r="C8109" s="5">
        <v>214.63837285466241</v>
      </c>
      <c r="D8109" s="45"/>
    </row>
    <row r="8110" spans="2:4" ht="16" thickBot="1" x14ac:dyDescent="0.25">
      <c r="B8110" s="4">
        <v>8105</v>
      </c>
      <c r="C8110" s="4">
        <v>47.386571561059817</v>
      </c>
      <c r="D8110" s="45"/>
    </row>
    <row r="8111" spans="2:4" ht="16" thickBot="1" x14ac:dyDescent="0.25">
      <c r="B8111" s="5">
        <v>8106</v>
      </c>
      <c r="C8111" s="5">
        <v>202.85030818807283</v>
      </c>
      <c r="D8111" s="45"/>
    </row>
    <row r="8112" spans="2:4" ht="16" thickBot="1" x14ac:dyDescent="0.25">
      <c r="B8112" s="4">
        <v>8107</v>
      </c>
      <c r="C8112" s="4">
        <v>132.44818079647879</v>
      </c>
      <c r="D8112" s="45"/>
    </row>
    <row r="8113" spans="2:4" ht="16" thickBot="1" x14ac:dyDescent="0.25">
      <c r="B8113" s="5">
        <v>8108</v>
      </c>
      <c r="C8113" s="5">
        <v>213.59629988961262</v>
      </c>
      <c r="D8113" s="45"/>
    </row>
    <row r="8114" spans="2:4" ht="16" thickBot="1" x14ac:dyDescent="0.25">
      <c r="B8114" s="4">
        <v>8109</v>
      </c>
      <c r="C8114" s="4">
        <v>123.43588568795715</v>
      </c>
      <c r="D8114" s="45"/>
    </row>
    <row r="8115" spans="2:4" ht="16" thickBot="1" x14ac:dyDescent="0.25">
      <c r="B8115" s="5">
        <v>8110</v>
      </c>
      <c r="C8115" s="5">
        <v>119.28707349435483</v>
      </c>
      <c r="D8115" s="45"/>
    </row>
    <row r="8116" spans="2:4" ht="16" thickBot="1" x14ac:dyDescent="0.25">
      <c r="B8116" s="4">
        <v>8111</v>
      </c>
      <c r="C8116" s="4">
        <v>258.15976768760402</v>
      </c>
      <c r="D8116" s="45"/>
    </row>
    <row r="8117" spans="2:4" ht="16" thickBot="1" x14ac:dyDescent="0.25">
      <c r="B8117" s="5">
        <v>8112</v>
      </c>
      <c r="C8117" s="5">
        <v>175.70035207708679</v>
      </c>
      <c r="D8117" s="45"/>
    </row>
    <row r="8118" spans="2:4" ht="16" thickBot="1" x14ac:dyDescent="0.25">
      <c r="B8118" s="4">
        <v>8113</v>
      </c>
      <c r="C8118" s="4">
        <v>67.085312048446937</v>
      </c>
      <c r="D8118" s="45"/>
    </row>
    <row r="8119" spans="2:4" ht="16" thickBot="1" x14ac:dyDescent="0.25">
      <c r="B8119" s="5">
        <v>8114</v>
      </c>
      <c r="C8119" s="5">
        <v>366.74562602389489</v>
      </c>
      <c r="D8119" s="45"/>
    </row>
    <row r="8120" spans="2:4" ht="16" thickBot="1" x14ac:dyDescent="0.25">
      <c r="B8120" s="4">
        <v>8115</v>
      </c>
      <c r="C8120" s="4">
        <v>225.42437782724662</v>
      </c>
      <c r="D8120" s="45"/>
    </row>
    <row r="8121" spans="2:4" ht="16" thickBot="1" x14ac:dyDescent="0.25">
      <c r="B8121" s="5">
        <v>8116</v>
      </c>
      <c r="C8121" s="5">
        <v>117.32370000247994</v>
      </c>
      <c r="D8121" s="45"/>
    </row>
    <row r="8122" spans="2:4" ht="16" thickBot="1" x14ac:dyDescent="0.25">
      <c r="B8122" s="4">
        <v>8117</v>
      </c>
      <c r="C8122" s="4">
        <v>193.98040595716088</v>
      </c>
      <c r="D8122" s="45"/>
    </row>
    <row r="8123" spans="2:4" ht="16" thickBot="1" x14ac:dyDescent="0.25">
      <c r="B8123" s="5">
        <v>8118</v>
      </c>
      <c r="C8123" s="5">
        <v>142.80002041341086</v>
      </c>
      <c r="D8123" s="45"/>
    </row>
    <row r="8124" spans="2:4" ht="16" thickBot="1" x14ac:dyDescent="0.25">
      <c r="B8124" s="4">
        <v>8119</v>
      </c>
      <c r="C8124" s="4">
        <v>112.55319225822646</v>
      </c>
      <c r="D8124" s="45"/>
    </row>
    <row r="8125" spans="2:4" ht="16" thickBot="1" x14ac:dyDescent="0.25">
      <c r="B8125" s="5">
        <v>8120</v>
      </c>
      <c r="C8125" s="5">
        <v>177.12631781124145</v>
      </c>
      <c r="D8125" s="45"/>
    </row>
    <row r="8126" spans="2:4" ht="16" thickBot="1" x14ac:dyDescent="0.25">
      <c r="B8126" s="4">
        <v>8121</v>
      </c>
      <c r="C8126" s="4">
        <v>70.573662604379351</v>
      </c>
      <c r="D8126" s="45"/>
    </row>
    <row r="8127" spans="2:4" ht="16" thickBot="1" x14ac:dyDescent="0.25">
      <c r="B8127" s="5">
        <v>8122</v>
      </c>
      <c r="C8127" s="5">
        <v>339.34546047308027</v>
      </c>
      <c r="D8127" s="45"/>
    </row>
    <row r="8128" spans="2:4" ht="16" thickBot="1" x14ac:dyDescent="0.25">
      <c r="B8128" s="4">
        <v>8123</v>
      </c>
      <c r="C8128" s="4">
        <v>200.24517448975561</v>
      </c>
      <c r="D8128" s="45"/>
    </row>
    <row r="8129" spans="2:4" ht="16" thickBot="1" x14ac:dyDescent="0.25">
      <c r="B8129" s="5">
        <v>8124</v>
      </c>
      <c r="C8129" s="5">
        <v>237.25641751236626</v>
      </c>
      <c r="D8129" s="45"/>
    </row>
    <row r="8130" spans="2:4" ht="16" thickBot="1" x14ac:dyDescent="0.25">
      <c r="B8130" s="4">
        <v>8125</v>
      </c>
      <c r="C8130" s="4">
        <v>78.01549902864376</v>
      </c>
      <c r="D8130" s="45"/>
    </row>
    <row r="8131" spans="2:4" ht="16" thickBot="1" x14ac:dyDescent="0.25">
      <c r="B8131" s="5">
        <v>8126</v>
      </c>
      <c r="C8131" s="5">
        <v>190.01589296038458</v>
      </c>
      <c r="D8131" s="45"/>
    </row>
    <row r="8132" spans="2:4" ht="16" thickBot="1" x14ac:dyDescent="0.25">
      <c r="B8132" s="4">
        <v>8127</v>
      </c>
      <c r="C8132" s="4">
        <v>132.05695194488305</v>
      </c>
      <c r="D8132" s="45"/>
    </row>
    <row r="8133" spans="2:4" ht="16" thickBot="1" x14ac:dyDescent="0.25">
      <c r="B8133" s="5">
        <v>8128</v>
      </c>
      <c r="C8133" s="5">
        <v>82.242535176330364</v>
      </c>
      <c r="D8133" s="45"/>
    </row>
    <row r="8134" spans="2:4" ht="16" thickBot="1" x14ac:dyDescent="0.25">
      <c r="B8134" s="4">
        <v>8129</v>
      </c>
      <c r="C8134" s="4">
        <v>88.441359334670565</v>
      </c>
      <c r="D8134" s="45"/>
    </row>
    <row r="8135" spans="2:4" ht="16" thickBot="1" x14ac:dyDescent="0.25">
      <c r="B8135" s="5">
        <v>8130</v>
      </c>
      <c r="C8135" s="5">
        <v>201.61902133622019</v>
      </c>
      <c r="D8135" s="45"/>
    </row>
    <row r="8136" spans="2:4" ht="16" thickBot="1" x14ac:dyDescent="0.25">
      <c r="B8136" s="4">
        <v>8131</v>
      </c>
      <c r="C8136" s="4">
        <v>137.28930948395248</v>
      </c>
      <c r="D8136" s="45"/>
    </row>
    <row r="8137" spans="2:4" ht="16" thickBot="1" x14ac:dyDescent="0.25">
      <c r="B8137" s="5">
        <v>8132</v>
      </c>
      <c r="C8137" s="5">
        <v>413.2794298131542</v>
      </c>
      <c r="D8137" s="45"/>
    </row>
    <row r="8138" spans="2:4" ht="16" thickBot="1" x14ac:dyDescent="0.25">
      <c r="B8138" s="4">
        <v>8133</v>
      </c>
      <c r="C8138" s="4">
        <v>150.5637727040621</v>
      </c>
      <c r="D8138" s="45"/>
    </row>
    <row r="8139" spans="2:4" ht="16" thickBot="1" x14ac:dyDescent="0.25">
      <c r="B8139" s="5">
        <v>8134</v>
      </c>
      <c r="C8139" s="5">
        <v>160.51610433085813</v>
      </c>
      <c r="D8139" s="45"/>
    </row>
    <row r="8140" spans="2:4" ht="16" thickBot="1" x14ac:dyDescent="0.25">
      <c r="B8140" s="4">
        <v>8135</v>
      </c>
      <c r="C8140" s="4">
        <v>107.82074266069972</v>
      </c>
      <c r="D8140" s="45"/>
    </row>
    <row r="8141" spans="2:4" ht="16" thickBot="1" x14ac:dyDescent="0.25">
      <c r="B8141" s="5">
        <v>8136</v>
      </c>
      <c r="C8141" s="5">
        <v>197.39838581004764</v>
      </c>
      <c r="D8141" s="45"/>
    </row>
    <row r="8142" spans="2:4" ht="16" thickBot="1" x14ac:dyDescent="0.25">
      <c r="B8142" s="4">
        <v>8137</v>
      </c>
      <c r="C8142" s="4">
        <v>87.839096181631987</v>
      </c>
      <c r="D8142" s="45"/>
    </row>
    <row r="8143" spans="2:4" ht="16" thickBot="1" x14ac:dyDescent="0.25">
      <c r="B8143" s="5">
        <v>8138</v>
      </c>
      <c r="C8143" s="5">
        <v>75.286540148436131</v>
      </c>
      <c r="D8143" s="45"/>
    </row>
    <row r="8144" spans="2:4" ht="16" thickBot="1" x14ac:dyDescent="0.25">
      <c r="B8144" s="4">
        <v>8139</v>
      </c>
      <c r="C8144" s="4">
        <v>80.808522560961023</v>
      </c>
      <c r="D8144" s="45"/>
    </row>
    <row r="8145" spans="2:4" ht="16" thickBot="1" x14ac:dyDescent="0.25">
      <c r="B8145" s="5">
        <v>8140</v>
      </c>
      <c r="C8145" s="5">
        <v>75.643410379299382</v>
      </c>
      <c r="D8145" s="45"/>
    </row>
    <row r="8146" spans="2:4" ht="16" thickBot="1" x14ac:dyDescent="0.25">
      <c r="B8146" s="4">
        <v>8141</v>
      </c>
      <c r="C8146" s="4">
        <v>126.76946977442178</v>
      </c>
      <c r="D8146" s="45"/>
    </row>
    <row r="8147" spans="2:4" ht="16" thickBot="1" x14ac:dyDescent="0.25">
      <c r="B8147" s="5">
        <v>8142</v>
      </c>
      <c r="C8147" s="5">
        <v>97.424015996444865</v>
      </c>
      <c r="D8147" s="45"/>
    </row>
    <row r="8148" spans="2:4" ht="16" thickBot="1" x14ac:dyDescent="0.25">
      <c r="B8148" s="4">
        <v>8143</v>
      </c>
      <c r="C8148" s="4">
        <v>106.57843349293476</v>
      </c>
      <c r="D8148" s="45"/>
    </row>
    <row r="8149" spans="2:4" ht="16" thickBot="1" x14ac:dyDescent="0.25">
      <c r="B8149" s="5">
        <v>8144</v>
      </c>
      <c r="C8149" s="5">
        <v>112.91617823814204</v>
      </c>
      <c r="D8149" s="45"/>
    </row>
    <row r="8150" spans="2:4" ht="16" thickBot="1" x14ac:dyDescent="0.25">
      <c r="B8150" s="4">
        <v>8145</v>
      </c>
      <c r="C8150" s="4">
        <v>101.9282895917477</v>
      </c>
      <c r="D8150" s="45"/>
    </row>
    <row r="8151" spans="2:4" ht="16" thickBot="1" x14ac:dyDescent="0.25">
      <c r="B8151" s="5">
        <v>8146</v>
      </c>
      <c r="C8151" s="5">
        <v>152.85428083942264</v>
      </c>
      <c r="D8151" s="45"/>
    </row>
    <row r="8152" spans="2:4" ht="16" thickBot="1" x14ac:dyDescent="0.25">
      <c r="B8152" s="4">
        <v>8147</v>
      </c>
      <c r="C8152" s="4">
        <v>372.44644012563936</v>
      </c>
      <c r="D8152" s="45"/>
    </row>
    <row r="8153" spans="2:4" ht="16" thickBot="1" x14ac:dyDescent="0.25">
      <c r="B8153" s="5">
        <v>8148</v>
      </c>
      <c r="C8153" s="5">
        <v>91.998834481889133</v>
      </c>
      <c r="D8153" s="45"/>
    </row>
    <row r="8154" spans="2:4" ht="16" thickBot="1" x14ac:dyDescent="0.25">
      <c r="B8154" s="4">
        <v>8149</v>
      </c>
      <c r="C8154" s="4">
        <v>408.36053074688931</v>
      </c>
      <c r="D8154" s="45"/>
    </row>
    <row r="8155" spans="2:4" ht="16" thickBot="1" x14ac:dyDescent="0.25">
      <c r="B8155" s="5">
        <v>8150</v>
      </c>
      <c r="C8155" s="5">
        <v>187.57082917094669</v>
      </c>
      <c r="D8155" s="45"/>
    </row>
    <row r="8156" spans="2:4" ht="16" thickBot="1" x14ac:dyDescent="0.25">
      <c r="B8156" s="4">
        <v>8151</v>
      </c>
      <c r="C8156" s="4">
        <v>94.317226152650932</v>
      </c>
      <c r="D8156" s="45"/>
    </row>
    <row r="8157" spans="2:4" ht="16" thickBot="1" x14ac:dyDescent="0.25">
      <c r="B8157" s="5">
        <v>8152</v>
      </c>
      <c r="C8157" s="5">
        <v>102.95052696750753</v>
      </c>
      <c r="D8157" s="45"/>
    </row>
    <row r="8158" spans="2:4" ht="16" thickBot="1" x14ac:dyDescent="0.25">
      <c r="B8158" s="4">
        <v>8153</v>
      </c>
      <c r="C8158" s="4">
        <v>201.97840503857435</v>
      </c>
      <c r="D8158" s="45"/>
    </row>
    <row r="8159" spans="2:4" ht="16" thickBot="1" x14ac:dyDescent="0.25">
      <c r="B8159" s="5">
        <v>8154</v>
      </c>
      <c r="C8159" s="5">
        <v>347.44656886210294</v>
      </c>
      <c r="D8159" s="45"/>
    </row>
    <row r="8160" spans="2:4" ht="16" thickBot="1" x14ac:dyDescent="0.25">
      <c r="B8160" s="4">
        <v>8155</v>
      </c>
      <c r="C8160" s="4">
        <v>204.14310537431996</v>
      </c>
      <c r="D8160" s="45"/>
    </row>
    <row r="8161" spans="2:4" ht="16" thickBot="1" x14ac:dyDescent="0.25">
      <c r="B8161" s="5">
        <v>8156</v>
      </c>
      <c r="C8161" s="5">
        <v>136.30699366420393</v>
      </c>
      <c r="D8161" s="45"/>
    </row>
    <row r="8162" spans="2:4" ht="16" thickBot="1" x14ac:dyDescent="0.25">
      <c r="B8162" s="4">
        <v>8157</v>
      </c>
      <c r="C8162" s="4">
        <v>170.63938838294121</v>
      </c>
      <c r="D8162" s="45"/>
    </row>
    <row r="8163" spans="2:4" ht="16" thickBot="1" x14ac:dyDescent="0.25">
      <c r="B8163" s="5">
        <v>8158</v>
      </c>
      <c r="C8163" s="5">
        <v>297.17122763096927</v>
      </c>
      <c r="D8163" s="45"/>
    </row>
    <row r="8164" spans="2:4" ht="16" thickBot="1" x14ac:dyDescent="0.25">
      <c r="B8164" s="4">
        <v>8159</v>
      </c>
      <c r="C8164" s="4">
        <v>104.69751609261996</v>
      </c>
      <c r="D8164" s="45"/>
    </row>
    <row r="8165" spans="2:4" ht="16" thickBot="1" x14ac:dyDescent="0.25">
      <c r="B8165" s="5">
        <v>8160</v>
      </c>
      <c r="C8165" s="5">
        <v>191.55287945819077</v>
      </c>
      <c r="D8165" s="45"/>
    </row>
    <row r="8166" spans="2:4" ht="16" thickBot="1" x14ac:dyDescent="0.25">
      <c r="B8166" s="4">
        <v>8161</v>
      </c>
      <c r="C8166" s="4">
        <v>212.22831142850464</v>
      </c>
      <c r="D8166" s="45"/>
    </row>
    <row r="8167" spans="2:4" ht="16" thickBot="1" x14ac:dyDescent="0.25">
      <c r="B8167" s="5">
        <v>8162</v>
      </c>
      <c r="C8167" s="5">
        <v>233.55290315243207</v>
      </c>
      <c r="D8167" s="45"/>
    </row>
    <row r="8168" spans="2:4" ht="16" thickBot="1" x14ac:dyDescent="0.25">
      <c r="B8168" s="4">
        <v>8163</v>
      </c>
      <c r="C8168" s="4">
        <v>143.65655241667983</v>
      </c>
      <c r="D8168" s="45"/>
    </row>
    <row r="8169" spans="2:4" ht="16" thickBot="1" x14ac:dyDescent="0.25">
      <c r="B8169" s="5">
        <v>8164</v>
      </c>
      <c r="C8169" s="5">
        <v>155.83958823857671</v>
      </c>
      <c r="D8169" s="45"/>
    </row>
    <row r="8170" spans="2:4" ht="16" thickBot="1" x14ac:dyDescent="0.25">
      <c r="B8170" s="4">
        <v>8165</v>
      </c>
      <c r="C8170" s="4">
        <v>425.99722122026435</v>
      </c>
      <c r="D8170" s="45"/>
    </row>
    <row r="8171" spans="2:4" ht="16" thickBot="1" x14ac:dyDescent="0.25">
      <c r="B8171" s="5">
        <v>8166</v>
      </c>
      <c r="C8171" s="5">
        <v>226.44802534621661</v>
      </c>
      <c r="D8171" s="45"/>
    </row>
    <row r="8172" spans="2:4" ht="16" thickBot="1" x14ac:dyDescent="0.25">
      <c r="B8172" s="4">
        <v>8167</v>
      </c>
      <c r="C8172" s="4">
        <v>155.04161303063535</v>
      </c>
      <c r="D8172" s="45"/>
    </row>
    <row r="8173" spans="2:4" ht="16" thickBot="1" x14ac:dyDescent="0.25">
      <c r="B8173" s="5">
        <v>8168</v>
      </c>
      <c r="C8173" s="5">
        <v>270.5820385918409</v>
      </c>
      <c r="D8173" s="45"/>
    </row>
    <row r="8174" spans="2:4" ht="16" thickBot="1" x14ac:dyDescent="0.25">
      <c r="B8174" s="4">
        <v>8169</v>
      </c>
      <c r="C8174" s="4">
        <v>73.06064120097237</v>
      </c>
      <c r="D8174" s="45"/>
    </row>
    <row r="8175" spans="2:4" ht="16" thickBot="1" x14ac:dyDescent="0.25">
      <c r="B8175" s="5">
        <v>8170</v>
      </c>
      <c r="C8175" s="5">
        <v>128.08392820320654</v>
      </c>
      <c r="D8175" s="45"/>
    </row>
    <row r="8176" spans="2:4" ht="16" thickBot="1" x14ac:dyDescent="0.25">
      <c r="B8176" s="4">
        <v>8171</v>
      </c>
      <c r="C8176" s="4">
        <v>174.42159548745136</v>
      </c>
      <c r="D8176" s="45"/>
    </row>
    <row r="8177" spans="2:4" ht="16" thickBot="1" x14ac:dyDescent="0.25">
      <c r="B8177" s="5">
        <v>8172</v>
      </c>
      <c r="C8177" s="5">
        <v>210.14081375163971</v>
      </c>
      <c r="D8177" s="45"/>
    </row>
    <row r="8178" spans="2:4" ht="16" thickBot="1" x14ac:dyDescent="0.25">
      <c r="B8178" s="4">
        <v>8173</v>
      </c>
      <c r="C8178" s="4">
        <v>164.69326913119102</v>
      </c>
      <c r="D8178" s="45"/>
    </row>
    <row r="8179" spans="2:4" ht="16" thickBot="1" x14ac:dyDescent="0.25">
      <c r="B8179" s="5">
        <v>8174</v>
      </c>
      <c r="C8179" s="5">
        <v>204.9971685024349</v>
      </c>
      <c r="D8179" s="45"/>
    </row>
    <row r="8180" spans="2:4" ht="16" thickBot="1" x14ac:dyDescent="0.25">
      <c r="B8180" s="4">
        <v>8175</v>
      </c>
      <c r="C8180" s="4">
        <v>297.47332562811999</v>
      </c>
      <c r="D8180" s="45"/>
    </row>
    <row r="8181" spans="2:4" ht="16" thickBot="1" x14ac:dyDescent="0.25">
      <c r="B8181" s="5">
        <v>8176</v>
      </c>
      <c r="C8181" s="5">
        <v>112.64624430337354</v>
      </c>
      <c r="D8181" s="45"/>
    </row>
    <row r="8182" spans="2:4" ht="16" thickBot="1" x14ac:dyDescent="0.25">
      <c r="B8182" s="4">
        <v>8177</v>
      </c>
      <c r="C8182" s="4">
        <v>217.50777078950981</v>
      </c>
      <c r="D8182" s="45"/>
    </row>
    <row r="8183" spans="2:4" ht="16" thickBot="1" x14ac:dyDescent="0.25">
      <c r="B8183" s="5">
        <v>8178</v>
      </c>
      <c r="C8183" s="5">
        <v>93.157599419455096</v>
      </c>
      <c r="D8183" s="45"/>
    </row>
    <row r="8184" spans="2:4" ht="16" thickBot="1" x14ac:dyDescent="0.25">
      <c r="B8184" s="4">
        <v>8179</v>
      </c>
      <c r="C8184" s="4">
        <v>163.91271949697492</v>
      </c>
      <c r="D8184" s="45"/>
    </row>
    <row r="8185" spans="2:4" ht="16" thickBot="1" x14ac:dyDescent="0.25">
      <c r="B8185" s="5">
        <v>8180</v>
      </c>
      <c r="C8185" s="5">
        <v>84.359559903064181</v>
      </c>
      <c r="D8185" s="45"/>
    </row>
    <row r="8186" spans="2:4" ht="16" thickBot="1" x14ac:dyDescent="0.25">
      <c r="B8186" s="4">
        <v>8181</v>
      </c>
      <c r="C8186" s="4">
        <v>89.18520439588201</v>
      </c>
      <c r="D8186" s="45"/>
    </row>
    <row r="8187" spans="2:4" ht="16" thickBot="1" x14ac:dyDescent="0.25">
      <c r="B8187" s="5">
        <v>8182</v>
      </c>
      <c r="C8187" s="5">
        <v>99.454271768847647</v>
      </c>
      <c r="D8187" s="45"/>
    </row>
    <row r="8188" spans="2:4" ht="16" thickBot="1" x14ac:dyDescent="0.25">
      <c r="B8188" s="4">
        <v>8183</v>
      </c>
      <c r="C8188" s="4">
        <v>78.941791311050252</v>
      </c>
      <c r="D8188" s="45"/>
    </row>
    <row r="8189" spans="2:4" ht="16" thickBot="1" x14ac:dyDescent="0.25">
      <c r="B8189" s="5">
        <v>8184</v>
      </c>
      <c r="C8189" s="5">
        <v>185.30479561141632</v>
      </c>
      <c r="D8189" s="45"/>
    </row>
    <row r="8190" spans="2:4" ht="16" thickBot="1" x14ac:dyDescent="0.25">
      <c r="B8190" s="4">
        <v>8185</v>
      </c>
      <c r="C8190" s="4">
        <v>85.116855876464768</v>
      </c>
      <c r="D8190" s="45"/>
    </row>
    <row r="8191" spans="2:4" ht="16" thickBot="1" x14ac:dyDescent="0.25">
      <c r="B8191" s="5">
        <v>8186</v>
      </c>
      <c r="C8191" s="5">
        <v>248.81155488395575</v>
      </c>
      <c r="D8191" s="45"/>
    </row>
    <row r="8192" spans="2:4" ht="16" thickBot="1" x14ac:dyDescent="0.25">
      <c r="B8192" s="4">
        <v>8187</v>
      </c>
      <c r="C8192" s="4">
        <v>125.10938085820266</v>
      </c>
      <c r="D8192" s="45"/>
    </row>
    <row r="8193" spans="2:4" ht="16" thickBot="1" x14ac:dyDescent="0.25">
      <c r="B8193" s="5">
        <v>8188</v>
      </c>
      <c r="C8193" s="5">
        <v>196.97364484095286</v>
      </c>
      <c r="D8193" s="45"/>
    </row>
    <row r="8194" spans="2:4" ht="16" thickBot="1" x14ac:dyDescent="0.25">
      <c r="B8194" s="4">
        <v>8189</v>
      </c>
      <c r="C8194" s="4">
        <v>117.82275981436312</v>
      </c>
      <c r="D8194" s="45"/>
    </row>
    <row r="8195" spans="2:4" ht="16" thickBot="1" x14ac:dyDescent="0.25">
      <c r="B8195" s="5">
        <v>8190</v>
      </c>
      <c r="C8195" s="5">
        <v>207.19644747906128</v>
      </c>
      <c r="D8195" s="45"/>
    </row>
    <row r="8196" spans="2:4" ht="16" thickBot="1" x14ac:dyDescent="0.25">
      <c r="B8196" s="4">
        <v>8191</v>
      </c>
      <c r="C8196" s="4">
        <v>234.95444552800984</v>
      </c>
      <c r="D8196" s="45"/>
    </row>
    <row r="8197" spans="2:4" ht="16" thickBot="1" x14ac:dyDescent="0.25">
      <c r="B8197" s="5">
        <v>8192</v>
      </c>
      <c r="C8197" s="5">
        <v>132.44218025930519</v>
      </c>
      <c r="D8197" s="45"/>
    </row>
    <row r="8198" spans="2:4" ht="16" thickBot="1" x14ac:dyDescent="0.25">
      <c r="B8198" s="4">
        <v>8193</v>
      </c>
      <c r="C8198" s="4">
        <v>177.06478039972632</v>
      </c>
      <c r="D8198" s="45"/>
    </row>
    <row r="8199" spans="2:4" ht="16" thickBot="1" x14ac:dyDescent="0.25">
      <c r="B8199" s="5">
        <v>8194</v>
      </c>
      <c r="C8199" s="5">
        <v>108.95786630555891</v>
      </c>
      <c r="D8199" s="45"/>
    </row>
    <row r="8200" spans="2:4" ht="16" thickBot="1" x14ac:dyDescent="0.25">
      <c r="B8200" s="4">
        <v>8195</v>
      </c>
      <c r="C8200" s="4">
        <v>69.343467250809738</v>
      </c>
      <c r="D8200" s="45"/>
    </row>
    <row r="8201" spans="2:4" ht="16" thickBot="1" x14ac:dyDescent="0.25">
      <c r="B8201" s="5">
        <v>8196</v>
      </c>
      <c r="C8201" s="5">
        <v>177.43350849523017</v>
      </c>
      <c r="D8201" s="45"/>
    </row>
    <row r="8202" spans="2:4" ht="16" thickBot="1" x14ac:dyDescent="0.25">
      <c r="B8202" s="4">
        <v>8197</v>
      </c>
      <c r="C8202" s="4">
        <v>175.09481887177193</v>
      </c>
      <c r="D8202" s="45"/>
    </row>
    <row r="8203" spans="2:4" ht="16" thickBot="1" x14ac:dyDescent="0.25">
      <c r="B8203" s="5">
        <v>8198</v>
      </c>
      <c r="C8203" s="5">
        <v>167.05694238743541</v>
      </c>
      <c r="D8203" s="45"/>
    </row>
    <row r="8204" spans="2:4" ht="16" thickBot="1" x14ac:dyDescent="0.25">
      <c r="B8204" s="4">
        <v>8199</v>
      </c>
      <c r="C8204" s="4">
        <v>189.1701908166219</v>
      </c>
      <c r="D8204" s="45"/>
    </row>
    <row r="8205" spans="2:4" ht="16" thickBot="1" x14ac:dyDescent="0.25">
      <c r="B8205" s="5">
        <v>8200</v>
      </c>
      <c r="C8205" s="5">
        <v>121.06491562416711</v>
      </c>
      <c r="D8205" s="45"/>
    </row>
    <row r="8206" spans="2:4" ht="16" thickBot="1" x14ac:dyDescent="0.25">
      <c r="B8206" s="4">
        <v>8201</v>
      </c>
      <c r="C8206" s="4">
        <v>249.91917115309857</v>
      </c>
      <c r="D8206" s="45"/>
    </row>
    <row r="8207" spans="2:4" ht="16" thickBot="1" x14ac:dyDescent="0.25">
      <c r="B8207" s="5">
        <v>8202</v>
      </c>
      <c r="C8207" s="5">
        <v>183.77250485363484</v>
      </c>
      <c r="D8207" s="45"/>
    </row>
    <row r="8208" spans="2:4" ht="16" thickBot="1" x14ac:dyDescent="0.25">
      <c r="B8208" s="4">
        <v>8203</v>
      </c>
      <c r="C8208" s="4">
        <v>256.50504765375143</v>
      </c>
      <c r="D8208" s="45"/>
    </row>
    <row r="8209" spans="2:4" ht="16" thickBot="1" x14ac:dyDescent="0.25">
      <c r="B8209" s="5">
        <v>8204</v>
      </c>
      <c r="C8209" s="5">
        <v>279.12077104845741</v>
      </c>
      <c r="D8209" s="45"/>
    </row>
    <row r="8210" spans="2:4" ht="16" thickBot="1" x14ac:dyDescent="0.25">
      <c r="B8210" s="4">
        <v>8205</v>
      </c>
      <c r="C8210" s="4">
        <v>182.74909775690318</v>
      </c>
      <c r="D8210" s="45"/>
    </row>
    <row r="8211" spans="2:4" ht="16" thickBot="1" x14ac:dyDescent="0.25">
      <c r="B8211" s="5">
        <v>8206</v>
      </c>
      <c r="C8211" s="5">
        <v>141.27072975570923</v>
      </c>
      <c r="D8211" s="45"/>
    </row>
    <row r="8212" spans="2:4" ht="16" thickBot="1" x14ac:dyDescent="0.25">
      <c r="B8212" s="4">
        <v>8207</v>
      </c>
      <c r="C8212" s="4">
        <v>145.51797301624421</v>
      </c>
      <c r="D8212" s="45"/>
    </row>
    <row r="8213" spans="2:4" ht="16" thickBot="1" x14ac:dyDescent="0.25">
      <c r="B8213" s="5">
        <v>8208</v>
      </c>
      <c r="C8213" s="5">
        <v>192.94402584952661</v>
      </c>
      <c r="D8213" s="45"/>
    </row>
    <row r="8214" spans="2:4" ht="16" thickBot="1" x14ac:dyDescent="0.25">
      <c r="B8214" s="4">
        <v>8209</v>
      </c>
      <c r="C8214" s="4">
        <v>98.627357740521177</v>
      </c>
      <c r="D8214" s="45"/>
    </row>
    <row r="8215" spans="2:4" ht="16" thickBot="1" x14ac:dyDescent="0.25">
      <c r="B8215" s="5">
        <v>8210</v>
      </c>
      <c r="C8215" s="5">
        <v>60.946746202740378</v>
      </c>
      <c r="D8215" s="45"/>
    </row>
    <row r="8216" spans="2:4" ht="16" thickBot="1" x14ac:dyDescent="0.25">
      <c r="B8216" s="4">
        <v>8211</v>
      </c>
      <c r="C8216" s="4">
        <v>121.96340110917085</v>
      </c>
      <c r="D8216" s="45"/>
    </row>
    <row r="8217" spans="2:4" ht="16" thickBot="1" x14ac:dyDescent="0.25">
      <c r="B8217" s="5">
        <v>8212</v>
      </c>
      <c r="C8217" s="5">
        <v>516.84947354977669</v>
      </c>
      <c r="D8217" s="45"/>
    </row>
    <row r="8218" spans="2:4" ht="16" thickBot="1" x14ac:dyDescent="0.25">
      <c r="B8218" s="4">
        <v>8213</v>
      </c>
      <c r="C8218" s="4">
        <v>272.77190492474631</v>
      </c>
      <c r="D8218" s="45"/>
    </row>
    <row r="8219" spans="2:4" ht="16" thickBot="1" x14ac:dyDescent="0.25">
      <c r="B8219" s="5">
        <v>8214</v>
      </c>
      <c r="C8219" s="5">
        <v>107.31265776601769</v>
      </c>
      <c r="D8219" s="45"/>
    </row>
    <row r="8220" spans="2:4" ht="16" thickBot="1" x14ac:dyDescent="0.25">
      <c r="B8220" s="4">
        <v>8215</v>
      </c>
      <c r="C8220" s="4">
        <v>174.24382223490773</v>
      </c>
      <c r="D8220" s="45"/>
    </row>
    <row r="8221" spans="2:4" ht="16" thickBot="1" x14ac:dyDescent="0.25">
      <c r="B8221" s="5">
        <v>8216</v>
      </c>
      <c r="C8221" s="5">
        <v>203.65318232378303</v>
      </c>
      <c r="D8221" s="45"/>
    </row>
    <row r="8222" spans="2:4" ht="16" thickBot="1" x14ac:dyDescent="0.25">
      <c r="B8222" s="4">
        <v>8217</v>
      </c>
      <c r="C8222" s="4">
        <v>191.4814302104632</v>
      </c>
      <c r="D8222" s="45"/>
    </row>
    <row r="8223" spans="2:4" ht="16" thickBot="1" x14ac:dyDescent="0.25">
      <c r="B8223" s="5">
        <v>8218</v>
      </c>
      <c r="C8223" s="5">
        <v>290.92313728014102</v>
      </c>
      <c r="D8223" s="45"/>
    </row>
    <row r="8224" spans="2:4" ht="16" thickBot="1" x14ac:dyDescent="0.25">
      <c r="B8224" s="4">
        <v>8219</v>
      </c>
      <c r="C8224" s="4">
        <v>140.34273258618632</v>
      </c>
      <c r="D8224" s="45"/>
    </row>
    <row r="8225" spans="2:4" ht="16" thickBot="1" x14ac:dyDescent="0.25">
      <c r="B8225" s="5">
        <v>8220</v>
      </c>
      <c r="C8225" s="5">
        <v>232.37341601590171</v>
      </c>
      <c r="D8225" s="45"/>
    </row>
    <row r="8226" spans="2:4" ht="16" thickBot="1" x14ac:dyDescent="0.25">
      <c r="B8226" s="4">
        <v>8221</v>
      </c>
      <c r="C8226" s="4">
        <v>324.65582496879671</v>
      </c>
      <c r="D8226" s="45"/>
    </row>
    <row r="8227" spans="2:4" ht="16" thickBot="1" x14ac:dyDescent="0.25">
      <c r="B8227" s="5">
        <v>8222</v>
      </c>
      <c r="C8227" s="5">
        <v>156.44627199990853</v>
      </c>
      <c r="D8227" s="45"/>
    </row>
    <row r="8228" spans="2:4" ht="16" thickBot="1" x14ac:dyDescent="0.25">
      <c r="B8228" s="4">
        <v>8223</v>
      </c>
      <c r="C8228" s="4">
        <v>184.13278718080582</v>
      </c>
      <c r="D8228" s="45"/>
    </row>
    <row r="8229" spans="2:4" ht="16" thickBot="1" x14ac:dyDescent="0.25">
      <c r="B8229" s="5">
        <v>8224</v>
      </c>
      <c r="C8229" s="5">
        <v>282.98787992885377</v>
      </c>
      <c r="D8229" s="45"/>
    </row>
    <row r="8230" spans="2:4" ht="16" thickBot="1" x14ac:dyDescent="0.25">
      <c r="B8230" s="4">
        <v>8225</v>
      </c>
      <c r="C8230" s="4">
        <v>340.02315899107566</v>
      </c>
      <c r="D8230" s="45"/>
    </row>
    <row r="8231" spans="2:4" ht="16" thickBot="1" x14ac:dyDescent="0.25">
      <c r="B8231" s="5">
        <v>8226</v>
      </c>
      <c r="C8231" s="5">
        <v>181.73217437182427</v>
      </c>
      <c r="D8231" s="45"/>
    </row>
    <row r="8232" spans="2:4" ht="16" thickBot="1" x14ac:dyDescent="0.25">
      <c r="B8232" s="4">
        <v>8227</v>
      </c>
      <c r="C8232" s="4">
        <v>210.23794304936442</v>
      </c>
      <c r="D8232" s="45"/>
    </row>
    <row r="8233" spans="2:4" ht="16" thickBot="1" x14ac:dyDescent="0.25">
      <c r="B8233" s="5">
        <v>8228</v>
      </c>
      <c r="C8233" s="5">
        <v>43.052353361678904</v>
      </c>
      <c r="D8233" s="45"/>
    </row>
    <row r="8234" spans="2:4" ht="16" thickBot="1" x14ac:dyDescent="0.25">
      <c r="B8234" s="4">
        <v>8229</v>
      </c>
      <c r="C8234" s="4">
        <v>80.872395228850664</v>
      </c>
      <c r="D8234" s="45"/>
    </row>
    <row r="8235" spans="2:4" ht="16" thickBot="1" x14ac:dyDescent="0.25">
      <c r="B8235" s="5">
        <v>8230</v>
      </c>
      <c r="C8235" s="5">
        <v>108.3245790837432</v>
      </c>
      <c r="D8235" s="45"/>
    </row>
    <row r="8236" spans="2:4" ht="16" thickBot="1" x14ac:dyDescent="0.25">
      <c r="B8236" s="4">
        <v>8231</v>
      </c>
      <c r="C8236" s="4">
        <v>144.56162652136405</v>
      </c>
      <c r="D8236" s="45"/>
    </row>
    <row r="8237" spans="2:4" ht="16" thickBot="1" x14ac:dyDescent="0.25">
      <c r="B8237" s="5">
        <v>8232</v>
      </c>
      <c r="C8237" s="5">
        <v>119.70693163146019</v>
      </c>
      <c r="D8237" s="45"/>
    </row>
    <row r="8238" spans="2:4" ht="16" thickBot="1" x14ac:dyDescent="0.25">
      <c r="B8238" s="4">
        <v>8233</v>
      </c>
      <c r="C8238" s="4">
        <v>98.474594657791116</v>
      </c>
      <c r="D8238" s="45"/>
    </row>
    <row r="8239" spans="2:4" ht="16" thickBot="1" x14ac:dyDescent="0.25">
      <c r="B8239" s="5">
        <v>8234</v>
      </c>
      <c r="C8239" s="5">
        <v>414.95627412548311</v>
      </c>
      <c r="D8239" s="45"/>
    </row>
    <row r="8240" spans="2:4" ht="16" thickBot="1" x14ac:dyDescent="0.25">
      <c r="B8240" s="4">
        <v>8235</v>
      </c>
      <c r="C8240" s="4">
        <v>155.6316204972878</v>
      </c>
      <c r="D8240" s="45"/>
    </row>
    <row r="8241" spans="2:4" ht="16" thickBot="1" x14ac:dyDescent="0.25">
      <c r="B8241" s="5">
        <v>8236</v>
      </c>
      <c r="C8241" s="5">
        <v>292.51071413907255</v>
      </c>
      <c r="D8241" s="45"/>
    </row>
    <row r="8242" spans="2:4" ht="16" thickBot="1" x14ac:dyDescent="0.25">
      <c r="B8242" s="4">
        <v>8237</v>
      </c>
      <c r="C8242" s="4">
        <v>139.6396075050497</v>
      </c>
      <c r="D8242" s="45"/>
    </row>
    <row r="8243" spans="2:4" ht="16" thickBot="1" x14ac:dyDescent="0.25">
      <c r="B8243" s="5">
        <v>8238</v>
      </c>
      <c r="C8243" s="5">
        <v>196.00647562299989</v>
      </c>
      <c r="D8243" s="45"/>
    </row>
    <row r="8244" spans="2:4" ht="16" thickBot="1" x14ac:dyDescent="0.25">
      <c r="B8244" s="4">
        <v>8239</v>
      </c>
      <c r="C8244" s="4">
        <v>76.974568236833022</v>
      </c>
      <c r="D8244" s="45"/>
    </row>
    <row r="8245" spans="2:4" ht="16" thickBot="1" x14ac:dyDescent="0.25">
      <c r="B8245" s="5">
        <v>8240</v>
      </c>
      <c r="C8245" s="5">
        <v>122.51722671999741</v>
      </c>
      <c r="D8245" s="45"/>
    </row>
    <row r="8246" spans="2:4" ht="16" thickBot="1" x14ac:dyDescent="0.25">
      <c r="B8246" s="4">
        <v>8241</v>
      </c>
      <c r="C8246" s="4">
        <v>194.96236693069986</v>
      </c>
      <c r="D8246" s="45"/>
    </row>
    <row r="8247" spans="2:4" ht="16" thickBot="1" x14ac:dyDescent="0.25">
      <c r="B8247" s="5">
        <v>8242</v>
      </c>
      <c r="C8247" s="5">
        <v>239.50246125879676</v>
      </c>
      <c r="D8247" s="45"/>
    </row>
    <row r="8248" spans="2:4" ht="16" thickBot="1" x14ac:dyDescent="0.25">
      <c r="B8248" s="4">
        <v>8243</v>
      </c>
      <c r="C8248" s="4">
        <v>110.37709220957589</v>
      </c>
      <c r="D8248" s="45"/>
    </row>
    <row r="8249" spans="2:4" ht="16" thickBot="1" x14ac:dyDescent="0.25">
      <c r="B8249" s="5">
        <v>8244</v>
      </c>
      <c r="C8249" s="5">
        <v>200.3559790628205</v>
      </c>
      <c r="D8249" s="45"/>
    </row>
    <row r="8250" spans="2:4" ht="16" thickBot="1" x14ac:dyDescent="0.25">
      <c r="B8250" s="4">
        <v>8245</v>
      </c>
      <c r="C8250" s="4">
        <v>195.1113475405912</v>
      </c>
      <c r="D8250" s="45"/>
    </row>
    <row r="8251" spans="2:4" ht="16" thickBot="1" x14ac:dyDescent="0.25">
      <c r="B8251" s="5">
        <v>8246</v>
      </c>
      <c r="C8251" s="5">
        <v>76.102684684503274</v>
      </c>
      <c r="D8251" s="45"/>
    </row>
    <row r="8252" spans="2:4" ht="16" thickBot="1" x14ac:dyDescent="0.25">
      <c r="B8252" s="4">
        <v>8247</v>
      </c>
      <c r="C8252" s="4">
        <v>242.92124411710293</v>
      </c>
      <c r="D8252" s="45"/>
    </row>
    <row r="8253" spans="2:4" ht="16" thickBot="1" x14ac:dyDescent="0.25">
      <c r="B8253" s="5">
        <v>8248</v>
      </c>
      <c r="C8253" s="5">
        <v>217.6358288708071</v>
      </c>
      <c r="D8253" s="45"/>
    </row>
    <row r="8254" spans="2:4" ht="16" thickBot="1" x14ac:dyDescent="0.25">
      <c r="B8254" s="4">
        <v>8249</v>
      </c>
      <c r="C8254" s="4">
        <v>107.10582172153336</v>
      </c>
      <c r="D8254" s="45"/>
    </row>
    <row r="8255" spans="2:4" ht="16" thickBot="1" x14ac:dyDescent="0.25">
      <c r="B8255" s="5">
        <v>8250</v>
      </c>
      <c r="C8255" s="5">
        <v>132.72781863116995</v>
      </c>
      <c r="D8255" s="45"/>
    </row>
    <row r="8256" spans="2:4" ht="16" thickBot="1" x14ac:dyDescent="0.25">
      <c r="B8256" s="4">
        <v>8251</v>
      </c>
      <c r="C8256" s="4">
        <v>157.40457090189631</v>
      </c>
      <c r="D8256" s="45"/>
    </row>
    <row r="8257" spans="2:4" ht="16" thickBot="1" x14ac:dyDescent="0.25">
      <c r="B8257" s="5">
        <v>8252</v>
      </c>
      <c r="C8257" s="5">
        <v>238.72244733303688</v>
      </c>
      <c r="D8257" s="45"/>
    </row>
    <row r="8258" spans="2:4" ht="16" thickBot="1" x14ac:dyDescent="0.25">
      <c r="B8258" s="4">
        <v>8253</v>
      </c>
      <c r="C8258" s="4">
        <v>179.22773957901708</v>
      </c>
      <c r="D8258" s="45"/>
    </row>
    <row r="8259" spans="2:4" ht="16" thickBot="1" x14ac:dyDescent="0.25">
      <c r="B8259" s="5">
        <v>8254</v>
      </c>
      <c r="C8259" s="5">
        <v>225.03342914692794</v>
      </c>
      <c r="D8259" s="45"/>
    </row>
    <row r="8260" spans="2:4" ht="16" thickBot="1" x14ac:dyDescent="0.25">
      <c r="B8260" s="4">
        <v>8255</v>
      </c>
      <c r="C8260" s="4">
        <v>144.18690563200579</v>
      </c>
      <c r="D8260" s="45"/>
    </row>
    <row r="8261" spans="2:4" ht="16" thickBot="1" x14ac:dyDescent="0.25">
      <c r="B8261" s="5">
        <v>8256</v>
      </c>
      <c r="C8261" s="5">
        <v>169.50034133388735</v>
      </c>
      <c r="D8261" s="45"/>
    </row>
    <row r="8262" spans="2:4" ht="16" thickBot="1" x14ac:dyDescent="0.25">
      <c r="B8262" s="4">
        <v>8257</v>
      </c>
      <c r="C8262" s="4">
        <v>83.441672280409819</v>
      </c>
      <c r="D8262" s="45"/>
    </row>
    <row r="8263" spans="2:4" ht="16" thickBot="1" x14ac:dyDescent="0.25">
      <c r="B8263" s="5">
        <v>8258</v>
      </c>
      <c r="C8263" s="5">
        <v>94.802338893224075</v>
      </c>
      <c r="D8263" s="45"/>
    </row>
    <row r="8264" spans="2:4" ht="16" thickBot="1" x14ac:dyDescent="0.25">
      <c r="B8264" s="4">
        <v>8259</v>
      </c>
      <c r="C8264" s="4">
        <v>152.50729665418078</v>
      </c>
      <c r="D8264" s="45"/>
    </row>
    <row r="8265" spans="2:4" ht="16" thickBot="1" x14ac:dyDescent="0.25">
      <c r="B8265" s="5">
        <v>8260</v>
      </c>
      <c r="C8265" s="5">
        <v>92.167638514966796</v>
      </c>
      <c r="D8265" s="45"/>
    </row>
    <row r="8266" spans="2:4" ht="16" thickBot="1" x14ac:dyDescent="0.25">
      <c r="B8266" s="4">
        <v>8261</v>
      </c>
      <c r="C8266" s="4">
        <v>380.39458049276857</v>
      </c>
      <c r="D8266" s="45"/>
    </row>
    <row r="8267" spans="2:4" ht="16" thickBot="1" x14ac:dyDescent="0.25">
      <c r="B8267" s="5">
        <v>8262</v>
      </c>
      <c r="C8267" s="5">
        <v>163.2265347057791</v>
      </c>
      <c r="D8267" s="45"/>
    </row>
    <row r="8268" spans="2:4" ht="16" thickBot="1" x14ac:dyDescent="0.25">
      <c r="B8268" s="4">
        <v>8263</v>
      </c>
      <c r="C8268" s="4">
        <v>139.12332106185147</v>
      </c>
      <c r="D8268" s="45"/>
    </row>
    <row r="8269" spans="2:4" ht="16" thickBot="1" x14ac:dyDescent="0.25">
      <c r="B8269" s="5">
        <v>8264</v>
      </c>
      <c r="C8269" s="5">
        <v>264.30265513838663</v>
      </c>
      <c r="D8269" s="45"/>
    </row>
    <row r="8270" spans="2:4" ht="16" thickBot="1" x14ac:dyDescent="0.25">
      <c r="B8270" s="4">
        <v>8265</v>
      </c>
      <c r="C8270" s="4">
        <v>107.48416004873215</v>
      </c>
      <c r="D8270" s="45"/>
    </row>
    <row r="8271" spans="2:4" ht="16" thickBot="1" x14ac:dyDescent="0.25">
      <c r="B8271" s="5">
        <v>8266</v>
      </c>
      <c r="C8271" s="5">
        <v>86.910960660208616</v>
      </c>
      <c r="D8271" s="45"/>
    </row>
    <row r="8272" spans="2:4" ht="16" thickBot="1" x14ac:dyDescent="0.25">
      <c r="B8272" s="4">
        <v>8267</v>
      </c>
      <c r="C8272" s="4">
        <v>149.68091055610947</v>
      </c>
      <c r="D8272" s="45"/>
    </row>
    <row r="8273" spans="2:4" ht="16" thickBot="1" x14ac:dyDescent="0.25">
      <c r="B8273" s="5">
        <v>8268</v>
      </c>
      <c r="C8273" s="5">
        <v>492.94614321188197</v>
      </c>
      <c r="D8273" s="45"/>
    </row>
    <row r="8274" spans="2:4" ht="16" thickBot="1" x14ac:dyDescent="0.25">
      <c r="B8274" s="4">
        <v>8269</v>
      </c>
      <c r="C8274" s="4">
        <v>308.38430434949959</v>
      </c>
      <c r="D8274" s="45"/>
    </row>
    <row r="8275" spans="2:4" ht="16" thickBot="1" x14ac:dyDescent="0.25">
      <c r="B8275" s="5">
        <v>8270</v>
      </c>
      <c r="C8275" s="5">
        <v>127.94034870935847</v>
      </c>
      <c r="D8275" s="45"/>
    </row>
    <row r="8276" spans="2:4" ht="16" thickBot="1" x14ac:dyDescent="0.25">
      <c r="B8276" s="4">
        <v>8271</v>
      </c>
      <c r="C8276" s="4">
        <v>83.634064854231426</v>
      </c>
      <c r="D8276" s="45"/>
    </row>
    <row r="8277" spans="2:4" ht="16" thickBot="1" x14ac:dyDescent="0.25">
      <c r="B8277" s="5">
        <v>8272</v>
      </c>
      <c r="C8277" s="5">
        <v>58.434059865781194</v>
      </c>
      <c r="D8277" s="45"/>
    </row>
    <row r="8278" spans="2:4" ht="16" thickBot="1" x14ac:dyDescent="0.25">
      <c r="B8278" s="4">
        <v>8273</v>
      </c>
      <c r="C8278" s="4">
        <v>50.176689796576639</v>
      </c>
      <c r="D8278" s="45"/>
    </row>
    <row r="8279" spans="2:4" ht="16" thickBot="1" x14ac:dyDescent="0.25">
      <c r="B8279" s="5">
        <v>8274</v>
      </c>
      <c r="C8279" s="5">
        <v>211.11030877959706</v>
      </c>
      <c r="D8279" s="45"/>
    </row>
    <row r="8280" spans="2:4" ht="16" thickBot="1" x14ac:dyDescent="0.25">
      <c r="B8280" s="4">
        <v>8275</v>
      </c>
      <c r="C8280" s="4">
        <v>84.367969797286904</v>
      </c>
      <c r="D8280" s="45"/>
    </row>
    <row r="8281" spans="2:4" ht="16" thickBot="1" x14ac:dyDescent="0.25">
      <c r="B8281" s="5">
        <v>8276</v>
      </c>
      <c r="C8281" s="5">
        <v>278.21646336353882</v>
      </c>
      <c r="D8281" s="45"/>
    </row>
    <row r="8282" spans="2:4" ht="16" thickBot="1" x14ac:dyDescent="0.25">
      <c r="B8282" s="4">
        <v>8277</v>
      </c>
      <c r="C8282" s="4">
        <v>147.56404512416654</v>
      </c>
      <c r="D8282" s="45"/>
    </row>
    <row r="8283" spans="2:4" ht="16" thickBot="1" x14ac:dyDescent="0.25">
      <c r="B8283" s="5">
        <v>8278</v>
      </c>
      <c r="C8283" s="5">
        <v>62.203609016085132</v>
      </c>
      <c r="D8283" s="45"/>
    </row>
    <row r="8284" spans="2:4" ht="16" thickBot="1" x14ac:dyDescent="0.25">
      <c r="B8284" s="4">
        <v>8279</v>
      </c>
      <c r="C8284" s="4">
        <v>60.723691627098269</v>
      </c>
      <c r="D8284" s="45"/>
    </row>
    <row r="8285" spans="2:4" ht="16" thickBot="1" x14ac:dyDescent="0.25">
      <c r="B8285" s="5">
        <v>8280</v>
      </c>
      <c r="C8285" s="5">
        <v>132.02462700757866</v>
      </c>
      <c r="D8285" s="45"/>
    </row>
    <row r="8286" spans="2:4" ht="16" thickBot="1" x14ac:dyDescent="0.25">
      <c r="B8286" s="4">
        <v>8281</v>
      </c>
      <c r="C8286" s="4">
        <v>135.59543698017441</v>
      </c>
      <c r="D8286" s="45"/>
    </row>
    <row r="8287" spans="2:4" ht="16" thickBot="1" x14ac:dyDescent="0.25">
      <c r="B8287" s="5">
        <v>8282</v>
      </c>
      <c r="C8287" s="5">
        <v>261.64872499115194</v>
      </c>
      <c r="D8287" s="45"/>
    </row>
    <row r="8288" spans="2:4" ht="16" thickBot="1" x14ac:dyDescent="0.25">
      <c r="B8288" s="4">
        <v>8283</v>
      </c>
      <c r="C8288" s="4">
        <v>195.08613183573041</v>
      </c>
      <c r="D8288" s="45"/>
    </row>
    <row r="8289" spans="2:4" ht="16" thickBot="1" x14ac:dyDescent="0.25">
      <c r="B8289" s="5">
        <v>8284</v>
      </c>
      <c r="C8289" s="5">
        <v>179.14724811799124</v>
      </c>
      <c r="D8289" s="45"/>
    </row>
    <row r="8290" spans="2:4" ht="16" thickBot="1" x14ac:dyDescent="0.25">
      <c r="B8290" s="4">
        <v>8285</v>
      </c>
      <c r="C8290" s="4">
        <v>60.860279494007472</v>
      </c>
      <c r="D8290" s="45"/>
    </row>
    <row r="8291" spans="2:4" ht="16" thickBot="1" x14ac:dyDescent="0.25">
      <c r="B8291" s="5">
        <v>8286</v>
      </c>
      <c r="C8291" s="5">
        <v>225.79974253632113</v>
      </c>
      <c r="D8291" s="45"/>
    </row>
    <row r="8292" spans="2:4" ht="16" thickBot="1" x14ac:dyDescent="0.25">
      <c r="B8292" s="4">
        <v>8287</v>
      </c>
      <c r="C8292" s="4">
        <v>91.739058751697897</v>
      </c>
      <c r="D8292" s="45"/>
    </row>
    <row r="8293" spans="2:4" ht="16" thickBot="1" x14ac:dyDescent="0.25">
      <c r="B8293" s="5">
        <v>8288</v>
      </c>
      <c r="C8293" s="5">
        <v>140.55970400672103</v>
      </c>
      <c r="D8293" s="45"/>
    </row>
    <row r="8294" spans="2:4" ht="16" thickBot="1" x14ac:dyDescent="0.25">
      <c r="B8294" s="4">
        <v>8289</v>
      </c>
      <c r="C8294" s="4">
        <v>191.18869357166648</v>
      </c>
      <c r="D8294" s="45"/>
    </row>
    <row r="8295" spans="2:4" ht="16" thickBot="1" x14ac:dyDescent="0.25">
      <c r="B8295" s="5">
        <v>8290</v>
      </c>
      <c r="C8295" s="5">
        <v>168.21074749257363</v>
      </c>
      <c r="D8295" s="45"/>
    </row>
    <row r="8296" spans="2:4" ht="16" thickBot="1" x14ac:dyDescent="0.25">
      <c r="B8296" s="4">
        <v>8291</v>
      </c>
      <c r="C8296" s="4">
        <v>107.87122647008852</v>
      </c>
      <c r="D8296" s="45"/>
    </row>
    <row r="8297" spans="2:4" ht="16" thickBot="1" x14ac:dyDescent="0.25">
      <c r="B8297" s="5">
        <v>8292</v>
      </c>
      <c r="C8297" s="5">
        <v>126.31967560439735</v>
      </c>
      <c r="D8297" s="45"/>
    </row>
    <row r="8298" spans="2:4" ht="16" thickBot="1" x14ac:dyDescent="0.25">
      <c r="B8298" s="4">
        <v>8293</v>
      </c>
      <c r="C8298" s="4">
        <v>167.46427846856469</v>
      </c>
      <c r="D8298" s="45"/>
    </row>
    <row r="8299" spans="2:4" ht="16" thickBot="1" x14ac:dyDescent="0.25">
      <c r="B8299" s="5">
        <v>8294</v>
      </c>
      <c r="C8299" s="5">
        <v>225.99992040440972</v>
      </c>
      <c r="D8299" s="45"/>
    </row>
    <row r="8300" spans="2:4" ht="16" thickBot="1" x14ac:dyDescent="0.25">
      <c r="B8300" s="4">
        <v>8295</v>
      </c>
      <c r="C8300" s="4">
        <v>168.93818952554503</v>
      </c>
      <c r="D8300" s="45"/>
    </row>
    <row r="8301" spans="2:4" ht="16" thickBot="1" x14ac:dyDescent="0.25">
      <c r="B8301" s="5">
        <v>8296</v>
      </c>
      <c r="C8301" s="5">
        <v>134.10174473504733</v>
      </c>
      <c r="D8301" s="45"/>
    </row>
    <row r="8302" spans="2:4" ht="16" thickBot="1" x14ac:dyDescent="0.25">
      <c r="B8302" s="4">
        <v>8297</v>
      </c>
      <c r="C8302" s="4">
        <v>203.45403198864275</v>
      </c>
      <c r="D8302" s="45"/>
    </row>
    <row r="8303" spans="2:4" ht="16" thickBot="1" x14ac:dyDescent="0.25">
      <c r="B8303" s="5">
        <v>8298</v>
      </c>
      <c r="C8303" s="5">
        <v>427.77458776168748</v>
      </c>
      <c r="D8303" s="45"/>
    </row>
    <row r="8304" spans="2:4" ht="16" thickBot="1" x14ac:dyDescent="0.25">
      <c r="B8304" s="4">
        <v>8299</v>
      </c>
      <c r="C8304" s="4">
        <v>84.415566151420776</v>
      </c>
      <c r="D8304" s="45"/>
    </row>
    <row r="8305" spans="2:4" ht="16" thickBot="1" x14ac:dyDescent="0.25">
      <c r="B8305" s="5">
        <v>8300</v>
      </c>
      <c r="C8305" s="5">
        <v>248.87835820979609</v>
      </c>
      <c r="D8305" s="45"/>
    </row>
    <row r="8306" spans="2:4" ht="16" thickBot="1" x14ac:dyDescent="0.25">
      <c r="B8306" s="4">
        <v>8301</v>
      </c>
      <c r="C8306" s="4">
        <v>145.31445128465523</v>
      </c>
      <c r="D8306" s="45"/>
    </row>
    <row r="8307" spans="2:4" ht="16" thickBot="1" x14ac:dyDescent="0.25">
      <c r="B8307" s="5">
        <v>8302</v>
      </c>
      <c r="C8307" s="5">
        <v>80.877296095285473</v>
      </c>
      <c r="D8307" s="45"/>
    </row>
    <row r="8308" spans="2:4" ht="16" thickBot="1" x14ac:dyDescent="0.25">
      <c r="B8308" s="4">
        <v>8303</v>
      </c>
      <c r="C8308" s="4">
        <v>140.87716104358861</v>
      </c>
      <c r="D8308" s="45"/>
    </row>
    <row r="8309" spans="2:4" ht="16" thickBot="1" x14ac:dyDescent="0.25">
      <c r="B8309" s="5">
        <v>8304</v>
      </c>
      <c r="C8309" s="5">
        <v>156.05250625562354</v>
      </c>
      <c r="D8309" s="45"/>
    </row>
    <row r="8310" spans="2:4" ht="16" thickBot="1" x14ac:dyDescent="0.25">
      <c r="B8310" s="4">
        <v>8305</v>
      </c>
      <c r="C8310" s="4">
        <v>213.0036592362037</v>
      </c>
      <c r="D8310" s="45"/>
    </row>
    <row r="8311" spans="2:4" ht="16" thickBot="1" x14ac:dyDescent="0.25">
      <c r="B8311" s="5">
        <v>8306</v>
      </c>
      <c r="C8311" s="5">
        <v>148.27435400695637</v>
      </c>
      <c r="D8311" s="45"/>
    </row>
    <row r="8312" spans="2:4" ht="16" thickBot="1" x14ac:dyDescent="0.25">
      <c r="B8312" s="4">
        <v>8307</v>
      </c>
      <c r="C8312" s="4">
        <v>121.73071704521192</v>
      </c>
      <c r="D8312" s="45"/>
    </row>
    <row r="8313" spans="2:4" ht="16" thickBot="1" x14ac:dyDescent="0.25">
      <c r="B8313" s="5">
        <v>8308</v>
      </c>
      <c r="C8313" s="5">
        <v>125.0257639528112</v>
      </c>
      <c r="D8313" s="45"/>
    </row>
    <row r="8314" spans="2:4" ht="16" thickBot="1" x14ac:dyDescent="0.25">
      <c r="B8314" s="4">
        <v>8309</v>
      </c>
      <c r="C8314" s="4">
        <v>221.65185375282235</v>
      </c>
      <c r="D8314" s="45"/>
    </row>
    <row r="8315" spans="2:4" ht="16" thickBot="1" x14ac:dyDescent="0.25">
      <c r="B8315" s="5">
        <v>8310</v>
      </c>
      <c r="C8315" s="5">
        <v>417.7351718019064</v>
      </c>
      <c r="D8315" s="45"/>
    </row>
    <row r="8316" spans="2:4" ht="16" thickBot="1" x14ac:dyDescent="0.25">
      <c r="B8316" s="4">
        <v>8311</v>
      </c>
      <c r="C8316" s="4">
        <v>178.06251835762646</v>
      </c>
      <c r="D8316" s="45"/>
    </row>
    <row r="8317" spans="2:4" ht="16" thickBot="1" x14ac:dyDescent="0.25">
      <c r="B8317" s="5">
        <v>8312</v>
      </c>
      <c r="C8317" s="5">
        <v>146.70722731235603</v>
      </c>
      <c r="D8317" s="45"/>
    </row>
    <row r="8318" spans="2:4" ht="16" thickBot="1" x14ac:dyDescent="0.25">
      <c r="B8318" s="4">
        <v>8313</v>
      </c>
      <c r="C8318" s="4">
        <v>39.215321247964198</v>
      </c>
      <c r="D8318" s="45"/>
    </row>
    <row r="8319" spans="2:4" ht="16" thickBot="1" x14ac:dyDescent="0.25">
      <c r="B8319" s="5">
        <v>8314</v>
      </c>
      <c r="C8319" s="5">
        <v>274.8232590758837</v>
      </c>
      <c r="D8319" s="45"/>
    </row>
    <row r="8320" spans="2:4" ht="16" thickBot="1" x14ac:dyDescent="0.25">
      <c r="B8320" s="4">
        <v>8315</v>
      </c>
      <c r="C8320" s="4">
        <v>120.78091161125562</v>
      </c>
      <c r="D8320" s="45"/>
    </row>
    <row r="8321" spans="2:4" ht="16" thickBot="1" x14ac:dyDescent="0.25">
      <c r="B8321" s="5">
        <v>8316</v>
      </c>
      <c r="C8321" s="5">
        <v>98.857385826605096</v>
      </c>
      <c r="D8321" s="45"/>
    </row>
    <row r="8322" spans="2:4" ht="16" thickBot="1" x14ac:dyDescent="0.25">
      <c r="B8322" s="4">
        <v>8317</v>
      </c>
      <c r="C8322" s="4">
        <v>132.7588005074299</v>
      </c>
      <c r="D8322" s="45"/>
    </row>
    <row r="8323" spans="2:4" ht="16" thickBot="1" x14ac:dyDescent="0.25">
      <c r="B8323" s="5">
        <v>8318</v>
      </c>
      <c r="C8323" s="5">
        <v>165.24868840219884</v>
      </c>
      <c r="D8323" s="45"/>
    </row>
    <row r="8324" spans="2:4" ht="16" thickBot="1" x14ac:dyDescent="0.25">
      <c r="B8324" s="4">
        <v>8319</v>
      </c>
      <c r="C8324" s="4">
        <v>308.28732247704443</v>
      </c>
      <c r="D8324" s="45"/>
    </row>
    <row r="8325" spans="2:4" ht="16" thickBot="1" x14ac:dyDescent="0.25">
      <c r="B8325" s="5">
        <v>8320</v>
      </c>
      <c r="C8325" s="5">
        <v>181.67949094570557</v>
      </c>
      <c r="D8325" s="45"/>
    </row>
    <row r="8326" spans="2:4" ht="16" thickBot="1" x14ac:dyDescent="0.25">
      <c r="B8326" s="4">
        <v>8321</v>
      </c>
      <c r="C8326" s="4">
        <v>72.472751401332758</v>
      </c>
      <c r="D8326" s="45"/>
    </row>
    <row r="8327" spans="2:4" ht="16" thickBot="1" x14ac:dyDescent="0.25">
      <c r="B8327" s="5">
        <v>8322</v>
      </c>
      <c r="C8327" s="5">
        <v>246.32837126215418</v>
      </c>
      <c r="D8327" s="45"/>
    </row>
    <row r="8328" spans="2:4" ht="16" thickBot="1" x14ac:dyDescent="0.25">
      <c r="B8328" s="4">
        <v>8323</v>
      </c>
      <c r="C8328" s="4">
        <v>190.91651465908998</v>
      </c>
      <c r="D8328" s="45"/>
    </row>
    <row r="8329" spans="2:4" ht="16" thickBot="1" x14ac:dyDescent="0.25">
      <c r="B8329" s="5">
        <v>8324</v>
      </c>
      <c r="C8329" s="5">
        <v>65.978910434368046</v>
      </c>
      <c r="D8329" s="45"/>
    </row>
    <row r="8330" spans="2:4" ht="16" thickBot="1" x14ac:dyDescent="0.25">
      <c r="B8330" s="4">
        <v>8325</v>
      </c>
      <c r="C8330" s="4">
        <v>110.88312039513249</v>
      </c>
      <c r="D8330" s="45"/>
    </row>
    <row r="8331" spans="2:4" ht="16" thickBot="1" x14ac:dyDescent="0.25">
      <c r="B8331" s="5">
        <v>8326</v>
      </c>
      <c r="C8331" s="5">
        <v>153.28416028059831</v>
      </c>
      <c r="D8331" s="45"/>
    </row>
    <row r="8332" spans="2:4" ht="16" thickBot="1" x14ac:dyDescent="0.25">
      <c r="B8332" s="4">
        <v>8327</v>
      </c>
      <c r="C8332" s="4">
        <v>89.93194468206012</v>
      </c>
      <c r="D8332" s="45"/>
    </row>
    <row r="8333" spans="2:4" ht="16" thickBot="1" x14ac:dyDescent="0.25">
      <c r="B8333" s="5">
        <v>8328</v>
      </c>
      <c r="C8333" s="5">
        <v>107.50686037044606</v>
      </c>
      <c r="D8333" s="45"/>
    </row>
    <row r="8334" spans="2:4" ht="16" thickBot="1" x14ac:dyDescent="0.25">
      <c r="B8334" s="4">
        <v>8329</v>
      </c>
      <c r="C8334" s="4">
        <v>170.93647004894444</v>
      </c>
      <c r="D8334" s="45"/>
    </row>
    <row r="8335" spans="2:4" ht="16" thickBot="1" x14ac:dyDescent="0.25">
      <c r="B8335" s="5">
        <v>8330</v>
      </c>
      <c r="C8335" s="5">
        <v>135.72611280957258</v>
      </c>
      <c r="D8335" s="45"/>
    </row>
    <row r="8336" spans="2:4" ht="16" thickBot="1" x14ac:dyDescent="0.25">
      <c r="B8336" s="4">
        <v>8331</v>
      </c>
      <c r="C8336" s="4">
        <v>74.684577297308721</v>
      </c>
      <c r="D8336" s="45"/>
    </row>
    <row r="8337" spans="2:4" ht="16" thickBot="1" x14ac:dyDescent="0.25">
      <c r="B8337" s="5">
        <v>8332</v>
      </c>
      <c r="C8337" s="5">
        <v>112.35612715500442</v>
      </c>
      <c r="D8337" s="45"/>
    </row>
    <row r="8338" spans="2:4" ht="16" thickBot="1" x14ac:dyDescent="0.25">
      <c r="B8338" s="4">
        <v>8333</v>
      </c>
      <c r="C8338" s="4">
        <v>79.402979947722955</v>
      </c>
      <c r="D8338" s="45"/>
    </row>
    <row r="8339" spans="2:4" ht="16" thickBot="1" x14ac:dyDescent="0.25">
      <c r="B8339" s="5">
        <v>8334</v>
      </c>
      <c r="C8339" s="5">
        <v>306.87025263249006</v>
      </c>
      <c r="D8339" s="45"/>
    </row>
    <row r="8340" spans="2:4" ht="16" thickBot="1" x14ac:dyDescent="0.25">
      <c r="B8340" s="4">
        <v>8335</v>
      </c>
      <c r="C8340" s="4">
        <v>147.72880281883286</v>
      </c>
      <c r="D8340" s="45"/>
    </row>
    <row r="8341" spans="2:4" ht="16" thickBot="1" x14ac:dyDescent="0.25">
      <c r="B8341" s="5">
        <v>8336</v>
      </c>
      <c r="C8341" s="5">
        <v>67.709900012593891</v>
      </c>
      <c r="D8341" s="45"/>
    </row>
    <row r="8342" spans="2:4" ht="16" thickBot="1" x14ac:dyDescent="0.25">
      <c r="B8342" s="4">
        <v>8337</v>
      </c>
      <c r="C8342" s="4">
        <v>270.03287430264436</v>
      </c>
      <c r="D8342" s="45"/>
    </row>
    <row r="8343" spans="2:4" ht="16" thickBot="1" x14ac:dyDescent="0.25">
      <c r="B8343" s="5">
        <v>8338</v>
      </c>
      <c r="C8343" s="5">
        <v>342.44533849975483</v>
      </c>
      <c r="D8343" s="45"/>
    </row>
    <row r="8344" spans="2:4" ht="16" thickBot="1" x14ac:dyDescent="0.25">
      <c r="B8344" s="4">
        <v>8339</v>
      </c>
      <c r="C8344" s="4">
        <v>120.32582647683768</v>
      </c>
      <c r="D8344" s="45"/>
    </row>
    <row r="8345" spans="2:4" ht="16" thickBot="1" x14ac:dyDescent="0.25">
      <c r="B8345" s="5">
        <v>8340</v>
      </c>
      <c r="C8345" s="5">
        <v>386.02668418600615</v>
      </c>
      <c r="D8345" s="45"/>
    </row>
    <row r="8346" spans="2:4" ht="16" thickBot="1" x14ac:dyDescent="0.25">
      <c r="B8346" s="4">
        <v>8341</v>
      </c>
      <c r="C8346" s="4">
        <v>156.35255398664196</v>
      </c>
      <c r="D8346" s="45"/>
    </row>
    <row r="8347" spans="2:4" ht="16" thickBot="1" x14ac:dyDescent="0.25">
      <c r="B8347" s="5">
        <v>8342</v>
      </c>
      <c r="C8347" s="5">
        <v>178.37146993948895</v>
      </c>
      <c r="D8347" s="45"/>
    </row>
    <row r="8348" spans="2:4" ht="16" thickBot="1" x14ac:dyDescent="0.25">
      <c r="B8348" s="4">
        <v>8343</v>
      </c>
      <c r="C8348" s="4">
        <v>297.51544067982604</v>
      </c>
      <c r="D8348" s="45"/>
    </row>
    <row r="8349" spans="2:4" ht="16" thickBot="1" x14ac:dyDescent="0.25">
      <c r="B8349" s="5">
        <v>8344</v>
      </c>
      <c r="C8349" s="5">
        <v>240.72470484002827</v>
      </c>
      <c r="D8349" s="45"/>
    </row>
    <row r="8350" spans="2:4" ht="16" thickBot="1" x14ac:dyDescent="0.25">
      <c r="B8350" s="4">
        <v>8345</v>
      </c>
      <c r="C8350" s="4">
        <v>149.67913726660348</v>
      </c>
      <c r="D8350" s="45"/>
    </row>
    <row r="8351" spans="2:4" ht="16" thickBot="1" x14ac:dyDescent="0.25">
      <c r="B8351" s="5">
        <v>8346</v>
      </c>
      <c r="C8351" s="5">
        <v>98.938523729225466</v>
      </c>
      <c r="D8351" s="45"/>
    </row>
    <row r="8352" spans="2:4" ht="16" thickBot="1" x14ac:dyDescent="0.25">
      <c r="B8352" s="4">
        <v>8347</v>
      </c>
      <c r="C8352" s="4">
        <v>161.04804054224749</v>
      </c>
      <c r="D8352" s="45"/>
    </row>
    <row r="8353" spans="2:4" ht="16" thickBot="1" x14ac:dyDescent="0.25">
      <c r="B8353" s="5">
        <v>8348</v>
      </c>
      <c r="C8353" s="5">
        <v>207.47470041332289</v>
      </c>
      <c r="D8353" s="45"/>
    </row>
    <row r="8354" spans="2:4" ht="16" thickBot="1" x14ac:dyDescent="0.25">
      <c r="B8354" s="4">
        <v>8349</v>
      </c>
      <c r="C8354" s="4">
        <v>221.90826230900541</v>
      </c>
      <c r="D8354" s="45"/>
    </row>
    <row r="8355" spans="2:4" ht="16" thickBot="1" x14ac:dyDescent="0.25">
      <c r="B8355" s="5">
        <v>8350</v>
      </c>
      <c r="C8355" s="5">
        <v>227.96760223436939</v>
      </c>
      <c r="D8355" s="45"/>
    </row>
    <row r="8356" spans="2:4" ht="16" thickBot="1" x14ac:dyDescent="0.25">
      <c r="B8356" s="4">
        <v>8351</v>
      </c>
      <c r="C8356" s="4">
        <v>138.85980702250802</v>
      </c>
      <c r="D8356" s="45"/>
    </row>
    <row r="8357" spans="2:4" ht="16" thickBot="1" x14ac:dyDescent="0.25">
      <c r="B8357" s="5">
        <v>8352</v>
      </c>
      <c r="C8357" s="5">
        <v>64.621829014745089</v>
      </c>
      <c r="D8357" s="45"/>
    </row>
    <row r="8358" spans="2:4" ht="16" thickBot="1" x14ac:dyDescent="0.25">
      <c r="B8358" s="4">
        <v>8353</v>
      </c>
      <c r="C8358" s="4">
        <v>98.058043760365493</v>
      </c>
      <c r="D8358" s="45"/>
    </row>
    <row r="8359" spans="2:4" ht="16" thickBot="1" x14ac:dyDescent="0.25">
      <c r="B8359" s="5">
        <v>8354</v>
      </c>
      <c r="C8359" s="5">
        <v>120.03292327239596</v>
      </c>
      <c r="D8359" s="45"/>
    </row>
    <row r="8360" spans="2:4" ht="16" thickBot="1" x14ac:dyDescent="0.25">
      <c r="B8360" s="4">
        <v>8355</v>
      </c>
      <c r="C8360" s="4">
        <v>70.578704138800461</v>
      </c>
      <c r="D8360" s="45"/>
    </row>
    <row r="8361" spans="2:4" ht="16" thickBot="1" x14ac:dyDescent="0.25">
      <c r="B8361" s="5">
        <v>8356</v>
      </c>
      <c r="C8361" s="5">
        <v>195.10875248818968</v>
      </c>
      <c r="D8361" s="45"/>
    </row>
    <row r="8362" spans="2:4" ht="16" thickBot="1" x14ac:dyDescent="0.25">
      <c r="B8362" s="4">
        <v>8357</v>
      </c>
      <c r="C8362" s="4">
        <v>133.15778274366991</v>
      </c>
      <c r="D8362" s="45"/>
    </row>
    <row r="8363" spans="2:4" ht="16" thickBot="1" x14ac:dyDescent="0.25">
      <c r="B8363" s="5">
        <v>8358</v>
      </c>
      <c r="C8363" s="5">
        <v>59.661962673934276</v>
      </c>
      <c r="D8363" s="45"/>
    </row>
    <row r="8364" spans="2:4" ht="16" thickBot="1" x14ac:dyDescent="0.25">
      <c r="B8364" s="4">
        <v>8359</v>
      </c>
      <c r="C8364" s="4">
        <v>54.10451138020909</v>
      </c>
      <c r="D8364" s="45"/>
    </row>
    <row r="8365" spans="2:4" ht="16" thickBot="1" x14ac:dyDescent="0.25">
      <c r="B8365" s="5">
        <v>8360</v>
      </c>
      <c r="C8365" s="5">
        <v>112.16742367478716</v>
      </c>
      <c r="D8365" s="45"/>
    </row>
    <row r="8366" spans="2:4" ht="16" thickBot="1" x14ac:dyDescent="0.25">
      <c r="B8366" s="4">
        <v>8361</v>
      </c>
      <c r="C8366" s="4">
        <v>241.45510853216834</v>
      </c>
      <c r="D8366" s="45"/>
    </row>
    <row r="8367" spans="2:4" ht="16" thickBot="1" x14ac:dyDescent="0.25">
      <c r="B8367" s="5">
        <v>8362</v>
      </c>
      <c r="C8367" s="5">
        <v>130.29594657648892</v>
      </c>
      <c r="D8367" s="45"/>
    </row>
    <row r="8368" spans="2:4" ht="16" thickBot="1" x14ac:dyDescent="0.25">
      <c r="B8368" s="4">
        <v>8363</v>
      </c>
      <c r="C8368" s="4">
        <v>134.60257878965416</v>
      </c>
      <c r="D8368" s="45"/>
    </row>
    <row r="8369" spans="2:4" ht="16" thickBot="1" x14ac:dyDescent="0.25">
      <c r="B8369" s="5">
        <v>8364</v>
      </c>
      <c r="C8369" s="5">
        <v>246.36004270567133</v>
      </c>
      <c r="D8369" s="45"/>
    </row>
    <row r="8370" spans="2:4" ht="16" thickBot="1" x14ac:dyDescent="0.25">
      <c r="B8370" s="4">
        <v>8365</v>
      </c>
      <c r="C8370" s="4">
        <v>137.5625736572384</v>
      </c>
      <c r="D8370" s="45"/>
    </row>
    <row r="8371" spans="2:4" ht="16" thickBot="1" x14ac:dyDescent="0.25">
      <c r="B8371" s="5">
        <v>8366</v>
      </c>
      <c r="C8371" s="5">
        <v>90.048813554110865</v>
      </c>
      <c r="D8371" s="45"/>
    </row>
    <row r="8372" spans="2:4" ht="16" thickBot="1" x14ac:dyDescent="0.25">
      <c r="B8372" s="4">
        <v>8367</v>
      </c>
      <c r="C8372" s="4">
        <v>85.558242667357121</v>
      </c>
      <c r="D8372" s="45"/>
    </row>
    <row r="8373" spans="2:4" ht="16" thickBot="1" x14ac:dyDescent="0.25">
      <c r="B8373" s="5">
        <v>8368</v>
      </c>
      <c r="C8373" s="5">
        <v>199.8327976013432</v>
      </c>
      <c r="D8373" s="45"/>
    </row>
    <row r="8374" spans="2:4" ht="16" thickBot="1" x14ac:dyDescent="0.25">
      <c r="B8374" s="4">
        <v>8369</v>
      </c>
      <c r="C8374" s="4">
        <v>132.45385372860238</v>
      </c>
      <c r="D8374" s="45"/>
    </row>
    <row r="8375" spans="2:4" ht="16" thickBot="1" x14ac:dyDescent="0.25">
      <c r="B8375" s="5">
        <v>8370</v>
      </c>
      <c r="C8375" s="5">
        <v>250.99110486282012</v>
      </c>
      <c r="D8375" s="45"/>
    </row>
    <row r="8376" spans="2:4" ht="16" thickBot="1" x14ac:dyDescent="0.25">
      <c r="B8376" s="4">
        <v>8371</v>
      </c>
      <c r="C8376" s="4">
        <v>94.791440757862929</v>
      </c>
      <c r="D8376" s="45"/>
    </row>
    <row r="8377" spans="2:4" ht="16" thickBot="1" x14ac:dyDescent="0.25">
      <c r="B8377" s="5">
        <v>8372</v>
      </c>
      <c r="C8377" s="5">
        <v>136.93076705804236</v>
      </c>
      <c r="D8377" s="45"/>
    </row>
    <row r="8378" spans="2:4" ht="16" thickBot="1" x14ac:dyDescent="0.25">
      <c r="B8378" s="4">
        <v>8373</v>
      </c>
      <c r="C8378" s="4">
        <v>184.39934251416796</v>
      </c>
      <c r="D8378" s="45"/>
    </row>
    <row r="8379" spans="2:4" ht="16" thickBot="1" x14ac:dyDescent="0.25">
      <c r="B8379" s="5">
        <v>8374</v>
      </c>
      <c r="C8379" s="5">
        <v>174.03351649893534</v>
      </c>
      <c r="D8379" s="45"/>
    </row>
    <row r="8380" spans="2:4" ht="16" thickBot="1" x14ac:dyDescent="0.25">
      <c r="B8380" s="4">
        <v>8375</v>
      </c>
      <c r="C8380" s="4">
        <v>95.285290074357945</v>
      </c>
      <c r="D8380" s="45"/>
    </row>
    <row r="8381" spans="2:4" ht="16" thickBot="1" x14ac:dyDescent="0.25">
      <c r="B8381" s="5">
        <v>8376</v>
      </c>
      <c r="C8381" s="5">
        <v>179.96491726140661</v>
      </c>
      <c r="D8381" s="45"/>
    </row>
    <row r="8382" spans="2:4" ht="16" thickBot="1" x14ac:dyDescent="0.25">
      <c r="B8382" s="4">
        <v>8377</v>
      </c>
      <c r="C8382" s="4">
        <v>286.37961623914669</v>
      </c>
      <c r="D8382" s="45"/>
    </row>
    <row r="8383" spans="2:4" ht="16" thickBot="1" x14ac:dyDescent="0.25">
      <c r="B8383" s="5">
        <v>8378</v>
      </c>
      <c r="C8383" s="5">
        <v>135.62764494143769</v>
      </c>
      <c r="D8383" s="45"/>
    </row>
    <row r="8384" spans="2:4" ht="16" thickBot="1" x14ac:dyDescent="0.25">
      <c r="B8384" s="4">
        <v>8379</v>
      </c>
      <c r="C8384" s="4">
        <v>125.79672961654363</v>
      </c>
      <c r="D8384" s="45"/>
    </row>
    <row r="8385" spans="2:4" ht="16" thickBot="1" x14ac:dyDescent="0.25">
      <c r="B8385" s="5">
        <v>8380</v>
      </c>
      <c r="C8385" s="5">
        <v>48.96956057961296</v>
      </c>
      <c r="D8385" s="45"/>
    </row>
    <row r="8386" spans="2:4" ht="16" thickBot="1" x14ac:dyDescent="0.25">
      <c r="B8386" s="4">
        <v>8381</v>
      </c>
      <c r="C8386" s="4">
        <v>83.08676875157299</v>
      </c>
      <c r="D8386" s="45"/>
    </row>
    <row r="8387" spans="2:4" ht="16" thickBot="1" x14ac:dyDescent="0.25">
      <c r="B8387" s="5">
        <v>8382</v>
      </c>
      <c r="C8387" s="5">
        <v>304.55627154689176</v>
      </c>
      <c r="D8387" s="45"/>
    </row>
    <row r="8388" spans="2:4" ht="16" thickBot="1" x14ac:dyDescent="0.25">
      <c r="B8388" s="4">
        <v>8383</v>
      </c>
      <c r="C8388" s="4">
        <v>159.71745015229754</v>
      </c>
      <c r="D8388" s="45"/>
    </row>
    <row r="8389" spans="2:4" ht="16" thickBot="1" x14ac:dyDescent="0.25">
      <c r="B8389" s="5">
        <v>8384</v>
      </c>
      <c r="C8389" s="5">
        <v>258.74980914438584</v>
      </c>
      <c r="D8389" s="45"/>
    </row>
    <row r="8390" spans="2:4" ht="16" thickBot="1" x14ac:dyDescent="0.25">
      <c r="B8390" s="4">
        <v>8385</v>
      </c>
      <c r="C8390" s="4">
        <v>503.31117561437111</v>
      </c>
      <c r="D8390" s="45"/>
    </row>
    <row r="8391" spans="2:4" ht="16" thickBot="1" x14ac:dyDescent="0.25">
      <c r="B8391" s="5">
        <v>8386</v>
      </c>
      <c r="C8391" s="5">
        <v>93.863033425914224</v>
      </c>
      <c r="D8391" s="45"/>
    </row>
    <row r="8392" spans="2:4" ht="16" thickBot="1" x14ac:dyDescent="0.25">
      <c r="B8392" s="4">
        <v>8387</v>
      </c>
      <c r="C8392" s="4">
        <v>73.378698458060967</v>
      </c>
      <c r="D8392" s="45"/>
    </row>
    <row r="8393" spans="2:4" ht="16" thickBot="1" x14ac:dyDescent="0.25">
      <c r="B8393" s="5">
        <v>8388</v>
      </c>
      <c r="C8393" s="5">
        <v>184.36059227363404</v>
      </c>
      <c r="D8393" s="45"/>
    </row>
    <row r="8394" spans="2:4" ht="16" thickBot="1" x14ac:dyDescent="0.25">
      <c r="B8394" s="4">
        <v>8389</v>
      </c>
      <c r="C8394" s="4">
        <v>199.89039806924507</v>
      </c>
      <c r="D8394" s="45"/>
    </row>
    <row r="8395" spans="2:4" ht="16" thickBot="1" x14ac:dyDescent="0.25">
      <c r="B8395" s="5">
        <v>8390</v>
      </c>
      <c r="C8395" s="5">
        <v>321.72811404671955</v>
      </c>
      <c r="D8395" s="45"/>
    </row>
    <row r="8396" spans="2:4" ht="16" thickBot="1" x14ac:dyDescent="0.25">
      <c r="B8396" s="4">
        <v>8391</v>
      </c>
      <c r="C8396" s="4">
        <v>101.98462283381203</v>
      </c>
      <c r="D8396" s="45"/>
    </row>
    <row r="8397" spans="2:4" ht="16" thickBot="1" x14ac:dyDescent="0.25">
      <c r="B8397" s="5">
        <v>8392</v>
      </c>
      <c r="C8397" s="5">
        <v>134.76223804182965</v>
      </c>
      <c r="D8397" s="45"/>
    </row>
    <row r="8398" spans="2:4" ht="16" thickBot="1" x14ac:dyDescent="0.25">
      <c r="B8398" s="4">
        <v>8393</v>
      </c>
      <c r="C8398" s="4">
        <v>112.14231219968201</v>
      </c>
      <c r="D8398" s="45"/>
    </row>
    <row r="8399" spans="2:4" ht="16" thickBot="1" x14ac:dyDescent="0.25">
      <c r="B8399" s="5">
        <v>8394</v>
      </c>
      <c r="C8399" s="5">
        <v>135.0468283909845</v>
      </c>
      <c r="D8399" s="45"/>
    </row>
    <row r="8400" spans="2:4" ht="16" thickBot="1" x14ac:dyDescent="0.25">
      <c r="B8400" s="4">
        <v>8395</v>
      </c>
      <c r="C8400" s="4">
        <v>271.59580525810406</v>
      </c>
      <c r="D8400" s="45"/>
    </row>
    <row r="8401" spans="2:4" ht="16" thickBot="1" x14ac:dyDescent="0.25">
      <c r="B8401" s="5">
        <v>8396</v>
      </c>
      <c r="C8401" s="5">
        <v>230.07696194035611</v>
      </c>
      <c r="D8401" s="45"/>
    </row>
    <row r="8402" spans="2:4" ht="16" thickBot="1" x14ac:dyDescent="0.25">
      <c r="B8402" s="4">
        <v>8397</v>
      </c>
      <c r="C8402" s="4">
        <v>115.11940050448129</v>
      </c>
      <c r="D8402" s="45"/>
    </row>
    <row r="8403" spans="2:4" ht="16" thickBot="1" x14ac:dyDescent="0.25">
      <c r="B8403" s="5">
        <v>8398</v>
      </c>
      <c r="C8403" s="5">
        <v>78.973768369469127</v>
      </c>
      <c r="D8403" s="45"/>
    </row>
    <row r="8404" spans="2:4" ht="16" thickBot="1" x14ac:dyDescent="0.25">
      <c r="B8404" s="4">
        <v>8399</v>
      </c>
      <c r="C8404" s="4">
        <v>105.55151654030402</v>
      </c>
      <c r="D8404" s="45"/>
    </row>
    <row r="8405" spans="2:4" ht="16" thickBot="1" x14ac:dyDescent="0.25">
      <c r="B8405" s="5">
        <v>8400</v>
      </c>
      <c r="C8405" s="5">
        <v>215.09923598674217</v>
      </c>
      <c r="D8405" s="45"/>
    </row>
    <row r="8406" spans="2:4" ht="16" thickBot="1" x14ac:dyDescent="0.25">
      <c r="B8406" s="4">
        <v>8401</v>
      </c>
      <c r="C8406" s="4">
        <v>436.26886280575985</v>
      </c>
      <c r="D8406" s="45"/>
    </row>
    <row r="8407" spans="2:4" ht="16" thickBot="1" x14ac:dyDescent="0.25">
      <c r="B8407" s="5">
        <v>8402</v>
      </c>
      <c r="C8407" s="5">
        <v>196.51903727974252</v>
      </c>
      <c r="D8407" s="45"/>
    </row>
    <row r="8408" spans="2:4" ht="16" thickBot="1" x14ac:dyDescent="0.25">
      <c r="B8408" s="4">
        <v>8403</v>
      </c>
      <c r="C8408" s="4">
        <v>164.84924786149975</v>
      </c>
      <c r="D8408" s="45"/>
    </row>
    <row r="8409" spans="2:4" ht="16" thickBot="1" x14ac:dyDescent="0.25">
      <c r="B8409" s="5">
        <v>8404</v>
      </c>
      <c r="C8409" s="5">
        <v>121.36130373678716</v>
      </c>
      <c r="D8409" s="45"/>
    </row>
    <row r="8410" spans="2:4" ht="16" thickBot="1" x14ac:dyDescent="0.25">
      <c r="B8410" s="4">
        <v>8405</v>
      </c>
      <c r="C8410" s="4">
        <v>269.90800648952563</v>
      </c>
      <c r="D8410" s="45"/>
    </row>
    <row r="8411" spans="2:4" ht="16" thickBot="1" x14ac:dyDescent="0.25">
      <c r="B8411" s="5">
        <v>8406</v>
      </c>
      <c r="C8411" s="5">
        <v>297.51929367065947</v>
      </c>
      <c r="D8411" s="45"/>
    </row>
    <row r="8412" spans="2:4" ht="16" thickBot="1" x14ac:dyDescent="0.25">
      <c r="B8412" s="4">
        <v>8407</v>
      </c>
      <c r="C8412" s="4">
        <v>113.10205978911365</v>
      </c>
      <c r="D8412" s="45"/>
    </row>
    <row r="8413" spans="2:4" ht="16" thickBot="1" x14ac:dyDescent="0.25">
      <c r="B8413" s="5">
        <v>8408</v>
      </c>
      <c r="C8413" s="5">
        <v>192.66387610685805</v>
      </c>
      <c r="D8413" s="45"/>
    </row>
    <row r="8414" spans="2:4" ht="16" thickBot="1" x14ac:dyDescent="0.25">
      <c r="B8414" s="4">
        <v>8409</v>
      </c>
      <c r="C8414" s="4">
        <v>129.39166965498717</v>
      </c>
      <c r="D8414" s="45"/>
    </row>
    <row r="8415" spans="2:4" ht="16" thickBot="1" x14ac:dyDescent="0.25">
      <c r="B8415" s="5">
        <v>8410</v>
      </c>
      <c r="C8415" s="5">
        <v>201.22420931199659</v>
      </c>
      <c r="D8415" s="45"/>
    </row>
    <row r="8416" spans="2:4" ht="16" thickBot="1" x14ac:dyDescent="0.25">
      <c r="B8416" s="4">
        <v>8411</v>
      </c>
      <c r="C8416" s="4">
        <v>72.471004749489893</v>
      </c>
      <c r="D8416" s="45"/>
    </row>
    <row r="8417" spans="2:4" ht="16" thickBot="1" x14ac:dyDescent="0.25">
      <c r="B8417" s="5">
        <v>8412</v>
      </c>
      <c r="C8417" s="5">
        <v>140.63412148469001</v>
      </c>
      <c r="D8417" s="45"/>
    </row>
    <row r="8418" spans="2:4" ht="16" thickBot="1" x14ac:dyDescent="0.25">
      <c r="B8418" s="4">
        <v>8413</v>
      </c>
      <c r="C8418" s="4">
        <v>181.52204122964585</v>
      </c>
      <c r="D8418" s="45"/>
    </row>
    <row r="8419" spans="2:4" ht="16" thickBot="1" x14ac:dyDescent="0.25">
      <c r="B8419" s="5">
        <v>8414</v>
      </c>
      <c r="C8419" s="5">
        <v>103.29635754724983</v>
      </c>
      <c r="D8419" s="45"/>
    </row>
    <row r="8420" spans="2:4" ht="16" thickBot="1" x14ac:dyDescent="0.25">
      <c r="B8420" s="4">
        <v>8415</v>
      </c>
      <c r="C8420" s="4">
        <v>79.728055873794162</v>
      </c>
      <c r="D8420" s="45"/>
    </row>
    <row r="8421" spans="2:4" ht="16" thickBot="1" x14ac:dyDescent="0.25">
      <c r="B8421" s="5">
        <v>8416</v>
      </c>
      <c r="C8421" s="5">
        <v>225.26894718501322</v>
      </c>
      <c r="D8421" s="45"/>
    </row>
    <row r="8422" spans="2:4" ht="16" thickBot="1" x14ac:dyDescent="0.25">
      <c r="B8422" s="4">
        <v>8417</v>
      </c>
      <c r="C8422" s="4">
        <v>300.30941357947438</v>
      </c>
      <c r="D8422" s="45"/>
    </row>
    <row r="8423" spans="2:4" ht="16" thickBot="1" x14ac:dyDescent="0.25">
      <c r="B8423" s="5">
        <v>8418</v>
      </c>
      <c r="C8423" s="5">
        <v>420.08151945768208</v>
      </c>
      <c r="D8423" s="45"/>
    </row>
    <row r="8424" spans="2:4" ht="16" thickBot="1" x14ac:dyDescent="0.25">
      <c r="B8424" s="4">
        <v>8419</v>
      </c>
      <c r="C8424" s="4">
        <v>95.605667326721502</v>
      </c>
      <c r="D8424" s="45"/>
    </row>
    <row r="8425" spans="2:4" ht="16" thickBot="1" x14ac:dyDescent="0.25">
      <c r="B8425" s="5">
        <v>8420</v>
      </c>
      <c r="C8425" s="5">
        <v>226.48970597431202</v>
      </c>
      <c r="D8425" s="45"/>
    </row>
    <row r="8426" spans="2:4" ht="16" thickBot="1" x14ac:dyDescent="0.25">
      <c r="B8426" s="4">
        <v>8421</v>
      </c>
      <c r="C8426" s="4">
        <v>110.11942484092287</v>
      </c>
      <c r="D8426" s="45"/>
    </row>
    <row r="8427" spans="2:4" ht="16" thickBot="1" x14ac:dyDescent="0.25">
      <c r="B8427" s="5">
        <v>8422</v>
      </c>
      <c r="C8427" s="5">
        <v>140.99082145826017</v>
      </c>
      <c r="D8427" s="45"/>
    </row>
    <row r="8428" spans="2:4" ht="16" thickBot="1" x14ac:dyDescent="0.25">
      <c r="B8428" s="4">
        <v>8423</v>
      </c>
      <c r="C8428" s="4">
        <v>150.00591010108343</v>
      </c>
      <c r="D8428" s="45"/>
    </row>
    <row r="8429" spans="2:4" ht="16" thickBot="1" x14ac:dyDescent="0.25">
      <c r="B8429" s="5">
        <v>8424</v>
      </c>
      <c r="C8429" s="5">
        <v>57.830950881245542</v>
      </c>
      <c r="D8429" s="45"/>
    </row>
    <row r="8430" spans="2:4" ht="16" thickBot="1" x14ac:dyDescent="0.25">
      <c r="B8430" s="4">
        <v>8425</v>
      </c>
      <c r="C8430" s="4">
        <v>245.11054869802228</v>
      </c>
      <c r="D8430" s="45"/>
    </row>
    <row r="8431" spans="2:4" ht="16" thickBot="1" x14ac:dyDescent="0.25">
      <c r="B8431" s="5">
        <v>8426</v>
      </c>
      <c r="C8431" s="5">
        <v>167.39557257528696</v>
      </c>
      <c r="D8431" s="45"/>
    </row>
    <row r="8432" spans="2:4" ht="16" thickBot="1" x14ac:dyDescent="0.25">
      <c r="B8432" s="4">
        <v>8427</v>
      </c>
      <c r="C8432" s="4">
        <v>114.98532595949696</v>
      </c>
      <c r="D8432" s="45"/>
    </row>
    <row r="8433" spans="2:4" ht="16" thickBot="1" x14ac:dyDescent="0.25">
      <c r="B8433" s="5">
        <v>8428</v>
      </c>
      <c r="C8433" s="5">
        <v>253.6325343947081</v>
      </c>
      <c r="D8433" s="45"/>
    </row>
    <row r="8434" spans="2:4" ht="16" thickBot="1" x14ac:dyDescent="0.25">
      <c r="B8434" s="4">
        <v>8429</v>
      </c>
      <c r="C8434" s="4">
        <v>141.18212214889132</v>
      </c>
      <c r="D8434" s="45"/>
    </row>
    <row r="8435" spans="2:4" ht="16" thickBot="1" x14ac:dyDescent="0.25">
      <c r="B8435" s="5">
        <v>8430</v>
      </c>
      <c r="C8435" s="5">
        <v>234.32198578471539</v>
      </c>
      <c r="D8435" s="45"/>
    </row>
    <row r="8436" spans="2:4" ht="16" thickBot="1" x14ac:dyDescent="0.25">
      <c r="B8436" s="4">
        <v>8431</v>
      </c>
      <c r="C8436" s="4">
        <v>173.35260713781199</v>
      </c>
      <c r="D8436" s="45"/>
    </row>
    <row r="8437" spans="2:4" ht="16" thickBot="1" x14ac:dyDescent="0.25">
      <c r="B8437" s="5">
        <v>8432</v>
      </c>
      <c r="C8437" s="5">
        <v>304.88697520315407</v>
      </c>
      <c r="D8437" s="45"/>
    </row>
    <row r="8438" spans="2:4" ht="16" thickBot="1" x14ac:dyDescent="0.25">
      <c r="B8438" s="4">
        <v>8433</v>
      </c>
      <c r="C8438" s="4">
        <v>155.55438968993914</v>
      </c>
      <c r="D8438" s="45"/>
    </row>
    <row r="8439" spans="2:4" ht="16" thickBot="1" x14ac:dyDescent="0.25">
      <c r="B8439" s="5">
        <v>8434</v>
      </c>
      <c r="C8439" s="5">
        <v>220.97154849573323</v>
      </c>
      <c r="D8439" s="45"/>
    </row>
    <row r="8440" spans="2:4" ht="16" thickBot="1" x14ac:dyDescent="0.25">
      <c r="B8440" s="4">
        <v>8435</v>
      </c>
      <c r="C8440" s="4">
        <v>114.62048766204853</v>
      </c>
      <c r="D8440" s="45"/>
    </row>
    <row r="8441" spans="2:4" ht="16" thickBot="1" x14ac:dyDescent="0.25">
      <c r="B8441" s="5">
        <v>8436</v>
      </c>
      <c r="C8441" s="5">
        <v>62.758595838081547</v>
      </c>
      <c r="D8441" s="45"/>
    </row>
    <row r="8442" spans="2:4" ht="16" thickBot="1" x14ac:dyDescent="0.25">
      <c r="B8442" s="4">
        <v>8437</v>
      </c>
      <c r="C8442" s="4">
        <v>231.76785254244015</v>
      </c>
      <c r="D8442" s="45"/>
    </row>
    <row r="8443" spans="2:4" ht="16" thickBot="1" x14ac:dyDescent="0.25">
      <c r="B8443" s="5">
        <v>8438</v>
      </c>
      <c r="C8443" s="5">
        <v>110.12335099756353</v>
      </c>
      <c r="D8443" s="45"/>
    </row>
    <row r="8444" spans="2:4" ht="16" thickBot="1" x14ac:dyDescent="0.25">
      <c r="B8444" s="4">
        <v>8439</v>
      </c>
      <c r="C8444" s="4">
        <v>117.2990935890903</v>
      </c>
      <c r="D8444" s="45"/>
    </row>
    <row r="8445" spans="2:4" ht="16" thickBot="1" x14ac:dyDescent="0.25">
      <c r="B8445" s="5">
        <v>8440</v>
      </c>
      <c r="C8445" s="5">
        <v>96.846897923445511</v>
      </c>
      <c r="D8445" s="45"/>
    </row>
    <row r="8446" spans="2:4" ht="16" thickBot="1" x14ac:dyDescent="0.25">
      <c r="B8446" s="4">
        <v>8441</v>
      </c>
      <c r="C8446" s="4">
        <v>76.570349842731119</v>
      </c>
      <c r="D8446" s="45"/>
    </row>
    <row r="8447" spans="2:4" ht="16" thickBot="1" x14ac:dyDescent="0.25">
      <c r="B8447" s="5">
        <v>8442</v>
      </c>
      <c r="C8447" s="5">
        <v>168.28082353020272</v>
      </c>
      <c r="D8447" s="45"/>
    </row>
    <row r="8448" spans="2:4" ht="16" thickBot="1" x14ac:dyDescent="0.25">
      <c r="B8448" s="4">
        <v>8443</v>
      </c>
      <c r="C8448" s="4">
        <v>67.900255702625969</v>
      </c>
      <c r="D8448" s="45"/>
    </row>
    <row r="8449" spans="2:4" ht="16" thickBot="1" x14ac:dyDescent="0.25">
      <c r="B8449" s="5">
        <v>8444</v>
      </c>
      <c r="C8449" s="5">
        <v>185.56834879914771</v>
      </c>
      <c r="D8449" s="45"/>
    </row>
    <row r="8450" spans="2:4" ht="16" thickBot="1" x14ac:dyDescent="0.25">
      <c r="B8450" s="4">
        <v>8445</v>
      </c>
      <c r="C8450" s="4">
        <v>96.827197895177875</v>
      </c>
      <c r="D8450" s="45"/>
    </row>
    <row r="8451" spans="2:4" ht="16" thickBot="1" x14ac:dyDescent="0.25">
      <c r="B8451" s="5">
        <v>8446</v>
      </c>
      <c r="C8451" s="5">
        <v>151.14790568030276</v>
      </c>
      <c r="D8451" s="45"/>
    </row>
    <row r="8452" spans="2:4" ht="16" thickBot="1" x14ac:dyDescent="0.25">
      <c r="B8452" s="4">
        <v>8447</v>
      </c>
      <c r="C8452" s="4">
        <v>141.71284036649317</v>
      </c>
      <c r="D8452" s="45"/>
    </row>
    <row r="8453" spans="2:4" ht="16" thickBot="1" x14ac:dyDescent="0.25">
      <c r="B8453" s="5">
        <v>8448</v>
      </c>
      <c r="C8453" s="5">
        <v>135.33992789002983</v>
      </c>
      <c r="D8453" s="45"/>
    </row>
    <row r="8454" spans="2:4" ht="16" thickBot="1" x14ac:dyDescent="0.25">
      <c r="B8454" s="4">
        <v>8449</v>
      </c>
      <c r="C8454" s="4">
        <v>141.95088224264001</v>
      </c>
      <c r="D8454" s="45"/>
    </row>
    <row r="8455" spans="2:4" ht="16" thickBot="1" x14ac:dyDescent="0.25">
      <c r="B8455" s="5">
        <v>8450</v>
      </c>
      <c r="C8455" s="5">
        <v>80.609390186660264</v>
      </c>
      <c r="D8455" s="45"/>
    </row>
    <row r="8456" spans="2:4" ht="16" thickBot="1" x14ac:dyDescent="0.25">
      <c r="B8456" s="4">
        <v>8451</v>
      </c>
      <c r="C8456" s="4">
        <v>100.67168335014954</v>
      </c>
      <c r="D8456" s="45"/>
    </row>
    <row r="8457" spans="2:4" ht="16" thickBot="1" x14ac:dyDescent="0.25">
      <c r="B8457" s="5">
        <v>8452</v>
      </c>
      <c r="C8457" s="5">
        <v>179.5161792710897</v>
      </c>
      <c r="D8457" s="45"/>
    </row>
    <row r="8458" spans="2:4" ht="16" thickBot="1" x14ac:dyDescent="0.25">
      <c r="B8458" s="4">
        <v>8453</v>
      </c>
      <c r="C8458" s="4">
        <v>162.63945281895778</v>
      </c>
      <c r="D8458" s="45"/>
    </row>
    <row r="8459" spans="2:4" ht="16" thickBot="1" x14ac:dyDescent="0.25">
      <c r="B8459" s="5">
        <v>8454</v>
      </c>
      <c r="C8459" s="5">
        <v>141.02060822133708</v>
      </c>
      <c r="D8459" s="45"/>
    </row>
    <row r="8460" spans="2:4" ht="16" thickBot="1" x14ac:dyDescent="0.25">
      <c r="B8460" s="4">
        <v>8455</v>
      </c>
      <c r="C8460" s="4">
        <v>319.33855730414041</v>
      </c>
      <c r="D8460" s="45"/>
    </row>
    <row r="8461" spans="2:4" ht="16" thickBot="1" x14ac:dyDescent="0.25">
      <c r="B8461" s="5">
        <v>8456</v>
      </c>
      <c r="C8461" s="5">
        <v>107.04182414592758</v>
      </c>
      <c r="D8461" s="45"/>
    </row>
    <row r="8462" spans="2:4" ht="16" thickBot="1" x14ac:dyDescent="0.25">
      <c r="B8462" s="4">
        <v>8457</v>
      </c>
      <c r="C8462" s="4">
        <v>130.79517076602767</v>
      </c>
      <c r="D8462" s="45"/>
    </row>
    <row r="8463" spans="2:4" ht="16" thickBot="1" x14ac:dyDescent="0.25">
      <c r="B8463" s="5">
        <v>8458</v>
      </c>
      <c r="C8463" s="5">
        <v>131.85779426918887</v>
      </c>
      <c r="D8463" s="45"/>
    </row>
    <row r="8464" spans="2:4" ht="16" thickBot="1" x14ac:dyDescent="0.25">
      <c r="B8464" s="4">
        <v>8459</v>
      </c>
      <c r="C8464" s="4">
        <v>166.01678840295799</v>
      </c>
      <c r="D8464" s="45"/>
    </row>
    <row r="8465" spans="2:4" ht="16" thickBot="1" x14ac:dyDescent="0.25">
      <c r="B8465" s="5">
        <v>8460</v>
      </c>
      <c r="C8465" s="5">
        <v>82.901545642577446</v>
      </c>
      <c r="D8465" s="45"/>
    </row>
    <row r="8466" spans="2:4" ht="16" thickBot="1" x14ac:dyDescent="0.25">
      <c r="B8466" s="4">
        <v>8461</v>
      </c>
      <c r="C8466" s="4">
        <v>86.104358668611113</v>
      </c>
      <c r="D8466" s="45"/>
    </row>
    <row r="8467" spans="2:4" ht="16" thickBot="1" x14ac:dyDescent="0.25">
      <c r="B8467" s="5">
        <v>8462</v>
      </c>
      <c r="C8467" s="5">
        <v>71.150694424061143</v>
      </c>
      <c r="D8467" s="45"/>
    </row>
    <row r="8468" spans="2:4" ht="16" thickBot="1" x14ac:dyDescent="0.25">
      <c r="B8468" s="4">
        <v>8463</v>
      </c>
      <c r="C8468" s="4">
        <v>256.68801942373693</v>
      </c>
      <c r="D8468" s="45"/>
    </row>
    <row r="8469" spans="2:4" ht="16" thickBot="1" x14ac:dyDescent="0.25">
      <c r="B8469" s="5">
        <v>8464</v>
      </c>
      <c r="C8469" s="5">
        <v>52.715928279351566</v>
      </c>
      <c r="D8469" s="45"/>
    </row>
    <row r="8470" spans="2:4" ht="16" thickBot="1" x14ac:dyDescent="0.25">
      <c r="B8470" s="4">
        <v>8465</v>
      </c>
      <c r="C8470" s="4">
        <v>157.55203497876138</v>
      </c>
      <c r="D8470" s="45"/>
    </row>
    <row r="8471" spans="2:4" ht="16" thickBot="1" x14ac:dyDescent="0.25">
      <c r="B8471" s="5">
        <v>8466</v>
      </c>
      <c r="C8471" s="5">
        <v>104.0614029357201</v>
      </c>
      <c r="D8471" s="45"/>
    </row>
    <row r="8472" spans="2:4" ht="16" thickBot="1" x14ac:dyDescent="0.25">
      <c r="B8472" s="4">
        <v>8467</v>
      </c>
      <c r="C8472" s="4">
        <v>175.42425786733179</v>
      </c>
      <c r="D8472" s="45"/>
    </row>
    <row r="8473" spans="2:4" ht="16" thickBot="1" x14ac:dyDescent="0.25">
      <c r="B8473" s="5">
        <v>8468</v>
      </c>
      <c r="C8473" s="5">
        <v>113.94263120954055</v>
      </c>
      <c r="D8473" s="45"/>
    </row>
    <row r="8474" spans="2:4" ht="16" thickBot="1" x14ac:dyDescent="0.25">
      <c r="B8474" s="4">
        <v>8469</v>
      </c>
      <c r="C8474" s="4">
        <v>80.369331878840242</v>
      </c>
      <c r="D8474" s="45"/>
    </row>
    <row r="8475" spans="2:4" ht="16" thickBot="1" x14ac:dyDescent="0.25">
      <c r="B8475" s="5">
        <v>8470</v>
      </c>
      <c r="C8475" s="5">
        <v>90.899274419184195</v>
      </c>
      <c r="D8475" s="45"/>
    </row>
    <row r="8476" spans="2:4" ht="16" thickBot="1" x14ac:dyDescent="0.25">
      <c r="B8476" s="4">
        <v>8471</v>
      </c>
      <c r="C8476" s="4">
        <v>202.72120710032326</v>
      </c>
      <c r="D8476" s="45"/>
    </row>
    <row r="8477" spans="2:4" ht="16" thickBot="1" x14ac:dyDescent="0.25">
      <c r="B8477" s="5">
        <v>8472</v>
      </c>
      <c r="C8477" s="5">
        <v>85.539959372254657</v>
      </c>
      <c r="D8477" s="45"/>
    </row>
    <row r="8478" spans="2:4" ht="16" thickBot="1" x14ac:dyDescent="0.25">
      <c r="B8478" s="4">
        <v>8473</v>
      </c>
      <c r="C8478" s="4">
        <v>61.638347233432007</v>
      </c>
      <c r="D8478" s="45"/>
    </row>
    <row r="8479" spans="2:4" ht="16" thickBot="1" x14ac:dyDescent="0.25">
      <c r="B8479" s="5">
        <v>8474</v>
      </c>
      <c r="C8479" s="5">
        <v>310.37979027085584</v>
      </c>
      <c r="D8479" s="45"/>
    </row>
    <row r="8480" spans="2:4" ht="16" thickBot="1" x14ac:dyDescent="0.25">
      <c r="B8480" s="4">
        <v>8475</v>
      </c>
      <c r="C8480" s="4">
        <v>284.17784693415661</v>
      </c>
      <c r="D8480" s="45"/>
    </row>
    <row r="8481" spans="2:4" ht="16" thickBot="1" x14ac:dyDescent="0.25">
      <c r="B8481" s="5">
        <v>8476</v>
      </c>
      <c r="C8481" s="5">
        <v>149.86948674665345</v>
      </c>
      <c r="D8481" s="45"/>
    </row>
    <row r="8482" spans="2:4" ht="16" thickBot="1" x14ac:dyDescent="0.25">
      <c r="B8482" s="4">
        <v>8477</v>
      </c>
      <c r="C8482" s="4">
        <v>66.331743174464876</v>
      </c>
      <c r="D8482" s="45"/>
    </row>
    <row r="8483" spans="2:4" ht="16" thickBot="1" x14ac:dyDescent="0.25">
      <c r="B8483" s="5">
        <v>8478</v>
      </c>
      <c r="C8483" s="5">
        <v>321.95799818057367</v>
      </c>
      <c r="D8483" s="45"/>
    </row>
    <row r="8484" spans="2:4" ht="16" thickBot="1" x14ac:dyDescent="0.25">
      <c r="B8484" s="4">
        <v>8479</v>
      </c>
      <c r="C8484" s="4">
        <v>149.8909737121198</v>
      </c>
      <c r="D8484" s="45"/>
    </row>
    <row r="8485" spans="2:4" ht="16" thickBot="1" x14ac:dyDescent="0.25">
      <c r="B8485" s="5">
        <v>8480</v>
      </c>
      <c r="C8485" s="5">
        <v>197.49579501259936</v>
      </c>
      <c r="D8485" s="45"/>
    </row>
    <row r="8486" spans="2:4" ht="16" thickBot="1" x14ac:dyDescent="0.25">
      <c r="B8486" s="4">
        <v>8481</v>
      </c>
      <c r="C8486" s="4">
        <v>223.22278729194105</v>
      </c>
      <c r="D8486" s="45"/>
    </row>
    <row r="8487" spans="2:4" ht="16" thickBot="1" x14ac:dyDescent="0.25">
      <c r="B8487" s="5">
        <v>8482</v>
      </c>
      <c r="C8487" s="5">
        <v>252.17530067311097</v>
      </c>
      <c r="D8487" s="45"/>
    </row>
    <row r="8488" spans="2:4" ht="16" thickBot="1" x14ac:dyDescent="0.25">
      <c r="B8488" s="4">
        <v>8483</v>
      </c>
      <c r="C8488" s="4">
        <v>218.50404321009282</v>
      </c>
      <c r="D8488" s="45"/>
    </row>
    <row r="8489" spans="2:4" ht="16" thickBot="1" x14ac:dyDescent="0.25">
      <c r="B8489" s="5">
        <v>8484</v>
      </c>
      <c r="C8489" s="5">
        <v>149.90608579722905</v>
      </c>
      <c r="D8489" s="45"/>
    </row>
    <row r="8490" spans="2:4" ht="16" thickBot="1" x14ac:dyDescent="0.25">
      <c r="B8490" s="4">
        <v>8485</v>
      </c>
      <c r="C8490" s="4">
        <v>125.28093819875768</v>
      </c>
      <c r="D8490" s="45"/>
    </row>
    <row r="8491" spans="2:4" ht="16" thickBot="1" x14ac:dyDescent="0.25">
      <c r="B8491" s="5">
        <v>8486</v>
      </c>
      <c r="C8491" s="5">
        <v>111.94571928624791</v>
      </c>
      <c r="D8491" s="45"/>
    </row>
    <row r="8492" spans="2:4" ht="16" thickBot="1" x14ac:dyDescent="0.25">
      <c r="B8492" s="4">
        <v>8487</v>
      </c>
      <c r="C8492" s="4">
        <v>140.6482028275193</v>
      </c>
      <c r="D8492" s="45"/>
    </row>
    <row r="8493" spans="2:4" ht="16" thickBot="1" x14ac:dyDescent="0.25">
      <c r="B8493" s="5">
        <v>8488</v>
      </c>
      <c r="C8493" s="5">
        <v>114.7229193087764</v>
      </c>
      <c r="D8493" s="45"/>
    </row>
    <row r="8494" spans="2:4" ht="16" thickBot="1" x14ac:dyDescent="0.25">
      <c r="B8494" s="4">
        <v>8489</v>
      </c>
      <c r="C8494" s="4">
        <v>131.88404054035436</v>
      </c>
      <c r="D8494" s="45"/>
    </row>
    <row r="8495" spans="2:4" ht="16" thickBot="1" x14ac:dyDescent="0.25">
      <c r="B8495" s="5">
        <v>8490</v>
      </c>
      <c r="C8495" s="5">
        <v>116.92531665474345</v>
      </c>
      <c r="D8495" s="45"/>
    </row>
    <row r="8496" spans="2:4" ht="16" thickBot="1" x14ac:dyDescent="0.25">
      <c r="B8496" s="4">
        <v>8491</v>
      </c>
      <c r="C8496" s="4">
        <v>75.65153495841399</v>
      </c>
      <c r="D8496" s="45"/>
    </row>
    <row r="8497" spans="2:4" ht="16" thickBot="1" x14ac:dyDescent="0.25">
      <c r="B8497" s="5">
        <v>8492</v>
      </c>
      <c r="C8497" s="5">
        <v>118.43531923588802</v>
      </c>
      <c r="D8497" s="45"/>
    </row>
    <row r="8498" spans="2:4" ht="16" thickBot="1" x14ac:dyDescent="0.25">
      <c r="B8498" s="4">
        <v>8493</v>
      </c>
      <c r="C8498" s="4">
        <v>141.96560115216036</v>
      </c>
      <c r="D8498" s="45"/>
    </row>
    <row r="8499" spans="2:4" ht="16" thickBot="1" x14ac:dyDescent="0.25">
      <c r="B8499" s="5">
        <v>8494</v>
      </c>
      <c r="C8499" s="5">
        <v>78.921459465857282</v>
      </c>
      <c r="D8499" s="45"/>
    </row>
    <row r="8500" spans="2:4" ht="16" thickBot="1" x14ac:dyDescent="0.25">
      <c r="B8500" s="4">
        <v>8495</v>
      </c>
      <c r="C8500" s="4">
        <v>152.03605182797031</v>
      </c>
      <c r="D8500" s="45"/>
    </row>
    <row r="8501" spans="2:4" ht="16" thickBot="1" x14ac:dyDescent="0.25">
      <c r="B8501" s="5">
        <v>8496</v>
      </c>
      <c r="C8501" s="5">
        <v>78.960560963958557</v>
      </c>
      <c r="D8501" s="45"/>
    </row>
    <row r="8502" spans="2:4" ht="16" thickBot="1" x14ac:dyDescent="0.25">
      <c r="B8502" s="4">
        <v>8497</v>
      </c>
      <c r="C8502" s="4">
        <v>215.65186232532142</v>
      </c>
      <c r="D8502" s="45"/>
    </row>
    <row r="8503" spans="2:4" ht="16" thickBot="1" x14ac:dyDescent="0.25">
      <c r="B8503" s="5">
        <v>8498</v>
      </c>
      <c r="C8503" s="5">
        <v>92.209901963452182</v>
      </c>
      <c r="D8503" s="45"/>
    </row>
    <row r="8504" spans="2:4" ht="16" thickBot="1" x14ac:dyDescent="0.25">
      <c r="B8504" s="4">
        <v>8499</v>
      </c>
      <c r="C8504" s="4">
        <v>255.86128105590896</v>
      </c>
      <c r="D8504" s="45"/>
    </row>
    <row r="8505" spans="2:4" ht="16" thickBot="1" x14ac:dyDescent="0.25">
      <c r="B8505" s="5">
        <v>8500</v>
      </c>
      <c r="C8505" s="5">
        <v>315.65736922952902</v>
      </c>
      <c r="D8505" s="45"/>
    </row>
    <row r="8506" spans="2:4" ht="16" thickBot="1" x14ac:dyDescent="0.25">
      <c r="B8506" s="4">
        <v>8501</v>
      </c>
      <c r="C8506" s="4">
        <v>247.0632723307904</v>
      </c>
      <c r="D8506" s="45"/>
    </row>
    <row r="8507" spans="2:4" ht="16" thickBot="1" x14ac:dyDescent="0.25">
      <c r="B8507" s="5">
        <v>8502</v>
      </c>
      <c r="C8507" s="5">
        <v>71.40039862944721</v>
      </c>
      <c r="D8507" s="45"/>
    </row>
    <row r="8508" spans="2:4" ht="16" thickBot="1" x14ac:dyDescent="0.25">
      <c r="B8508" s="4">
        <v>8503</v>
      </c>
      <c r="C8508" s="4">
        <v>58.175667904650247</v>
      </c>
      <c r="D8508" s="45"/>
    </row>
    <row r="8509" spans="2:4" ht="16" thickBot="1" x14ac:dyDescent="0.25">
      <c r="B8509" s="5">
        <v>8504</v>
      </c>
      <c r="C8509" s="5">
        <v>390.14247058484096</v>
      </c>
      <c r="D8509" s="45"/>
    </row>
    <row r="8510" spans="2:4" ht="16" thickBot="1" x14ac:dyDescent="0.25">
      <c r="B8510" s="4">
        <v>8505</v>
      </c>
      <c r="C8510" s="4">
        <v>264.5464870094728</v>
      </c>
      <c r="D8510" s="45"/>
    </row>
    <row r="8511" spans="2:4" ht="16" thickBot="1" x14ac:dyDescent="0.25">
      <c r="B8511" s="5">
        <v>8506</v>
      </c>
      <c r="C8511" s="5">
        <v>91.292194368301551</v>
      </c>
      <c r="D8511" s="45"/>
    </row>
    <row r="8512" spans="2:4" ht="16" thickBot="1" x14ac:dyDescent="0.25">
      <c r="B8512" s="4">
        <v>8507</v>
      </c>
      <c r="C8512" s="4">
        <v>210.34872321962695</v>
      </c>
      <c r="D8512" s="45"/>
    </row>
    <row r="8513" spans="2:4" ht="16" thickBot="1" x14ac:dyDescent="0.25">
      <c r="B8513" s="5">
        <v>8508</v>
      </c>
      <c r="C8513" s="5">
        <v>143.69685053719013</v>
      </c>
      <c r="D8513" s="45"/>
    </row>
    <row r="8514" spans="2:4" ht="16" thickBot="1" x14ac:dyDescent="0.25">
      <c r="B8514" s="4">
        <v>8509</v>
      </c>
      <c r="C8514" s="4">
        <v>170.99653138172192</v>
      </c>
      <c r="D8514" s="45"/>
    </row>
    <row r="8515" spans="2:4" ht="16" thickBot="1" x14ac:dyDescent="0.25">
      <c r="B8515" s="5">
        <v>8510</v>
      </c>
      <c r="C8515" s="5">
        <v>84.248470446596301</v>
      </c>
      <c r="D8515" s="45"/>
    </row>
    <row r="8516" spans="2:4" ht="16" thickBot="1" x14ac:dyDescent="0.25">
      <c r="B8516" s="4">
        <v>8511</v>
      </c>
      <c r="C8516" s="4">
        <v>72.111566661643167</v>
      </c>
      <c r="D8516" s="45"/>
    </row>
    <row r="8517" spans="2:4" ht="16" thickBot="1" x14ac:dyDescent="0.25">
      <c r="B8517" s="5">
        <v>8512</v>
      </c>
      <c r="C8517" s="5">
        <v>263.81601492413438</v>
      </c>
      <c r="D8517" s="45"/>
    </row>
    <row r="8518" spans="2:4" ht="16" thickBot="1" x14ac:dyDescent="0.25">
      <c r="B8518" s="4">
        <v>8513</v>
      </c>
      <c r="C8518" s="4">
        <v>113.54993845250122</v>
      </c>
      <c r="D8518" s="45"/>
    </row>
    <row r="8519" spans="2:4" ht="16" thickBot="1" x14ac:dyDescent="0.25">
      <c r="B8519" s="5">
        <v>8514</v>
      </c>
      <c r="C8519" s="5">
        <v>234.17568551230895</v>
      </c>
      <c r="D8519" s="45"/>
    </row>
    <row r="8520" spans="2:4" ht="16" thickBot="1" x14ac:dyDescent="0.25">
      <c r="B8520" s="4">
        <v>8515</v>
      </c>
      <c r="C8520" s="4">
        <v>176.47776091580073</v>
      </c>
      <c r="D8520" s="45"/>
    </row>
    <row r="8521" spans="2:4" ht="16" thickBot="1" x14ac:dyDescent="0.25">
      <c r="B8521" s="5">
        <v>8516</v>
      </c>
      <c r="C8521" s="5">
        <v>309.21018077421644</v>
      </c>
      <c r="D8521" s="45"/>
    </row>
    <row r="8522" spans="2:4" ht="16" thickBot="1" x14ac:dyDescent="0.25">
      <c r="B8522" s="4">
        <v>8517</v>
      </c>
      <c r="C8522" s="4">
        <v>59.868881942777193</v>
      </c>
      <c r="D8522" s="45"/>
    </row>
    <row r="8523" spans="2:4" ht="16" thickBot="1" x14ac:dyDescent="0.25">
      <c r="B8523" s="5">
        <v>8518</v>
      </c>
      <c r="C8523" s="5">
        <v>387.09365788927573</v>
      </c>
      <c r="D8523" s="45"/>
    </row>
    <row r="8524" spans="2:4" ht="16" thickBot="1" x14ac:dyDescent="0.25">
      <c r="B8524" s="4">
        <v>8519</v>
      </c>
      <c r="C8524" s="4">
        <v>200.74485525994535</v>
      </c>
      <c r="D8524" s="45"/>
    </row>
    <row r="8525" spans="2:4" ht="16" thickBot="1" x14ac:dyDescent="0.25">
      <c r="B8525" s="5">
        <v>8520</v>
      </c>
      <c r="C8525" s="5">
        <v>519.47933974713987</v>
      </c>
      <c r="D8525" s="45"/>
    </row>
    <row r="8526" spans="2:4" ht="16" thickBot="1" x14ac:dyDescent="0.25">
      <c r="B8526" s="4">
        <v>8521</v>
      </c>
      <c r="C8526" s="4">
        <v>184.50368750141311</v>
      </c>
      <c r="D8526" s="45"/>
    </row>
    <row r="8527" spans="2:4" ht="16" thickBot="1" x14ac:dyDescent="0.25">
      <c r="B8527" s="5">
        <v>8522</v>
      </c>
      <c r="C8527" s="5">
        <v>241.87948147867726</v>
      </c>
      <c r="D8527" s="45"/>
    </row>
    <row r="8528" spans="2:4" ht="16" thickBot="1" x14ac:dyDescent="0.25">
      <c r="B8528" s="4">
        <v>8523</v>
      </c>
      <c r="C8528" s="4">
        <v>128.50621176439751</v>
      </c>
      <c r="D8528" s="45"/>
    </row>
    <row r="8529" spans="2:4" ht="16" thickBot="1" x14ac:dyDescent="0.25">
      <c r="B8529" s="5">
        <v>8524</v>
      </c>
      <c r="C8529" s="5">
        <v>191.12769473233558</v>
      </c>
      <c r="D8529" s="45"/>
    </row>
    <row r="8530" spans="2:4" ht="16" thickBot="1" x14ac:dyDescent="0.25">
      <c r="B8530" s="4">
        <v>8525</v>
      </c>
      <c r="C8530" s="4">
        <v>99.201258057474973</v>
      </c>
      <c r="D8530" s="45"/>
    </row>
    <row r="8531" spans="2:4" ht="16" thickBot="1" x14ac:dyDescent="0.25">
      <c r="B8531" s="5">
        <v>8526</v>
      </c>
      <c r="C8531" s="5">
        <v>149.56841910438618</v>
      </c>
      <c r="D8531" s="45"/>
    </row>
    <row r="8532" spans="2:4" ht="16" thickBot="1" x14ac:dyDescent="0.25">
      <c r="B8532" s="4">
        <v>8527</v>
      </c>
      <c r="C8532" s="4">
        <v>276.86870796651556</v>
      </c>
      <c r="D8532" s="45"/>
    </row>
    <row r="8533" spans="2:4" ht="16" thickBot="1" x14ac:dyDescent="0.25">
      <c r="B8533" s="5">
        <v>8528</v>
      </c>
      <c r="C8533" s="5">
        <v>158.91457760777689</v>
      </c>
      <c r="D8533" s="45"/>
    </row>
    <row r="8534" spans="2:4" ht="16" thickBot="1" x14ac:dyDescent="0.25">
      <c r="B8534" s="4">
        <v>8529</v>
      </c>
      <c r="C8534" s="4">
        <v>127.63519875854386</v>
      </c>
      <c r="D8534" s="45"/>
    </row>
    <row r="8535" spans="2:4" ht="16" thickBot="1" x14ac:dyDescent="0.25">
      <c r="B8535" s="5">
        <v>8530</v>
      </c>
      <c r="C8535" s="5">
        <v>211.97120059013039</v>
      </c>
      <c r="D8535" s="45"/>
    </row>
    <row r="8536" spans="2:4" ht="16" thickBot="1" x14ac:dyDescent="0.25">
      <c r="B8536" s="4">
        <v>8531</v>
      </c>
      <c r="C8536" s="4">
        <v>338.62801985076794</v>
      </c>
      <c r="D8536" s="45"/>
    </row>
    <row r="8537" spans="2:4" ht="16" thickBot="1" x14ac:dyDescent="0.25">
      <c r="B8537" s="5">
        <v>8532</v>
      </c>
      <c r="C8537" s="5">
        <v>307.96928409746346</v>
      </c>
      <c r="D8537" s="45"/>
    </row>
    <row r="8538" spans="2:4" ht="16" thickBot="1" x14ac:dyDescent="0.25">
      <c r="B8538" s="4">
        <v>8533</v>
      </c>
      <c r="C8538" s="4">
        <v>227.90350540115034</v>
      </c>
      <c r="D8538" s="45"/>
    </row>
    <row r="8539" spans="2:4" ht="16" thickBot="1" x14ac:dyDescent="0.25">
      <c r="B8539" s="5">
        <v>8534</v>
      </c>
      <c r="C8539" s="5">
        <v>128.19984263636675</v>
      </c>
      <c r="D8539" s="45"/>
    </row>
    <row r="8540" spans="2:4" ht="16" thickBot="1" x14ac:dyDescent="0.25">
      <c r="B8540" s="4">
        <v>8535</v>
      </c>
      <c r="C8540" s="4">
        <v>292.13422094250711</v>
      </c>
      <c r="D8540" s="45"/>
    </row>
    <row r="8541" spans="2:4" ht="16" thickBot="1" x14ac:dyDescent="0.25">
      <c r="B8541" s="5">
        <v>8536</v>
      </c>
      <c r="C8541" s="5">
        <v>175.96859646081717</v>
      </c>
      <c r="D8541" s="45"/>
    </row>
    <row r="8542" spans="2:4" ht="16" thickBot="1" x14ac:dyDescent="0.25">
      <c r="B8542" s="4">
        <v>8537</v>
      </c>
      <c r="C8542" s="4">
        <v>178.01057590129906</v>
      </c>
      <c r="D8542" s="45"/>
    </row>
    <row r="8543" spans="2:4" ht="16" thickBot="1" x14ac:dyDescent="0.25">
      <c r="B8543" s="5">
        <v>8538</v>
      </c>
      <c r="C8543" s="5">
        <v>279.64109186749249</v>
      </c>
      <c r="D8543" s="45"/>
    </row>
    <row r="8544" spans="2:4" ht="16" thickBot="1" x14ac:dyDescent="0.25">
      <c r="B8544" s="4">
        <v>8539</v>
      </c>
      <c r="C8544" s="4">
        <v>192.42966351637759</v>
      </c>
      <c r="D8544" s="45"/>
    </row>
    <row r="8545" spans="2:4" ht="16" thickBot="1" x14ac:dyDescent="0.25">
      <c r="B8545" s="5">
        <v>8540</v>
      </c>
      <c r="C8545" s="5">
        <v>185.86797840997994</v>
      </c>
      <c r="D8545" s="45"/>
    </row>
    <row r="8546" spans="2:4" ht="16" thickBot="1" x14ac:dyDescent="0.25">
      <c r="B8546" s="4">
        <v>8541</v>
      </c>
      <c r="C8546" s="4">
        <v>176.91245801880183</v>
      </c>
      <c r="D8546" s="45"/>
    </row>
    <row r="8547" spans="2:4" ht="16" thickBot="1" x14ac:dyDescent="0.25">
      <c r="B8547" s="5">
        <v>8542</v>
      </c>
      <c r="C8547" s="5">
        <v>216.45712673103844</v>
      </c>
      <c r="D8547" s="45"/>
    </row>
    <row r="8548" spans="2:4" ht="16" thickBot="1" x14ac:dyDescent="0.25">
      <c r="B8548" s="4">
        <v>8543</v>
      </c>
      <c r="C8548" s="4">
        <v>232.70331149185395</v>
      </c>
      <c r="D8548" s="45"/>
    </row>
    <row r="8549" spans="2:4" ht="16" thickBot="1" x14ac:dyDescent="0.25">
      <c r="B8549" s="5">
        <v>8544</v>
      </c>
      <c r="C8549" s="5">
        <v>84.625877575210239</v>
      </c>
      <c r="D8549" s="45"/>
    </row>
    <row r="8550" spans="2:4" ht="16" thickBot="1" x14ac:dyDescent="0.25">
      <c r="B8550" s="4">
        <v>8545</v>
      </c>
      <c r="C8550" s="4">
        <v>78.129214634622429</v>
      </c>
      <c r="D8550" s="45"/>
    </row>
    <row r="8551" spans="2:4" ht="16" thickBot="1" x14ac:dyDescent="0.25">
      <c r="B8551" s="5">
        <v>8546</v>
      </c>
      <c r="C8551" s="5">
        <v>163.64808698727828</v>
      </c>
      <c r="D8551" s="45"/>
    </row>
    <row r="8552" spans="2:4" ht="16" thickBot="1" x14ac:dyDescent="0.25">
      <c r="B8552" s="4">
        <v>8547</v>
      </c>
      <c r="C8552" s="4">
        <v>41.274348483507246</v>
      </c>
      <c r="D8552" s="45"/>
    </row>
    <row r="8553" spans="2:4" ht="16" thickBot="1" x14ac:dyDescent="0.25">
      <c r="B8553" s="5">
        <v>8548</v>
      </c>
      <c r="C8553" s="5">
        <v>94.231841224428436</v>
      </c>
      <c r="D8553" s="45"/>
    </row>
    <row r="8554" spans="2:4" ht="16" thickBot="1" x14ac:dyDescent="0.25">
      <c r="B8554" s="4">
        <v>8549</v>
      </c>
      <c r="C8554" s="4">
        <v>89.812186020937972</v>
      </c>
      <c r="D8554" s="45"/>
    </row>
    <row r="8555" spans="2:4" ht="16" thickBot="1" x14ac:dyDescent="0.25">
      <c r="B8555" s="5">
        <v>8550</v>
      </c>
      <c r="C8555" s="5">
        <v>97.472083954105329</v>
      </c>
      <c r="D8555" s="45"/>
    </row>
    <row r="8556" spans="2:4" ht="16" thickBot="1" x14ac:dyDescent="0.25">
      <c r="B8556" s="4">
        <v>8551</v>
      </c>
      <c r="C8556" s="4">
        <v>110.81846329175767</v>
      </c>
      <c r="D8556" s="45"/>
    </row>
    <row r="8557" spans="2:4" ht="16" thickBot="1" x14ac:dyDescent="0.25">
      <c r="B8557" s="5">
        <v>8552</v>
      </c>
      <c r="C8557" s="5">
        <v>147.77231135722943</v>
      </c>
      <c r="D8557" s="45"/>
    </row>
    <row r="8558" spans="2:4" ht="16" thickBot="1" x14ac:dyDescent="0.25">
      <c r="B8558" s="4">
        <v>8553</v>
      </c>
      <c r="C8558" s="4">
        <v>125.67528004910852</v>
      </c>
      <c r="D8558" s="45"/>
    </row>
    <row r="8559" spans="2:4" ht="16" thickBot="1" x14ac:dyDescent="0.25">
      <c r="B8559" s="5">
        <v>8554</v>
      </c>
      <c r="C8559" s="5">
        <v>124.25872741638419</v>
      </c>
      <c r="D8559" s="45"/>
    </row>
    <row r="8560" spans="2:4" ht="16" thickBot="1" x14ac:dyDescent="0.25">
      <c r="B8560" s="4">
        <v>8555</v>
      </c>
      <c r="C8560" s="4">
        <v>126.71530012295663</v>
      </c>
      <c r="D8560" s="45"/>
    </row>
    <row r="8561" spans="2:4" ht="16" thickBot="1" x14ac:dyDescent="0.25">
      <c r="B8561" s="5">
        <v>8556</v>
      </c>
      <c r="C8561" s="5">
        <v>193.33206623316218</v>
      </c>
      <c r="D8561" s="45"/>
    </row>
    <row r="8562" spans="2:4" ht="16" thickBot="1" x14ac:dyDescent="0.25">
      <c r="B8562" s="4">
        <v>8557</v>
      </c>
      <c r="C8562" s="4">
        <v>58.367410576982756</v>
      </c>
      <c r="D8562" s="45"/>
    </row>
    <row r="8563" spans="2:4" ht="16" thickBot="1" x14ac:dyDescent="0.25">
      <c r="B8563" s="5">
        <v>8558</v>
      </c>
      <c r="C8563" s="5">
        <v>124.81877659242298</v>
      </c>
      <c r="D8563" s="45"/>
    </row>
    <row r="8564" spans="2:4" ht="16" thickBot="1" x14ac:dyDescent="0.25">
      <c r="B8564" s="4">
        <v>8559</v>
      </c>
      <c r="C8564" s="4">
        <v>175.30139644611123</v>
      </c>
      <c r="D8564" s="45"/>
    </row>
    <row r="8565" spans="2:4" ht="16" thickBot="1" x14ac:dyDescent="0.25">
      <c r="B8565" s="5">
        <v>8560</v>
      </c>
      <c r="C8565" s="5">
        <v>177.94064275163677</v>
      </c>
      <c r="D8565" s="45"/>
    </row>
    <row r="8566" spans="2:4" ht="16" thickBot="1" x14ac:dyDescent="0.25">
      <c r="B8566" s="4">
        <v>8561</v>
      </c>
      <c r="C8566" s="4">
        <v>71.815593372148555</v>
      </c>
      <c r="D8566" s="45"/>
    </row>
    <row r="8567" spans="2:4" ht="16" thickBot="1" x14ac:dyDescent="0.25">
      <c r="B8567" s="5">
        <v>8562</v>
      </c>
      <c r="C8567" s="5">
        <v>143.35010245672984</v>
      </c>
      <c r="D8567" s="45"/>
    </row>
    <row r="8568" spans="2:4" ht="16" thickBot="1" x14ac:dyDescent="0.25">
      <c r="B8568" s="4">
        <v>8563</v>
      </c>
      <c r="C8568" s="4">
        <v>363.02330617513149</v>
      </c>
      <c r="D8568" s="45"/>
    </row>
    <row r="8569" spans="2:4" ht="16" thickBot="1" x14ac:dyDescent="0.25">
      <c r="B8569" s="5">
        <v>8564</v>
      </c>
      <c r="C8569" s="5">
        <v>118.25375559516989</v>
      </c>
      <c r="D8569" s="45"/>
    </row>
    <row r="8570" spans="2:4" ht="16" thickBot="1" x14ac:dyDescent="0.25">
      <c r="B8570" s="4">
        <v>8565</v>
      </c>
      <c r="C8570" s="4">
        <v>66.118793795449946</v>
      </c>
      <c r="D8570" s="45"/>
    </row>
    <row r="8571" spans="2:4" ht="16" thickBot="1" x14ac:dyDescent="0.25">
      <c r="B8571" s="5">
        <v>8566</v>
      </c>
      <c r="C8571" s="5">
        <v>259.75974890965989</v>
      </c>
      <c r="D8571" s="45"/>
    </row>
    <row r="8572" spans="2:4" ht="16" thickBot="1" x14ac:dyDescent="0.25">
      <c r="B8572" s="4">
        <v>8567</v>
      </c>
      <c r="C8572" s="4">
        <v>131.30217045176414</v>
      </c>
      <c r="D8572" s="45"/>
    </row>
    <row r="8573" spans="2:4" ht="16" thickBot="1" x14ac:dyDescent="0.25">
      <c r="B8573" s="5">
        <v>8568</v>
      </c>
      <c r="C8573" s="5">
        <v>171.9439114185125</v>
      </c>
      <c r="D8573" s="45"/>
    </row>
    <row r="8574" spans="2:4" ht="16" thickBot="1" x14ac:dyDescent="0.25">
      <c r="B8574" s="4">
        <v>8569</v>
      </c>
      <c r="C8574" s="4">
        <v>295.65069042313678</v>
      </c>
      <c r="D8574" s="45"/>
    </row>
    <row r="8575" spans="2:4" ht="16" thickBot="1" x14ac:dyDescent="0.25">
      <c r="B8575" s="5">
        <v>8570</v>
      </c>
      <c r="C8575" s="5">
        <v>135.48012749421002</v>
      </c>
      <c r="D8575" s="45"/>
    </row>
    <row r="8576" spans="2:4" ht="16" thickBot="1" x14ac:dyDescent="0.25">
      <c r="B8576" s="4">
        <v>8571</v>
      </c>
      <c r="C8576" s="4">
        <v>181.21534081206877</v>
      </c>
      <c r="D8576" s="45"/>
    </row>
    <row r="8577" spans="2:4" ht="16" thickBot="1" x14ac:dyDescent="0.25">
      <c r="B8577" s="5">
        <v>8572</v>
      </c>
      <c r="C8577" s="5">
        <v>136.48694985864552</v>
      </c>
      <c r="D8577" s="45"/>
    </row>
    <row r="8578" spans="2:4" ht="16" thickBot="1" x14ac:dyDescent="0.25">
      <c r="B8578" s="4">
        <v>8573</v>
      </c>
      <c r="C8578" s="4">
        <v>221.0908238709039</v>
      </c>
      <c r="D8578" s="45"/>
    </row>
    <row r="8579" spans="2:4" ht="16" thickBot="1" x14ac:dyDescent="0.25">
      <c r="B8579" s="5">
        <v>8574</v>
      </c>
      <c r="C8579" s="5">
        <v>138.21835049714346</v>
      </c>
      <c r="D8579" s="45"/>
    </row>
    <row r="8580" spans="2:4" ht="16" thickBot="1" x14ac:dyDescent="0.25">
      <c r="B8580" s="4">
        <v>8575</v>
      </c>
      <c r="C8580" s="4">
        <v>89.143742072536668</v>
      </c>
      <c r="D8580" s="45"/>
    </row>
    <row r="8581" spans="2:4" ht="16" thickBot="1" x14ac:dyDescent="0.25">
      <c r="B8581" s="5">
        <v>8576</v>
      </c>
      <c r="C8581" s="5">
        <v>129.40700135388806</v>
      </c>
      <c r="D8581" s="45"/>
    </row>
    <row r="8582" spans="2:4" ht="16" thickBot="1" x14ac:dyDescent="0.25">
      <c r="B8582" s="4">
        <v>8577</v>
      </c>
      <c r="C8582" s="4">
        <v>374.84475629004083</v>
      </c>
      <c r="D8582" s="45"/>
    </row>
    <row r="8583" spans="2:4" ht="16" thickBot="1" x14ac:dyDescent="0.25">
      <c r="B8583" s="5">
        <v>8578</v>
      </c>
      <c r="C8583" s="5">
        <v>90.351973097553198</v>
      </c>
      <c r="D8583" s="45"/>
    </row>
    <row r="8584" spans="2:4" ht="16" thickBot="1" x14ac:dyDescent="0.25">
      <c r="B8584" s="4">
        <v>8579</v>
      </c>
      <c r="C8584" s="4">
        <v>151.13698621905621</v>
      </c>
      <c r="D8584" s="45"/>
    </row>
    <row r="8585" spans="2:4" ht="16" thickBot="1" x14ac:dyDescent="0.25">
      <c r="B8585" s="5">
        <v>8580</v>
      </c>
      <c r="C8585" s="5">
        <v>200.54828901797615</v>
      </c>
      <c r="D8585" s="45"/>
    </row>
    <row r="8586" spans="2:4" ht="16" thickBot="1" x14ac:dyDescent="0.25">
      <c r="B8586" s="4">
        <v>8581</v>
      </c>
      <c r="C8586" s="4">
        <v>197.94320161713298</v>
      </c>
      <c r="D8586" s="45"/>
    </row>
    <row r="8587" spans="2:4" ht="16" thickBot="1" x14ac:dyDescent="0.25">
      <c r="B8587" s="5">
        <v>8582</v>
      </c>
      <c r="C8587" s="5">
        <v>171.14101373322688</v>
      </c>
      <c r="D8587" s="45"/>
    </row>
    <row r="8588" spans="2:4" ht="16" thickBot="1" x14ac:dyDescent="0.25">
      <c r="B8588" s="4">
        <v>8583</v>
      </c>
      <c r="C8588" s="4">
        <v>162.63425144544996</v>
      </c>
      <c r="D8588" s="45"/>
    </row>
    <row r="8589" spans="2:4" ht="16" thickBot="1" x14ac:dyDescent="0.25">
      <c r="B8589" s="5">
        <v>8584</v>
      </c>
      <c r="C8589" s="5">
        <v>380.27932167053558</v>
      </c>
      <c r="D8589" s="45"/>
    </row>
    <row r="8590" spans="2:4" ht="16" thickBot="1" x14ac:dyDescent="0.25">
      <c r="B8590" s="4">
        <v>8585</v>
      </c>
      <c r="C8590" s="4">
        <v>29.88968590978935</v>
      </c>
      <c r="D8590" s="45"/>
    </row>
    <row r="8591" spans="2:4" ht="16" thickBot="1" x14ac:dyDescent="0.25">
      <c r="B8591" s="5">
        <v>8586</v>
      </c>
      <c r="C8591" s="5">
        <v>164.89603899806119</v>
      </c>
      <c r="D8591" s="45"/>
    </row>
    <row r="8592" spans="2:4" ht="16" thickBot="1" x14ac:dyDescent="0.25">
      <c r="B8592" s="4">
        <v>8587</v>
      </c>
      <c r="C8592" s="4">
        <v>99.747284777077809</v>
      </c>
      <c r="D8592" s="45"/>
    </row>
    <row r="8593" spans="2:4" ht="16" thickBot="1" x14ac:dyDescent="0.25">
      <c r="B8593" s="5">
        <v>8588</v>
      </c>
      <c r="C8593" s="5">
        <v>213.05263683799015</v>
      </c>
      <c r="D8593" s="45"/>
    </row>
    <row r="8594" spans="2:4" ht="16" thickBot="1" x14ac:dyDescent="0.25">
      <c r="B8594" s="4">
        <v>8589</v>
      </c>
      <c r="C8594" s="4">
        <v>61.47001660518486</v>
      </c>
      <c r="D8594" s="45"/>
    </row>
    <row r="8595" spans="2:4" ht="16" thickBot="1" x14ac:dyDescent="0.25">
      <c r="B8595" s="5">
        <v>8590</v>
      </c>
      <c r="C8595" s="5">
        <v>68.653755537869074</v>
      </c>
      <c r="D8595" s="45"/>
    </row>
    <row r="8596" spans="2:4" ht="16" thickBot="1" x14ac:dyDescent="0.25">
      <c r="B8596" s="4">
        <v>8591</v>
      </c>
      <c r="C8596" s="4">
        <v>401.44294978648406</v>
      </c>
      <c r="D8596" s="45"/>
    </row>
    <row r="8597" spans="2:4" ht="16" thickBot="1" x14ac:dyDescent="0.25">
      <c r="B8597" s="5">
        <v>8592</v>
      </c>
      <c r="C8597" s="5">
        <v>186.18951961686258</v>
      </c>
      <c r="D8597" s="45"/>
    </row>
    <row r="8598" spans="2:4" ht="16" thickBot="1" x14ac:dyDescent="0.25">
      <c r="B8598" s="4">
        <v>8593</v>
      </c>
      <c r="C8598" s="4">
        <v>161.33841097402879</v>
      </c>
      <c r="D8598" s="45"/>
    </row>
    <row r="8599" spans="2:4" ht="16" thickBot="1" x14ac:dyDescent="0.25">
      <c r="B8599" s="5">
        <v>8594</v>
      </c>
      <c r="C8599" s="5">
        <v>109.6631736736189</v>
      </c>
      <c r="D8599" s="45"/>
    </row>
    <row r="8600" spans="2:4" ht="16" thickBot="1" x14ac:dyDescent="0.25">
      <c r="B8600" s="4">
        <v>8595</v>
      </c>
      <c r="C8600" s="4">
        <v>201.75801796415661</v>
      </c>
      <c r="D8600" s="45"/>
    </row>
    <row r="8601" spans="2:4" ht="16" thickBot="1" x14ac:dyDescent="0.25">
      <c r="B8601" s="5">
        <v>8596</v>
      </c>
      <c r="C8601" s="5">
        <v>117.73522853760373</v>
      </c>
      <c r="D8601" s="45"/>
    </row>
    <row r="8602" spans="2:4" ht="16" thickBot="1" x14ac:dyDescent="0.25">
      <c r="B8602" s="4">
        <v>8597</v>
      </c>
      <c r="C8602" s="4">
        <v>124.30166681952011</v>
      </c>
      <c r="D8602" s="45"/>
    </row>
    <row r="8603" spans="2:4" ht="16" thickBot="1" x14ac:dyDescent="0.25">
      <c r="B8603" s="5">
        <v>8598</v>
      </c>
      <c r="C8603" s="5">
        <v>111.03220619710437</v>
      </c>
      <c r="D8603" s="45"/>
    </row>
    <row r="8604" spans="2:4" ht="16" thickBot="1" x14ac:dyDescent="0.25">
      <c r="B8604" s="4">
        <v>8599</v>
      </c>
      <c r="C8604" s="4">
        <v>178.18499922907503</v>
      </c>
      <c r="D8604" s="45"/>
    </row>
    <row r="8605" spans="2:4" ht="16" thickBot="1" x14ac:dyDescent="0.25">
      <c r="B8605" s="5">
        <v>8600</v>
      </c>
      <c r="C8605" s="5">
        <v>79.205193296182429</v>
      </c>
      <c r="D8605" s="45"/>
    </row>
    <row r="8606" spans="2:4" ht="16" thickBot="1" x14ac:dyDescent="0.25">
      <c r="B8606" s="4">
        <v>8601</v>
      </c>
      <c r="C8606" s="4">
        <v>252.9765889304141</v>
      </c>
      <c r="D8606" s="45"/>
    </row>
    <row r="8607" spans="2:4" ht="16" thickBot="1" x14ac:dyDescent="0.25">
      <c r="B8607" s="5">
        <v>8602</v>
      </c>
      <c r="C8607" s="5">
        <v>203.03617928627477</v>
      </c>
      <c r="D8607" s="45"/>
    </row>
    <row r="8608" spans="2:4" ht="16" thickBot="1" x14ac:dyDescent="0.25">
      <c r="B8608" s="4">
        <v>8603</v>
      </c>
      <c r="C8608" s="4">
        <v>120.72371206240199</v>
      </c>
      <c r="D8608" s="45"/>
    </row>
    <row r="8609" spans="2:4" ht="16" thickBot="1" x14ac:dyDescent="0.25">
      <c r="B8609" s="5">
        <v>8604</v>
      </c>
      <c r="C8609" s="5">
        <v>103.33641002986597</v>
      </c>
      <c r="D8609" s="45"/>
    </row>
    <row r="8610" spans="2:4" ht="16" thickBot="1" x14ac:dyDescent="0.25">
      <c r="B8610" s="4">
        <v>8605</v>
      </c>
      <c r="C8610" s="4">
        <v>141.56006714790669</v>
      </c>
      <c r="D8610" s="45"/>
    </row>
    <row r="8611" spans="2:4" ht="16" thickBot="1" x14ac:dyDescent="0.25">
      <c r="B8611" s="5">
        <v>8606</v>
      </c>
      <c r="C8611" s="5">
        <v>198.49896517029504</v>
      </c>
      <c r="D8611" s="45"/>
    </row>
    <row r="8612" spans="2:4" ht="16" thickBot="1" x14ac:dyDescent="0.25">
      <c r="B8612" s="4">
        <v>8607</v>
      </c>
      <c r="C8612" s="4">
        <v>119.69482844052344</v>
      </c>
      <c r="D8612" s="45"/>
    </row>
    <row r="8613" spans="2:4" ht="16" thickBot="1" x14ac:dyDescent="0.25">
      <c r="B8613" s="5">
        <v>8608</v>
      </c>
      <c r="C8613" s="5">
        <v>137.17310286280517</v>
      </c>
      <c r="D8613" s="45"/>
    </row>
    <row r="8614" spans="2:4" ht="16" thickBot="1" x14ac:dyDescent="0.25">
      <c r="B8614" s="4">
        <v>8609</v>
      </c>
      <c r="C8614" s="4">
        <v>238.82795566531792</v>
      </c>
      <c r="D8614" s="45"/>
    </row>
    <row r="8615" spans="2:4" ht="16" thickBot="1" x14ac:dyDescent="0.25">
      <c r="B8615" s="5">
        <v>8610</v>
      </c>
      <c r="C8615" s="5">
        <v>138.01641952576759</v>
      </c>
      <c r="D8615" s="45"/>
    </row>
    <row r="8616" spans="2:4" ht="16" thickBot="1" x14ac:dyDescent="0.25">
      <c r="B8616" s="4">
        <v>8611</v>
      </c>
      <c r="C8616" s="4">
        <v>99.913827632905992</v>
      </c>
      <c r="D8616" s="45"/>
    </row>
    <row r="8617" spans="2:4" ht="16" thickBot="1" x14ac:dyDescent="0.25">
      <c r="B8617" s="5">
        <v>8612</v>
      </c>
      <c r="C8617" s="5">
        <v>249.8618487623643</v>
      </c>
      <c r="D8617" s="45"/>
    </row>
    <row r="8618" spans="2:4" ht="16" thickBot="1" x14ac:dyDescent="0.25">
      <c r="B8618" s="4">
        <v>8613</v>
      </c>
      <c r="C8618" s="4">
        <v>346.83712256355267</v>
      </c>
      <c r="D8618" s="45"/>
    </row>
    <row r="8619" spans="2:4" ht="16" thickBot="1" x14ac:dyDescent="0.25">
      <c r="B8619" s="5">
        <v>8614</v>
      </c>
      <c r="C8619" s="5">
        <v>174.10860349698717</v>
      </c>
      <c r="D8619" s="45"/>
    </row>
    <row r="8620" spans="2:4" ht="16" thickBot="1" x14ac:dyDescent="0.25">
      <c r="B8620" s="4">
        <v>8615</v>
      </c>
      <c r="C8620" s="4">
        <v>203.87445840286571</v>
      </c>
      <c r="D8620" s="45"/>
    </row>
    <row r="8621" spans="2:4" ht="16" thickBot="1" x14ac:dyDescent="0.25">
      <c r="B8621" s="5">
        <v>8616</v>
      </c>
      <c r="C8621" s="5">
        <v>114.81131732170357</v>
      </c>
      <c r="D8621" s="45"/>
    </row>
    <row r="8622" spans="2:4" ht="16" thickBot="1" x14ac:dyDescent="0.25">
      <c r="B8622" s="4">
        <v>8617</v>
      </c>
      <c r="C8622" s="4">
        <v>159.05371706806017</v>
      </c>
      <c r="D8622" s="45"/>
    </row>
    <row r="8623" spans="2:4" ht="16" thickBot="1" x14ac:dyDescent="0.25">
      <c r="B8623" s="5">
        <v>8618</v>
      </c>
      <c r="C8623" s="5">
        <v>145.46332507639963</v>
      </c>
      <c r="D8623" s="45"/>
    </row>
    <row r="8624" spans="2:4" ht="16" thickBot="1" x14ac:dyDescent="0.25">
      <c r="B8624" s="4">
        <v>8619</v>
      </c>
      <c r="C8624" s="4">
        <v>164.57581115659832</v>
      </c>
      <c r="D8624" s="45"/>
    </row>
    <row r="8625" spans="2:4" ht="16" thickBot="1" x14ac:dyDescent="0.25">
      <c r="B8625" s="5">
        <v>8620</v>
      </c>
      <c r="C8625" s="5">
        <v>132.15064772222732</v>
      </c>
      <c r="D8625" s="45"/>
    </row>
    <row r="8626" spans="2:4" ht="16" thickBot="1" x14ac:dyDescent="0.25">
      <c r="B8626" s="4">
        <v>8621</v>
      </c>
      <c r="C8626" s="4">
        <v>75.692961750712939</v>
      </c>
      <c r="D8626" s="45"/>
    </row>
    <row r="8627" spans="2:4" ht="16" thickBot="1" x14ac:dyDescent="0.25">
      <c r="B8627" s="5">
        <v>8622</v>
      </c>
      <c r="C8627" s="5">
        <v>239.64222961844058</v>
      </c>
      <c r="D8627" s="45"/>
    </row>
    <row r="8628" spans="2:4" ht="16" thickBot="1" x14ac:dyDescent="0.25">
      <c r="B8628" s="4">
        <v>8623</v>
      </c>
      <c r="C8628" s="4">
        <v>133.14730285840409</v>
      </c>
      <c r="D8628" s="45"/>
    </row>
    <row r="8629" spans="2:4" ht="16" thickBot="1" x14ac:dyDescent="0.25">
      <c r="B8629" s="5">
        <v>8624</v>
      </c>
      <c r="C8629" s="5">
        <v>94.580970451944793</v>
      </c>
      <c r="D8629" s="45"/>
    </row>
    <row r="8630" spans="2:4" ht="16" thickBot="1" x14ac:dyDescent="0.25">
      <c r="B8630" s="4">
        <v>8625</v>
      </c>
      <c r="C8630" s="4">
        <v>115.4775230063822</v>
      </c>
      <c r="D8630" s="45"/>
    </row>
    <row r="8631" spans="2:4" ht="16" thickBot="1" x14ac:dyDescent="0.25">
      <c r="B8631" s="5">
        <v>8626</v>
      </c>
      <c r="C8631" s="5">
        <v>169.10221673104544</v>
      </c>
      <c r="D8631" s="45"/>
    </row>
    <row r="8632" spans="2:4" ht="16" thickBot="1" x14ac:dyDescent="0.25">
      <c r="B8632" s="4">
        <v>8627</v>
      </c>
      <c r="C8632" s="4">
        <v>216.10012177325891</v>
      </c>
      <c r="D8632" s="45"/>
    </row>
    <row r="8633" spans="2:4" ht="16" thickBot="1" x14ac:dyDescent="0.25">
      <c r="B8633" s="5">
        <v>8628</v>
      </c>
      <c r="C8633" s="5">
        <v>167.16824524607765</v>
      </c>
      <c r="D8633" s="45"/>
    </row>
    <row r="8634" spans="2:4" ht="16" thickBot="1" x14ac:dyDescent="0.25">
      <c r="B8634" s="4">
        <v>8629</v>
      </c>
      <c r="C8634" s="4">
        <v>109.88588078395972</v>
      </c>
      <c r="D8634" s="45"/>
    </row>
    <row r="8635" spans="2:4" ht="16" thickBot="1" x14ac:dyDescent="0.25">
      <c r="B8635" s="5">
        <v>8630</v>
      </c>
      <c r="C8635" s="5">
        <v>127.51570541770256</v>
      </c>
      <c r="D8635" s="45"/>
    </row>
    <row r="8636" spans="2:4" ht="16" thickBot="1" x14ac:dyDescent="0.25">
      <c r="B8636" s="4">
        <v>8631</v>
      </c>
      <c r="C8636" s="4">
        <v>190.33675248954953</v>
      </c>
      <c r="D8636" s="45"/>
    </row>
    <row r="8637" spans="2:4" ht="16" thickBot="1" x14ac:dyDescent="0.25">
      <c r="B8637" s="5">
        <v>8632</v>
      </c>
      <c r="C8637" s="5">
        <v>174.22589890509414</v>
      </c>
      <c r="D8637" s="45"/>
    </row>
    <row r="8638" spans="2:4" ht="16" thickBot="1" x14ac:dyDescent="0.25">
      <c r="B8638" s="4">
        <v>8633</v>
      </c>
      <c r="C8638" s="4">
        <v>278.59665084314935</v>
      </c>
      <c r="D8638" s="45"/>
    </row>
    <row r="8639" spans="2:4" ht="16" thickBot="1" x14ac:dyDescent="0.25">
      <c r="B8639" s="5">
        <v>8634</v>
      </c>
      <c r="C8639" s="5">
        <v>324.14229344124601</v>
      </c>
      <c r="D8639" s="45"/>
    </row>
    <row r="8640" spans="2:4" ht="16" thickBot="1" x14ac:dyDescent="0.25">
      <c r="B8640" s="4">
        <v>8635</v>
      </c>
      <c r="C8640" s="4">
        <v>123.13237035346168</v>
      </c>
      <c r="D8640" s="45"/>
    </row>
    <row r="8641" spans="2:4" ht="16" thickBot="1" x14ac:dyDescent="0.25">
      <c r="B8641" s="5">
        <v>8636</v>
      </c>
      <c r="C8641" s="5">
        <v>114.6360043357235</v>
      </c>
      <c r="D8641" s="45"/>
    </row>
    <row r="8642" spans="2:4" ht="16" thickBot="1" x14ac:dyDescent="0.25">
      <c r="B8642" s="4">
        <v>8637</v>
      </c>
      <c r="C8642" s="4">
        <v>112.24378967930939</v>
      </c>
      <c r="D8642" s="45"/>
    </row>
    <row r="8643" spans="2:4" ht="16" thickBot="1" x14ac:dyDescent="0.25">
      <c r="B8643" s="5">
        <v>8638</v>
      </c>
      <c r="C8643" s="5">
        <v>76.737856080848715</v>
      </c>
      <c r="D8643" s="45"/>
    </row>
    <row r="8644" spans="2:4" ht="16" thickBot="1" x14ac:dyDescent="0.25">
      <c r="B8644" s="4">
        <v>8639</v>
      </c>
      <c r="C8644" s="4">
        <v>62.921452863427547</v>
      </c>
      <c r="D8644" s="45"/>
    </row>
    <row r="8645" spans="2:4" ht="16" thickBot="1" x14ac:dyDescent="0.25">
      <c r="B8645" s="5">
        <v>8640</v>
      </c>
      <c r="C8645" s="5">
        <v>71.735982048252197</v>
      </c>
      <c r="D8645" s="45"/>
    </row>
    <row r="8646" spans="2:4" ht="16" thickBot="1" x14ac:dyDescent="0.25">
      <c r="B8646" s="4">
        <v>8641</v>
      </c>
      <c r="C8646" s="4">
        <v>92.541651096240344</v>
      </c>
      <c r="D8646" s="45"/>
    </row>
    <row r="8647" spans="2:4" ht="16" thickBot="1" x14ac:dyDescent="0.25">
      <c r="B8647" s="5">
        <v>8642</v>
      </c>
      <c r="C8647" s="5">
        <v>141.83107390298971</v>
      </c>
      <c r="D8647" s="45"/>
    </row>
    <row r="8648" spans="2:4" ht="16" thickBot="1" x14ac:dyDescent="0.25">
      <c r="B8648" s="4">
        <v>8643</v>
      </c>
      <c r="C8648" s="4">
        <v>87.547618692803169</v>
      </c>
      <c r="D8648" s="45"/>
    </row>
    <row r="8649" spans="2:4" ht="16" thickBot="1" x14ac:dyDescent="0.25">
      <c r="B8649" s="5">
        <v>8644</v>
      </c>
      <c r="C8649" s="5">
        <v>93.982501372044737</v>
      </c>
      <c r="D8649" s="45"/>
    </row>
    <row r="8650" spans="2:4" ht="16" thickBot="1" x14ac:dyDescent="0.25">
      <c r="B8650" s="4">
        <v>8645</v>
      </c>
      <c r="C8650" s="4">
        <v>292.04243030990045</v>
      </c>
      <c r="D8650" s="45"/>
    </row>
    <row r="8651" spans="2:4" ht="16" thickBot="1" x14ac:dyDescent="0.25">
      <c r="B8651" s="5">
        <v>8646</v>
      </c>
      <c r="C8651" s="5">
        <v>134.08112770015535</v>
      </c>
      <c r="D8651" s="45"/>
    </row>
    <row r="8652" spans="2:4" ht="16" thickBot="1" x14ac:dyDescent="0.25">
      <c r="B8652" s="4">
        <v>8647</v>
      </c>
      <c r="C8652" s="4">
        <v>501.56796077608169</v>
      </c>
      <c r="D8652" s="45"/>
    </row>
    <row r="8653" spans="2:4" ht="16" thickBot="1" x14ac:dyDescent="0.25">
      <c r="B8653" s="5">
        <v>8648</v>
      </c>
      <c r="C8653" s="5">
        <v>58.066429090443116</v>
      </c>
      <c r="D8653" s="45"/>
    </row>
    <row r="8654" spans="2:4" ht="16" thickBot="1" x14ac:dyDescent="0.25">
      <c r="B8654" s="4">
        <v>8649</v>
      </c>
      <c r="C8654" s="4">
        <v>103.36763286407026</v>
      </c>
      <c r="D8654" s="45"/>
    </row>
    <row r="8655" spans="2:4" ht="16" thickBot="1" x14ac:dyDescent="0.25">
      <c r="B8655" s="5">
        <v>8650</v>
      </c>
      <c r="C8655" s="5">
        <v>75.510849104014483</v>
      </c>
      <c r="D8655" s="45"/>
    </row>
    <row r="8656" spans="2:4" ht="16" thickBot="1" x14ac:dyDescent="0.25">
      <c r="B8656" s="4">
        <v>8651</v>
      </c>
      <c r="C8656" s="4">
        <v>357.53472718122345</v>
      </c>
      <c r="D8656" s="45"/>
    </row>
    <row r="8657" spans="2:4" ht="16" thickBot="1" x14ac:dyDescent="0.25">
      <c r="B8657" s="5">
        <v>8652</v>
      </c>
      <c r="C8657" s="5">
        <v>135.6304663176052</v>
      </c>
      <c r="D8657" s="45"/>
    </row>
    <row r="8658" spans="2:4" ht="16" thickBot="1" x14ac:dyDescent="0.25">
      <c r="B8658" s="4">
        <v>8653</v>
      </c>
      <c r="C8658" s="4">
        <v>88.30143502381938</v>
      </c>
      <c r="D8658" s="45"/>
    </row>
    <row r="8659" spans="2:4" ht="16" thickBot="1" x14ac:dyDescent="0.25">
      <c r="B8659" s="5">
        <v>8654</v>
      </c>
      <c r="C8659" s="5">
        <v>127.01891602990203</v>
      </c>
      <c r="D8659" s="45"/>
    </row>
    <row r="8660" spans="2:4" ht="16" thickBot="1" x14ac:dyDescent="0.25">
      <c r="B8660" s="4">
        <v>8655</v>
      </c>
      <c r="C8660" s="4">
        <v>212.10076775077195</v>
      </c>
      <c r="D8660" s="45"/>
    </row>
    <row r="8661" spans="2:4" ht="16" thickBot="1" x14ac:dyDescent="0.25">
      <c r="B8661" s="5">
        <v>8656</v>
      </c>
      <c r="C8661" s="5">
        <v>111.6215774370052</v>
      </c>
      <c r="D8661" s="45"/>
    </row>
    <row r="8662" spans="2:4" ht="16" thickBot="1" x14ac:dyDescent="0.25">
      <c r="B8662" s="4">
        <v>8657</v>
      </c>
      <c r="C8662" s="4">
        <v>144.42616664267908</v>
      </c>
      <c r="D8662" s="45"/>
    </row>
    <row r="8663" spans="2:4" ht="16" thickBot="1" x14ac:dyDescent="0.25">
      <c r="B8663" s="5">
        <v>8658</v>
      </c>
      <c r="C8663" s="5">
        <v>103.37390323628252</v>
      </c>
      <c r="D8663" s="45"/>
    </row>
    <row r="8664" spans="2:4" ht="16" thickBot="1" x14ac:dyDescent="0.25">
      <c r="B8664" s="4">
        <v>8659</v>
      </c>
      <c r="C8664" s="4">
        <v>121.88603699962998</v>
      </c>
      <c r="D8664" s="45"/>
    </row>
    <row r="8665" spans="2:4" ht="16" thickBot="1" x14ac:dyDescent="0.25">
      <c r="B8665" s="5">
        <v>8660</v>
      </c>
      <c r="C8665" s="5">
        <v>113.39698937501994</v>
      </c>
      <c r="D8665" s="45"/>
    </row>
    <row r="8666" spans="2:4" ht="16" thickBot="1" x14ac:dyDescent="0.25">
      <c r="B8666" s="4">
        <v>8661</v>
      </c>
      <c r="C8666" s="4">
        <v>177.36863955755939</v>
      </c>
      <c r="D8666" s="45"/>
    </row>
    <row r="8667" spans="2:4" ht="16" thickBot="1" x14ac:dyDescent="0.25">
      <c r="B8667" s="5">
        <v>8662</v>
      </c>
      <c r="C8667" s="5">
        <v>471.84965691529601</v>
      </c>
      <c r="D8667" s="45"/>
    </row>
    <row r="8668" spans="2:4" ht="16" thickBot="1" x14ac:dyDescent="0.25">
      <c r="B8668" s="4">
        <v>8663</v>
      </c>
      <c r="C8668" s="4">
        <v>313.00275941280643</v>
      </c>
      <c r="D8668" s="45"/>
    </row>
    <row r="8669" spans="2:4" ht="16" thickBot="1" x14ac:dyDescent="0.25">
      <c r="B8669" s="5">
        <v>8664</v>
      </c>
      <c r="C8669" s="5">
        <v>94.72258912414182</v>
      </c>
      <c r="D8669" s="45"/>
    </row>
    <row r="8670" spans="2:4" ht="16" thickBot="1" x14ac:dyDescent="0.25">
      <c r="B8670" s="4">
        <v>8665</v>
      </c>
      <c r="C8670" s="4">
        <v>191.11129502422517</v>
      </c>
      <c r="D8670" s="45"/>
    </row>
    <row r="8671" spans="2:4" ht="16" thickBot="1" x14ac:dyDescent="0.25">
      <c r="B8671" s="5">
        <v>8666</v>
      </c>
      <c r="C8671" s="5">
        <v>69.879039139571887</v>
      </c>
      <c r="D8671" s="45"/>
    </row>
    <row r="8672" spans="2:4" ht="16" thickBot="1" x14ac:dyDescent="0.25">
      <c r="B8672" s="4">
        <v>8667</v>
      </c>
      <c r="C8672" s="4">
        <v>149.693960307022</v>
      </c>
      <c r="D8672" s="45"/>
    </row>
    <row r="8673" spans="2:4" ht="16" thickBot="1" x14ac:dyDescent="0.25">
      <c r="B8673" s="5">
        <v>8668</v>
      </c>
      <c r="C8673" s="5">
        <v>341.4349873386538</v>
      </c>
      <c r="D8673" s="45"/>
    </row>
    <row r="8674" spans="2:4" ht="16" thickBot="1" x14ac:dyDescent="0.25">
      <c r="B8674" s="4">
        <v>8669</v>
      </c>
      <c r="C8674" s="4">
        <v>113.2110770797057</v>
      </c>
      <c r="D8674" s="45"/>
    </row>
    <row r="8675" spans="2:4" ht="16" thickBot="1" x14ac:dyDescent="0.25">
      <c r="B8675" s="5">
        <v>8670</v>
      </c>
      <c r="C8675" s="5">
        <v>55.733573593376242</v>
      </c>
      <c r="D8675" s="45"/>
    </row>
    <row r="8676" spans="2:4" ht="16" thickBot="1" x14ac:dyDescent="0.25">
      <c r="B8676" s="4">
        <v>8671</v>
      </c>
      <c r="C8676" s="4">
        <v>102.35525776782239</v>
      </c>
      <c r="D8676" s="45"/>
    </row>
    <row r="8677" spans="2:4" ht="16" thickBot="1" x14ac:dyDescent="0.25">
      <c r="B8677" s="5">
        <v>8672</v>
      </c>
      <c r="C8677" s="5">
        <v>159.19513546770142</v>
      </c>
      <c r="D8677" s="45"/>
    </row>
    <row r="8678" spans="2:4" ht="16" thickBot="1" x14ac:dyDescent="0.25">
      <c r="B8678" s="4">
        <v>8673</v>
      </c>
      <c r="C8678" s="4">
        <v>178.18370931840289</v>
      </c>
      <c r="D8678" s="45"/>
    </row>
    <row r="8679" spans="2:4" ht="16" thickBot="1" x14ac:dyDescent="0.25">
      <c r="B8679" s="5">
        <v>8674</v>
      </c>
      <c r="C8679" s="5">
        <v>163.37721248518483</v>
      </c>
      <c r="D8679" s="45"/>
    </row>
    <row r="8680" spans="2:4" ht="16" thickBot="1" x14ac:dyDescent="0.25">
      <c r="B8680" s="4">
        <v>8675</v>
      </c>
      <c r="C8680" s="4">
        <v>189.04706872965215</v>
      </c>
      <c r="D8680" s="45"/>
    </row>
    <row r="8681" spans="2:4" ht="16" thickBot="1" x14ac:dyDescent="0.25">
      <c r="B8681" s="5">
        <v>8676</v>
      </c>
      <c r="C8681" s="5">
        <v>131.79258652941124</v>
      </c>
      <c r="D8681" s="45"/>
    </row>
    <row r="8682" spans="2:4" ht="16" thickBot="1" x14ac:dyDescent="0.25">
      <c r="B8682" s="4">
        <v>8677</v>
      </c>
      <c r="C8682" s="4">
        <v>60.365531762964245</v>
      </c>
      <c r="D8682" s="45"/>
    </row>
    <row r="8683" spans="2:4" ht="16" thickBot="1" x14ac:dyDescent="0.25">
      <c r="B8683" s="5">
        <v>8678</v>
      </c>
      <c r="C8683" s="5">
        <v>271.33767736740447</v>
      </c>
      <c r="D8683" s="45"/>
    </row>
    <row r="8684" spans="2:4" ht="16" thickBot="1" x14ac:dyDescent="0.25">
      <c r="B8684" s="4">
        <v>8679</v>
      </c>
      <c r="C8684" s="4">
        <v>174.44308673866308</v>
      </c>
      <c r="D8684" s="45"/>
    </row>
    <row r="8685" spans="2:4" ht="16" thickBot="1" x14ac:dyDescent="0.25">
      <c r="B8685" s="5">
        <v>8680</v>
      </c>
      <c r="C8685" s="5">
        <v>131.19673800023665</v>
      </c>
      <c r="D8685" s="45"/>
    </row>
    <row r="8686" spans="2:4" ht="16" thickBot="1" x14ac:dyDescent="0.25">
      <c r="B8686" s="4">
        <v>8681</v>
      </c>
      <c r="C8686" s="4">
        <v>133.68539139072334</v>
      </c>
      <c r="D8686" s="45"/>
    </row>
    <row r="8687" spans="2:4" ht="16" thickBot="1" x14ac:dyDescent="0.25">
      <c r="B8687" s="5">
        <v>8682</v>
      </c>
      <c r="C8687" s="5">
        <v>135.74532979909412</v>
      </c>
      <c r="D8687" s="45"/>
    </row>
    <row r="8688" spans="2:4" ht="16" thickBot="1" x14ac:dyDescent="0.25">
      <c r="B8688" s="4">
        <v>8683</v>
      </c>
      <c r="C8688" s="4">
        <v>184.28874671904174</v>
      </c>
      <c r="D8688" s="45"/>
    </row>
    <row r="8689" spans="2:4" ht="16" thickBot="1" x14ac:dyDescent="0.25">
      <c r="B8689" s="5">
        <v>8684</v>
      </c>
      <c r="C8689" s="5">
        <v>102.53389684722227</v>
      </c>
      <c r="D8689" s="45"/>
    </row>
    <row r="8690" spans="2:4" ht="16" thickBot="1" x14ac:dyDescent="0.25">
      <c r="B8690" s="4">
        <v>8685</v>
      </c>
      <c r="C8690" s="4">
        <v>95.78164158425794</v>
      </c>
      <c r="D8690" s="45"/>
    </row>
    <row r="8691" spans="2:4" ht="16" thickBot="1" x14ac:dyDescent="0.25">
      <c r="B8691" s="5">
        <v>8686</v>
      </c>
      <c r="C8691" s="5">
        <v>314.41967977760788</v>
      </c>
      <c r="D8691" s="45"/>
    </row>
    <row r="8692" spans="2:4" ht="16" thickBot="1" x14ac:dyDescent="0.25">
      <c r="B8692" s="4">
        <v>8687</v>
      </c>
      <c r="C8692" s="4">
        <v>223.72724921587772</v>
      </c>
      <c r="D8692" s="45"/>
    </row>
    <row r="8693" spans="2:4" ht="16" thickBot="1" x14ac:dyDescent="0.25">
      <c r="B8693" s="5">
        <v>8688</v>
      </c>
      <c r="C8693" s="5">
        <v>293.66212915275946</v>
      </c>
      <c r="D8693" s="45"/>
    </row>
    <row r="8694" spans="2:4" ht="16" thickBot="1" x14ac:dyDescent="0.25">
      <c r="B8694" s="4">
        <v>8689</v>
      </c>
      <c r="C8694" s="4">
        <v>55.156353788365188</v>
      </c>
      <c r="D8694" s="45"/>
    </row>
    <row r="8695" spans="2:4" ht="16" thickBot="1" x14ac:dyDescent="0.25">
      <c r="B8695" s="5">
        <v>8690</v>
      </c>
      <c r="C8695" s="5">
        <v>67.130062800895459</v>
      </c>
      <c r="D8695" s="45"/>
    </row>
    <row r="8696" spans="2:4" ht="16" thickBot="1" x14ac:dyDescent="0.25">
      <c r="B8696" s="4">
        <v>8691</v>
      </c>
      <c r="C8696" s="4">
        <v>27.833096407120223</v>
      </c>
      <c r="D8696" s="45"/>
    </row>
    <row r="8697" spans="2:4" ht="16" thickBot="1" x14ac:dyDescent="0.25">
      <c r="B8697" s="5">
        <v>8692</v>
      </c>
      <c r="C8697" s="5">
        <v>120.28489281364143</v>
      </c>
      <c r="D8697" s="45"/>
    </row>
    <row r="8698" spans="2:4" ht="16" thickBot="1" x14ac:dyDescent="0.25">
      <c r="B8698" s="4">
        <v>8693</v>
      </c>
      <c r="C8698" s="4">
        <v>257.47300621450745</v>
      </c>
      <c r="D8698" s="45"/>
    </row>
    <row r="8699" spans="2:4" ht="16" thickBot="1" x14ac:dyDescent="0.25">
      <c r="B8699" s="5">
        <v>8694</v>
      </c>
      <c r="C8699" s="5">
        <v>159.95577923353517</v>
      </c>
      <c r="D8699" s="45"/>
    </row>
    <row r="8700" spans="2:4" ht="16" thickBot="1" x14ac:dyDescent="0.25">
      <c r="B8700" s="4">
        <v>8695</v>
      </c>
      <c r="C8700" s="4">
        <v>121.80773702540891</v>
      </c>
      <c r="D8700" s="45"/>
    </row>
    <row r="8701" spans="2:4" ht="16" thickBot="1" x14ac:dyDescent="0.25">
      <c r="B8701" s="5">
        <v>8696</v>
      </c>
      <c r="C8701" s="5">
        <v>85.302365320430766</v>
      </c>
      <c r="D8701" s="45"/>
    </row>
    <row r="8702" spans="2:4" ht="16" thickBot="1" x14ac:dyDescent="0.25">
      <c r="B8702" s="4">
        <v>8697</v>
      </c>
      <c r="C8702" s="4">
        <v>118.36686405090647</v>
      </c>
      <c r="D8702" s="45"/>
    </row>
    <row r="8703" spans="2:4" ht="16" thickBot="1" x14ac:dyDescent="0.25">
      <c r="B8703" s="5">
        <v>8698</v>
      </c>
      <c r="C8703" s="5">
        <v>301.16684274436784</v>
      </c>
      <c r="D8703" s="45"/>
    </row>
    <row r="8704" spans="2:4" ht="16" thickBot="1" x14ac:dyDescent="0.25">
      <c r="B8704" s="4">
        <v>8699</v>
      </c>
      <c r="C8704" s="4">
        <v>130.78803841031782</v>
      </c>
      <c r="D8704" s="45"/>
    </row>
    <row r="8705" spans="2:4" ht="16" thickBot="1" x14ac:dyDescent="0.25">
      <c r="B8705" s="5">
        <v>8700</v>
      </c>
      <c r="C8705" s="5">
        <v>99.614844404324003</v>
      </c>
      <c r="D8705" s="45"/>
    </row>
    <row r="8706" spans="2:4" ht="16" thickBot="1" x14ac:dyDescent="0.25">
      <c r="B8706" s="4">
        <v>8701</v>
      </c>
      <c r="C8706" s="4">
        <v>115.8567540799197</v>
      </c>
      <c r="D8706" s="45"/>
    </row>
    <row r="8707" spans="2:4" ht="16" thickBot="1" x14ac:dyDescent="0.25">
      <c r="B8707" s="5">
        <v>8702</v>
      </c>
      <c r="C8707" s="5">
        <v>80.963337519006956</v>
      </c>
      <c r="D8707" s="45"/>
    </row>
    <row r="8708" spans="2:4" ht="16" thickBot="1" x14ac:dyDescent="0.25">
      <c r="B8708" s="4">
        <v>8703</v>
      </c>
      <c r="C8708" s="4">
        <v>339.93962338099936</v>
      </c>
      <c r="D8708" s="45"/>
    </row>
    <row r="8709" spans="2:4" ht="16" thickBot="1" x14ac:dyDescent="0.25">
      <c r="B8709" s="5">
        <v>8704</v>
      </c>
      <c r="C8709" s="5">
        <v>244.51014793667264</v>
      </c>
      <c r="D8709" s="45"/>
    </row>
    <row r="8710" spans="2:4" ht="16" thickBot="1" x14ac:dyDescent="0.25">
      <c r="B8710" s="4">
        <v>8705</v>
      </c>
      <c r="C8710" s="4">
        <v>161.39041444731137</v>
      </c>
      <c r="D8710" s="45"/>
    </row>
    <row r="8711" spans="2:4" ht="16" thickBot="1" x14ac:dyDescent="0.25">
      <c r="B8711" s="5">
        <v>8706</v>
      </c>
      <c r="C8711" s="5">
        <v>388.89809331501789</v>
      </c>
      <c r="D8711" s="45"/>
    </row>
    <row r="8712" spans="2:4" ht="16" thickBot="1" x14ac:dyDescent="0.25">
      <c r="B8712" s="4">
        <v>8707</v>
      </c>
      <c r="C8712" s="4">
        <v>73.747389377773246</v>
      </c>
      <c r="D8712" s="45"/>
    </row>
    <row r="8713" spans="2:4" ht="16" thickBot="1" x14ac:dyDescent="0.25">
      <c r="B8713" s="5">
        <v>8708</v>
      </c>
      <c r="C8713" s="5">
        <v>212.60333701062461</v>
      </c>
      <c r="D8713" s="45"/>
    </row>
    <row r="8714" spans="2:4" ht="16" thickBot="1" x14ac:dyDescent="0.25">
      <c r="B8714" s="4">
        <v>8709</v>
      </c>
      <c r="C8714" s="4">
        <v>242.27690870452017</v>
      </c>
      <c r="D8714" s="45"/>
    </row>
    <row r="8715" spans="2:4" ht="16" thickBot="1" x14ac:dyDescent="0.25">
      <c r="B8715" s="5">
        <v>8710</v>
      </c>
      <c r="C8715" s="5">
        <v>141.85514994120905</v>
      </c>
      <c r="D8715" s="45"/>
    </row>
    <row r="8716" spans="2:4" ht="16" thickBot="1" x14ac:dyDescent="0.25">
      <c r="B8716" s="4">
        <v>8711</v>
      </c>
      <c r="C8716" s="4">
        <v>150.6487876152128</v>
      </c>
      <c r="D8716" s="45"/>
    </row>
    <row r="8717" spans="2:4" ht="16" thickBot="1" x14ac:dyDescent="0.25">
      <c r="B8717" s="5">
        <v>8712</v>
      </c>
      <c r="C8717" s="5">
        <v>96.353128500292641</v>
      </c>
      <c r="D8717" s="45"/>
    </row>
    <row r="8718" spans="2:4" ht="16" thickBot="1" x14ac:dyDescent="0.25">
      <c r="B8718" s="4">
        <v>8713</v>
      </c>
      <c r="C8718" s="4">
        <v>109.24492551979226</v>
      </c>
      <c r="D8718" s="45"/>
    </row>
    <row r="8719" spans="2:4" ht="16" thickBot="1" x14ac:dyDescent="0.25">
      <c r="B8719" s="5">
        <v>8714</v>
      </c>
      <c r="C8719" s="5">
        <v>201.51023171699075</v>
      </c>
      <c r="D8719" s="45"/>
    </row>
    <row r="8720" spans="2:4" ht="16" thickBot="1" x14ac:dyDescent="0.25">
      <c r="B8720" s="4">
        <v>8715</v>
      </c>
      <c r="C8720" s="4">
        <v>132.2349502637457</v>
      </c>
      <c r="D8720" s="45"/>
    </row>
    <row r="8721" spans="2:4" ht="16" thickBot="1" x14ac:dyDescent="0.25">
      <c r="B8721" s="5">
        <v>8716</v>
      </c>
      <c r="C8721" s="5">
        <v>122.12760461772383</v>
      </c>
      <c r="D8721" s="45"/>
    </row>
    <row r="8722" spans="2:4" ht="16" thickBot="1" x14ac:dyDescent="0.25">
      <c r="B8722" s="4">
        <v>8717</v>
      </c>
      <c r="C8722" s="4">
        <v>134.85868047516999</v>
      </c>
      <c r="D8722" s="45"/>
    </row>
    <row r="8723" spans="2:4" ht="16" thickBot="1" x14ac:dyDescent="0.25">
      <c r="B8723" s="5">
        <v>8718</v>
      </c>
      <c r="C8723" s="5">
        <v>145.50008878422946</v>
      </c>
      <c r="D8723" s="45"/>
    </row>
    <row r="8724" spans="2:4" ht="16" thickBot="1" x14ac:dyDescent="0.25">
      <c r="B8724" s="4">
        <v>8719</v>
      </c>
      <c r="C8724" s="4">
        <v>93.363496899913088</v>
      </c>
      <c r="D8724" s="45"/>
    </row>
    <row r="8725" spans="2:4" ht="16" thickBot="1" x14ac:dyDescent="0.25">
      <c r="B8725" s="5">
        <v>8720</v>
      </c>
      <c r="C8725" s="5">
        <v>346.00365018013889</v>
      </c>
      <c r="D8725" s="45"/>
    </row>
    <row r="8726" spans="2:4" ht="16" thickBot="1" x14ac:dyDescent="0.25">
      <c r="B8726" s="4">
        <v>8721</v>
      </c>
      <c r="C8726" s="4">
        <v>319.41835921412741</v>
      </c>
      <c r="D8726" s="45"/>
    </row>
    <row r="8727" spans="2:4" ht="16" thickBot="1" x14ac:dyDescent="0.25">
      <c r="B8727" s="5">
        <v>8722</v>
      </c>
      <c r="C8727" s="5">
        <v>97.292402506582846</v>
      </c>
      <c r="D8727" s="45"/>
    </row>
    <row r="8728" spans="2:4" ht="16" thickBot="1" x14ac:dyDescent="0.25">
      <c r="B8728" s="4">
        <v>8723</v>
      </c>
      <c r="C8728" s="4">
        <v>115.90038562548087</v>
      </c>
      <c r="D8728" s="45"/>
    </row>
    <row r="8729" spans="2:4" ht="16" thickBot="1" x14ac:dyDescent="0.25">
      <c r="B8729" s="5">
        <v>8724</v>
      </c>
      <c r="C8729" s="5">
        <v>223.7077364550976</v>
      </c>
      <c r="D8729" s="45"/>
    </row>
    <row r="8730" spans="2:4" ht="16" thickBot="1" x14ac:dyDescent="0.25">
      <c r="B8730" s="4">
        <v>8725</v>
      </c>
      <c r="C8730" s="4">
        <v>125.5420985100706</v>
      </c>
      <c r="D8730" s="45"/>
    </row>
    <row r="8731" spans="2:4" ht="16" thickBot="1" x14ac:dyDescent="0.25">
      <c r="B8731" s="5">
        <v>8726</v>
      </c>
      <c r="C8731" s="5">
        <v>197.49146026976908</v>
      </c>
      <c r="D8731" s="45"/>
    </row>
    <row r="8732" spans="2:4" ht="16" thickBot="1" x14ac:dyDescent="0.25">
      <c r="B8732" s="4">
        <v>8727</v>
      </c>
      <c r="C8732" s="4">
        <v>134.00084907830592</v>
      </c>
      <c r="D8732" s="45"/>
    </row>
    <row r="8733" spans="2:4" ht="16" thickBot="1" x14ac:dyDescent="0.25">
      <c r="B8733" s="5">
        <v>8728</v>
      </c>
      <c r="C8733" s="5">
        <v>122.78805118825498</v>
      </c>
      <c r="D8733" s="45"/>
    </row>
    <row r="8734" spans="2:4" ht="16" thickBot="1" x14ac:dyDescent="0.25">
      <c r="B8734" s="4">
        <v>8729</v>
      </c>
      <c r="C8734" s="4">
        <v>40.370280063141792</v>
      </c>
      <c r="D8734" s="45"/>
    </row>
    <row r="8735" spans="2:4" ht="16" thickBot="1" x14ac:dyDescent="0.25">
      <c r="B8735" s="5">
        <v>8730</v>
      </c>
      <c r="C8735" s="5">
        <v>85.958492880025787</v>
      </c>
      <c r="D8735" s="45"/>
    </row>
    <row r="8736" spans="2:4" ht="16" thickBot="1" x14ac:dyDescent="0.25">
      <c r="B8736" s="4">
        <v>8731</v>
      </c>
      <c r="C8736" s="4">
        <v>45.769776920868161</v>
      </c>
      <c r="D8736" s="45"/>
    </row>
    <row r="8737" spans="2:4" ht="16" thickBot="1" x14ac:dyDescent="0.25">
      <c r="B8737" s="5">
        <v>8732</v>
      </c>
      <c r="C8737" s="5">
        <v>45.458712950352471</v>
      </c>
      <c r="D8737" s="45"/>
    </row>
    <row r="8738" spans="2:4" ht="16" thickBot="1" x14ac:dyDescent="0.25">
      <c r="B8738" s="4">
        <v>8733</v>
      </c>
      <c r="C8738" s="4">
        <v>209.51691011082457</v>
      </c>
      <c r="D8738" s="45"/>
    </row>
    <row r="8739" spans="2:4" ht="16" thickBot="1" x14ac:dyDescent="0.25">
      <c r="B8739" s="5">
        <v>8734</v>
      </c>
      <c r="C8739" s="5">
        <v>194.09190642123531</v>
      </c>
      <c r="D8739" s="45"/>
    </row>
    <row r="8740" spans="2:4" ht="16" thickBot="1" x14ac:dyDescent="0.25">
      <c r="B8740" s="4">
        <v>8735</v>
      </c>
      <c r="C8740" s="4">
        <v>111.41200348397589</v>
      </c>
      <c r="D8740" s="45"/>
    </row>
    <row r="8741" spans="2:4" ht="16" thickBot="1" x14ac:dyDescent="0.25">
      <c r="B8741" s="5">
        <v>8736</v>
      </c>
      <c r="C8741" s="5">
        <v>168.4975860427171</v>
      </c>
      <c r="D8741" s="45"/>
    </row>
    <row r="8742" spans="2:4" ht="16" thickBot="1" x14ac:dyDescent="0.25">
      <c r="B8742" s="4">
        <v>8737</v>
      </c>
      <c r="C8742" s="4">
        <v>125.2251716035195</v>
      </c>
      <c r="D8742" s="45"/>
    </row>
    <row r="8743" spans="2:4" ht="16" thickBot="1" x14ac:dyDescent="0.25">
      <c r="B8743" s="5">
        <v>8738</v>
      </c>
      <c r="C8743" s="5">
        <v>204.9375156574643</v>
      </c>
      <c r="D8743" s="45"/>
    </row>
    <row r="8744" spans="2:4" ht="16" thickBot="1" x14ac:dyDescent="0.25">
      <c r="B8744" s="4">
        <v>8739</v>
      </c>
      <c r="C8744" s="4">
        <v>187.00940879906707</v>
      </c>
      <c r="D8744" s="45"/>
    </row>
    <row r="8745" spans="2:4" ht="16" thickBot="1" x14ac:dyDescent="0.25">
      <c r="B8745" s="5">
        <v>8740</v>
      </c>
      <c r="C8745" s="5">
        <v>248.223206853417</v>
      </c>
      <c r="D8745" s="45"/>
    </row>
    <row r="8746" spans="2:4" ht="16" thickBot="1" x14ac:dyDescent="0.25">
      <c r="B8746" s="4">
        <v>8741</v>
      </c>
      <c r="C8746" s="4">
        <v>85.167672701613967</v>
      </c>
      <c r="D8746" s="45"/>
    </row>
    <row r="8747" spans="2:4" ht="16" thickBot="1" x14ac:dyDescent="0.25">
      <c r="B8747" s="5">
        <v>8742</v>
      </c>
      <c r="C8747" s="5">
        <v>202.31562444023101</v>
      </c>
      <c r="D8747" s="45"/>
    </row>
    <row r="8748" spans="2:4" ht="16" thickBot="1" x14ac:dyDescent="0.25">
      <c r="B8748" s="4">
        <v>8743</v>
      </c>
      <c r="C8748" s="4">
        <v>112.75616730970461</v>
      </c>
      <c r="D8748" s="45"/>
    </row>
    <row r="8749" spans="2:4" ht="16" thickBot="1" x14ac:dyDescent="0.25">
      <c r="B8749" s="5">
        <v>8744</v>
      </c>
      <c r="C8749" s="5">
        <v>165.08914229203731</v>
      </c>
      <c r="D8749" s="45"/>
    </row>
    <row r="8750" spans="2:4" ht="16" thickBot="1" x14ac:dyDescent="0.25">
      <c r="B8750" s="4">
        <v>8745</v>
      </c>
      <c r="C8750" s="4">
        <v>107.54872859939977</v>
      </c>
      <c r="D8750" s="45"/>
    </row>
    <row r="8751" spans="2:4" ht="16" thickBot="1" x14ac:dyDescent="0.25">
      <c r="B8751" s="5">
        <v>8746</v>
      </c>
      <c r="C8751" s="5">
        <v>105.1510135315922</v>
      </c>
      <c r="D8751" s="45"/>
    </row>
    <row r="8752" spans="2:4" ht="16" thickBot="1" x14ac:dyDescent="0.25">
      <c r="B8752" s="4">
        <v>8747</v>
      </c>
      <c r="C8752" s="4">
        <v>76.612606528467509</v>
      </c>
      <c r="D8752" s="45"/>
    </row>
    <row r="8753" spans="2:4" ht="16" thickBot="1" x14ac:dyDescent="0.25">
      <c r="B8753" s="5">
        <v>8748</v>
      </c>
      <c r="C8753" s="5">
        <v>204.91276980213902</v>
      </c>
      <c r="D8753" s="45"/>
    </row>
    <row r="8754" spans="2:4" ht="16" thickBot="1" x14ac:dyDescent="0.25">
      <c r="B8754" s="4">
        <v>8749</v>
      </c>
      <c r="C8754" s="4">
        <v>129.80331236206831</v>
      </c>
      <c r="D8754" s="45"/>
    </row>
    <row r="8755" spans="2:4" ht="16" thickBot="1" x14ac:dyDescent="0.25">
      <c r="B8755" s="5">
        <v>8750</v>
      </c>
      <c r="C8755" s="5">
        <v>327.63549944527563</v>
      </c>
      <c r="D8755" s="45"/>
    </row>
    <row r="8756" spans="2:4" ht="16" thickBot="1" x14ac:dyDescent="0.25">
      <c r="B8756" s="4">
        <v>8751</v>
      </c>
      <c r="C8756" s="4">
        <v>158.41072196387316</v>
      </c>
      <c r="D8756" s="45"/>
    </row>
    <row r="8757" spans="2:4" ht="16" thickBot="1" x14ac:dyDescent="0.25">
      <c r="B8757" s="5">
        <v>8752</v>
      </c>
      <c r="C8757" s="5">
        <v>106.51199835228789</v>
      </c>
      <c r="D8757" s="45"/>
    </row>
    <row r="8758" spans="2:4" ht="16" thickBot="1" x14ac:dyDescent="0.25">
      <c r="B8758" s="4">
        <v>8753</v>
      </c>
      <c r="C8758" s="4">
        <v>176.50158132334664</v>
      </c>
      <c r="D8758" s="45"/>
    </row>
    <row r="8759" spans="2:4" ht="16" thickBot="1" x14ac:dyDescent="0.25">
      <c r="B8759" s="5">
        <v>8754</v>
      </c>
      <c r="C8759" s="5">
        <v>90.199955862626382</v>
      </c>
      <c r="D8759" s="45"/>
    </row>
    <row r="8760" spans="2:4" ht="16" thickBot="1" x14ac:dyDescent="0.25">
      <c r="B8760" s="4">
        <v>8755</v>
      </c>
      <c r="C8760" s="4">
        <v>37.48186771709458</v>
      </c>
      <c r="D8760" s="45"/>
    </row>
    <row r="8761" spans="2:4" ht="16" thickBot="1" x14ac:dyDescent="0.25">
      <c r="B8761" s="5">
        <v>8756</v>
      </c>
      <c r="C8761" s="5">
        <v>250.07515039651193</v>
      </c>
      <c r="D8761" s="45"/>
    </row>
    <row r="8762" spans="2:4" ht="16" thickBot="1" x14ac:dyDescent="0.25">
      <c r="B8762" s="4">
        <v>8757</v>
      </c>
      <c r="C8762" s="4">
        <v>106.95044114125076</v>
      </c>
      <c r="D8762" s="45"/>
    </row>
    <row r="8763" spans="2:4" ht="16" thickBot="1" x14ac:dyDescent="0.25">
      <c r="B8763" s="5">
        <v>8758</v>
      </c>
      <c r="C8763" s="5">
        <v>144.8714659590961</v>
      </c>
      <c r="D8763" s="45"/>
    </row>
    <row r="8764" spans="2:4" ht="16" thickBot="1" x14ac:dyDescent="0.25">
      <c r="B8764" s="4">
        <v>8759</v>
      </c>
      <c r="C8764" s="4">
        <v>114.36801248930317</v>
      </c>
      <c r="D8764" s="45"/>
    </row>
    <row r="8765" spans="2:4" ht="16" thickBot="1" x14ac:dyDescent="0.25">
      <c r="B8765" s="5">
        <v>8760</v>
      </c>
      <c r="C8765" s="5">
        <v>288.77922906033677</v>
      </c>
      <c r="D8765" s="45"/>
    </row>
    <row r="8766" spans="2:4" ht="16" thickBot="1" x14ac:dyDescent="0.25">
      <c r="B8766" s="4">
        <v>8761</v>
      </c>
      <c r="C8766" s="4">
        <v>245.90615658702697</v>
      </c>
      <c r="D8766" s="45"/>
    </row>
    <row r="8767" spans="2:4" ht="16" thickBot="1" x14ac:dyDescent="0.25">
      <c r="B8767" s="5">
        <v>8762</v>
      </c>
      <c r="C8767" s="5">
        <v>182.80078128732501</v>
      </c>
      <c r="D8767" s="45"/>
    </row>
    <row r="8768" spans="2:4" ht="16" thickBot="1" x14ac:dyDescent="0.25">
      <c r="B8768" s="4">
        <v>8763</v>
      </c>
      <c r="C8768" s="4">
        <v>309.97642396282407</v>
      </c>
      <c r="D8768" s="45"/>
    </row>
    <row r="8769" spans="2:4" ht="16" thickBot="1" x14ac:dyDescent="0.25">
      <c r="B8769" s="5">
        <v>8764</v>
      </c>
      <c r="C8769" s="5">
        <v>138.85761576718195</v>
      </c>
      <c r="D8769" s="45"/>
    </row>
    <row r="8770" spans="2:4" ht="16" thickBot="1" x14ac:dyDescent="0.25">
      <c r="B8770" s="4">
        <v>8765</v>
      </c>
      <c r="C8770" s="4">
        <v>87.273367444641408</v>
      </c>
      <c r="D8770" s="45"/>
    </row>
    <row r="8771" spans="2:4" ht="16" thickBot="1" x14ac:dyDescent="0.25">
      <c r="B8771" s="5">
        <v>8766</v>
      </c>
      <c r="C8771" s="5">
        <v>77.757676280627919</v>
      </c>
      <c r="D8771" s="45"/>
    </row>
    <row r="8772" spans="2:4" ht="16" thickBot="1" x14ac:dyDescent="0.25">
      <c r="B8772" s="4">
        <v>8767</v>
      </c>
      <c r="C8772" s="4">
        <v>273.17078617667028</v>
      </c>
      <c r="D8772" s="45"/>
    </row>
    <row r="8773" spans="2:4" ht="16" thickBot="1" x14ac:dyDescent="0.25">
      <c r="B8773" s="5">
        <v>8768</v>
      </c>
      <c r="C8773" s="5">
        <v>151.88531829987568</v>
      </c>
      <c r="D8773" s="45"/>
    </row>
    <row r="8774" spans="2:4" ht="16" thickBot="1" x14ac:dyDescent="0.25">
      <c r="B8774" s="4">
        <v>8769</v>
      </c>
      <c r="C8774" s="4">
        <v>146.21336075722101</v>
      </c>
      <c r="D8774" s="45"/>
    </row>
    <row r="8775" spans="2:4" ht="16" thickBot="1" x14ac:dyDescent="0.25">
      <c r="B8775" s="5">
        <v>8770</v>
      </c>
      <c r="C8775" s="5">
        <v>162.41565161637809</v>
      </c>
      <c r="D8775" s="45"/>
    </row>
    <row r="8776" spans="2:4" ht="16" thickBot="1" x14ac:dyDescent="0.25">
      <c r="B8776" s="4">
        <v>8771</v>
      </c>
      <c r="C8776" s="4">
        <v>135.28367338223444</v>
      </c>
      <c r="D8776" s="45"/>
    </row>
    <row r="8777" spans="2:4" ht="16" thickBot="1" x14ac:dyDescent="0.25">
      <c r="B8777" s="5">
        <v>8772</v>
      </c>
      <c r="C8777" s="5">
        <v>214.40762081239217</v>
      </c>
      <c r="D8777" s="45"/>
    </row>
    <row r="8778" spans="2:4" ht="16" thickBot="1" x14ac:dyDescent="0.25">
      <c r="B8778" s="4">
        <v>8773</v>
      </c>
      <c r="C8778" s="4">
        <v>258.28776733448655</v>
      </c>
      <c r="D8778" s="45"/>
    </row>
    <row r="8779" spans="2:4" ht="16" thickBot="1" x14ac:dyDescent="0.25">
      <c r="B8779" s="5">
        <v>8774</v>
      </c>
      <c r="C8779" s="5">
        <v>112.36720509493038</v>
      </c>
      <c r="D8779" s="45"/>
    </row>
    <row r="8780" spans="2:4" ht="16" thickBot="1" x14ac:dyDescent="0.25">
      <c r="B8780" s="4">
        <v>8775</v>
      </c>
      <c r="C8780" s="4">
        <v>189.68601625728922</v>
      </c>
      <c r="D8780" s="45"/>
    </row>
    <row r="8781" spans="2:4" ht="16" thickBot="1" x14ac:dyDescent="0.25">
      <c r="B8781" s="5">
        <v>8776</v>
      </c>
      <c r="C8781" s="5">
        <v>125.09011875741881</v>
      </c>
      <c r="D8781" s="45"/>
    </row>
    <row r="8782" spans="2:4" ht="16" thickBot="1" x14ac:dyDescent="0.25">
      <c r="B8782" s="4">
        <v>8777</v>
      </c>
      <c r="C8782" s="4">
        <v>323.60012596838448</v>
      </c>
      <c r="D8782" s="45"/>
    </row>
    <row r="8783" spans="2:4" ht="16" thickBot="1" x14ac:dyDescent="0.25">
      <c r="B8783" s="5">
        <v>8778</v>
      </c>
      <c r="C8783" s="5">
        <v>194.43399870806877</v>
      </c>
      <c r="D8783" s="45"/>
    </row>
    <row r="8784" spans="2:4" ht="16" thickBot="1" x14ac:dyDescent="0.25">
      <c r="B8784" s="4">
        <v>8779</v>
      </c>
      <c r="C8784" s="4">
        <v>256.38790436558384</v>
      </c>
      <c r="D8784" s="45"/>
    </row>
    <row r="8785" spans="2:4" ht="16" thickBot="1" x14ac:dyDescent="0.25">
      <c r="B8785" s="5">
        <v>8780</v>
      </c>
      <c r="C8785" s="5">
        <v>117.65294263238</v>
      </c>
      <c r="D8785" s="45"/>
    </row>
    <row r="8786" spans="2:4" ht="16" thickBot="1" x14ac:dyDescent="0.25">
      <c r="B8786" s="4">
        <v>8781</v>
      </c>
      <c r="C8786" s="4">
        <v>69.097184061965308</v>
      </c>
      <c r="D8786" s="45"/>
    </row>
    <row r="8787" spans="2:4" ht="16" thickBot="1" x14ac:dyDescent="0.25">
      <c r="B8787" s="5">
        <v>8782</v>
      </c>
      <c r="C8787" s="5">
        <v>211.6261359759088</v>
      </c>
      <c r="D8787" s="45"/>
    </row>
    <row r="8788" spans="2:4" ht="16" thickBot="1" x14ac:dyDescent="0.25">
      <c r="B8788" s="4">
        <v>8783</v>
      </c>
      <c r="C8788" s="4">
        <v>119.73759333666845</v>
      </c>
      <c r="D8788" s="45"/>
    </row>
    <row r="8789" spans="2:4" ht="16" thickBot="1" x14ac:dyDescent="0.25">
      <c r="B8789" s="5">
        <v>8784</v>
      </c>
      <c r="C8789" s="5">
        <v>71.428363629780037</v>
      </c>
      <c r="D8789" s="45"/>
    </row>
    <row r="8790" spans="2:4" ht="16" thickBot="1" x14ac:dyDescent="0.25">
      <c r="B8790" s="4">
        <v>8785</v>
      </c>
      <c r="C8790" s="4">
        <v>200.19387104700587</v>
      </c>
      <c r="D8790" s="45"/>
    </row>
    <row r="8791" spans="2:4" ht="16" thickBot="1" x14ac:dyDescent="0.25">
      <c r="B8791" s="5">
        <v>8786</v>
      </c>
      <c r="C8791" s="5">
        <v>119.19777625056598</v>
      </c>
      <c r="D8791" s="45"/>
    </row>
    <row r="8792" spans="2:4" ht="16" thickBot="1" x14ac:dyDescent="0.25">
      <c r="B8792" s="4">
        <v>8787</v>
      </c>
      <c r="C8792" s="4">
        <v>96.691664824563816</v>
      </c>
      <c r="D8792" s="45"/>
    </row>
    <row r="8793" spans="2:4" ht="16" thickBot="1" x14ac:dyDescent="0.25">
      <c r="B8793" s="5">
        <v>8788</v>
      </c>
      <c r="C8793" s="5">
        <v>170.19314331853076</v>
      </c>
      <c r="D8793" s="45"/>
    </row>
    <row r="8794" spans="2:4" ht="16" thickBot="1" x14ac:dyDescent="0.25">
      <c r="B8794" s="4">
        <v>8789</v>
      </c>
      <c r="C8794" s="4">
        <v>250.60161571937033</v>
      </c>
      <c r="D8794" s="45"/>
    </row>
    <row r="8795" spans="2:4" ht="16" thickBot="1" x14ac:dyDescent="0.25">
      <c r="B8795" s="5">
        <v>8790</v>
      </c>
      <c r="C8795" s="5">
        <v>142.96277625660628</v>
      </c>
      <c r="D8795" s="45"/>
    </row>
    <row r="8796" spans="2:4" ht="16" thickBot="1" x14ac:dyDescent="0.25">
      <c r="B8796" s="4">
        <v>8791</v>
      </c>
      <c r="C8796" s="4">
        <v>390.80555392494608</v>
      </c>
      <c r="D8796" s="45"/>
    </row>
    <row r="8797" spans="2:4" ht="16" thickBot="1" x14ac:dyDescent="0.25">
      <c r="B8797" s="5">
        <v>8792</v>
      </c>
      <c r="C8797" s="5">
        <v>216.4767026705606</v>
      </c>
      <c r="D8797" s="45"/>
    </row>
    <row r="8798" spans="2:4" ht="16" thickBot="1" x14ac:dyDescent="0.25">
      <c r="B8798" s="4">
        <v>8793</v>
      </c>
      <c r="C8798" s="4">
        <v>205.88153441527831</v>
      </c>
      <c r="D8798" s="45"/>
    </row>
    <row r="8799" spans="2:4" ht="16" thickBot="1" x14ac:dyDescent="0.25">
      <c r="B8799" s="5">
        <v>8794</v>
      </c>
      <c r="C8799" s="5">
        <v>153.45096799556563</v>
      </c>
      <c r="D8799" s="45"/>
    </row>
    <row r="8800" spans="2:4" ht="16" thickBot="1" x14ac:dyDescent="0.25">
      <c r="B8800" s="4">
        <v>8795</v>
      </c>
      <c r="C8800" s="4">
        <v>94.499625196486733</v>
      </c>
      <c r="D8800" s="45"/>
    </row>
    <row r="8801" spans="2:4" ht="16" thickBot="1" x14ac:dyDescent="0.25">
      <c r="B8801" s="5">
        <v>8796</v>
      </c>
      <c r="C8801" s="5">
        <v>164.79951531433875</v>
      </c>
      <c r="D8801" s="45"/>
    </row>
    <row r="8802" spans="2:4" ht="16" thickBot="1" x14ac:dyDescent="0.25">
      <c r="B8802" s="4">
        <v>8797</v>
      </c>
      <c r="C8802" s="4">
        <v>84.777294363891272</v>
      </c>
      <c r="D8802" s="45"/>
    </row>
    <row r="8803" spans="2:4" ht="16" thickBot="1" x14ac:dyDescent="0.25">
      <c r="B8803" s="5">
        <v>8798</v>
      </c>
      <c r="C8803" s="5">
        <v>201.42437198845826</v>
      </c>
      <c r="D8803" s="45"/>
    </row>
    <row r="8804" spans="2:4" ht="16" thickBot="1" x14ac:dyDescent="0.25">
      <c r="B8804" s="4">
        <v>8799</v>
      </c>
      <c r="C8804" s="4">
        <v>53.371525288150188</v>
      </c>
      <c r="D8804" s="45"/>
    </row>
    <row r="8805" spans="2:4" ht="16" thickBot="1" x14ac:dyDescent="0.25">
      <c r="B8805" s="5">
        <v>8800</v>
      </c>
      <c r="C8805" s="5">
        <v>236.48388365441889</v>
      </c>
      <c r="D8805" s="45"/>
    </row>
    <row r="8806" spans="2:4" ht="16" thickBot="1" x14ac:dyDescent="0.25">
      <c r="B8806" s="4">
        <v>8801</v>
      </c>
      <c r="C8806" s="4">
        <v>125.67735051832003</v>
      </c>
      <c r="D8806" s="45"/>
    </row>
    <row r="8807" spans="2:4" ht="16" thickBot="1" x14ac:dyDescent="0.25">
      <c r="B8807" s="5">
        <v>8802</v>
      </c>
      <c r="C8807" s="5">
        <v>291.49845723414933</v>
      </c>
      <c r="D8807" s="45"/>
    </row>
    <row r="8808" spans="2:4" ht="16" thickBot="1" x14ac:dyDescent="0.25">
      <c r="B8808" s="4">
        <v>8803</v>
      </c>
      <c r="C8808" s="4">
        <v>141.69520554560813</v>
      </c>
      <c r="D8808" s="45"/>
    </row>
    <row r="8809" spans="2:4" ht="16" thickBot="1" x14ac:dyDescent="0.25">
      <c r="B8809" s="5">
        <v>8804</v>
      </c>
      <c r="C8809" s="5">
        <v>55.852457387327156</v>
      </c>
      <c r="D8809" s="45"/>
    </row>
    <row r="8810" spans="2:4" ht="16" thickBot="1" x14ac:dyDescent="0.25">
      <c r="B8810" s="4">
        <v>8805</v>
      </c>
      <c r="C8810" s="4">
        <v>225.79218319090674</v>
      </c>
      <c r="D8810" s="45"/>
    </row>
    <row r="8811" spans="2:4" ht="16" thickBot="1" x14ac:dyDescent="0.25">
      <c r="B8811" s="5">
        <v>8806</v>
      </c>
      <c r="C8811" s="5">
        <v>111.22394512791124</v>
      </c>
      <c r="D8811" s="45"/>
    </row>
    <row r="8812" spans="2:4" ht="16" thickBot="1" x14ac:dyDescent="0.25">
      <c r="B8812" s="4">
        <v>8807</v>
      </c>
      <c r="C8812" s="4">
        <v>597.70977142510242</v>
      </c>
      <c r="D8812" s="45"/>
    </row>
    <row r="8813" spans="2:4" ht="16" thickBot="1" x14ac:dyDescent="0.25">
      <c r="B8813" s="5">
        <v>8808</v>
      </c>
      <c r="C8813" s="5">
        <v>119.36775229368924</v>
      </c>
      <c r="D8813" s="45"/>
    </row>
    <row r="8814" spans="2:4" ht="16" thickBot="1" x14ac:dyDescent="0.25">
      <c r="B8814" s="4">
        <v>8809</v>
      </c>
      <c r="C8814" s="4">
        <v>64.384674805199396</v>
      </c>
      <c r="D8814" s="45"/>
    </row>
    <row r="8815" spans="2:4" ht="16" thickBot="1" x14ac:dyDescent="0.25">
      <c r="B8815" s="5">
        <v>8810</v>
      </c>
      <c r="C8815" s="5">
        <v>149.90387814715248</v>
      </c>
      <c r="D8815" s="45"/>
    </row>
    <row r="8816" spans="2:4" ht="16" thickBot="1" x14ac:dyDescent="0.25">
      <c r="B8816" s="4">
        <v>8811</v>
      </c>
      <c r="C8816" s="4">
        <v>219.89418527288993</v>
      </c>
      <c r="D8816" s="45"/>
    </row>
    <row r="8817" spans="2:4" ht="16" thickBot="1" x14ac:dyDescent="0.25">
      <c r="B8817" s="5">
        <v>8812</v>
      </c>
      <c r="C8817" s="5">
        <v>249.46396048114624</v>
      </c>
      <c r="D8817" s="45"/>
    </row>
    <row r="8818" spans="2:4" ht="16" thickBot="1" x14ac:dyDescent="0.25">
      <c r="B8818" s="4">
        <v>8813</v>
      </c>
      <c r="C8818" s="4">
        <v>180.81021765815518</v>
      </c>
      <c r="D8818" s="45"/>
    </row>
    <row r="8819" spans="2:4" ht="16" thickBot="1" x14ac:dyDescent="0.25">
      <c r="B8819" s="5">
        <v>8814</v>
      </c>
      <c r="C8819" s="5">
        <v>169.26210089510354</v>
      </c>
      <c r="D8819" s="45"/>
    </row>
    <row r="8820" spans="2:4" ht="16" thickBot="1" x14ac:dyDescent="0.25">
      <c r="B8820" s="4">
        <v>8815</v>
      </c>
      <c r="C8820" s="4">
        <v>194.28844327952459</v>
      </c>
      <c r="D8820" s="45"/>
    </row>
    <row r="8821" spans="2:4" ht="16" thickBot="1" x14ac:dyDescent="0.25">
      <c r="B8821" s="5">
        <v>8816</v>
      </c>
      <c r="C8821" s="5">
        <v>96.458980091532013</v>
      </c>
      <c r="D8821" s="45"/>
    </row>
    <row r="8822" spans="2:4" ht="16" thickBot="1" x14ac:dyDescent="0.25">
      <c r="B8822" s="4">
        <v>8817</v>
      </c>
      <c r="C8822" s="4">
        <v>336.89184764250899</v>
      </c>
      <c r="D8822" s="45"/>
    </row>
    <row r="8823" spans="2:4" ht="16" thickBot="1" x14ac:dyDescent="0.25">
      <c r="B8823" s="5">
        <v>8818</v>
      </c>
      <c r="C8823" s="5">
        <v>176.26946054610804</v>
      </c>
      <c r="D8823" s="45"/>
    </row>
    <row r="8824" spans="2:4" ht="16" thickBot="1" x14ac:dyDescent="0.25">
      <c r="B8824" s="4">
        <v>8819</v>
      </c>
      <c r="C8824" s="4">
        <v>152.4809432939312</v>
      </c>
      <c r="D8824" s="45"/>
    </row>
    <row r="8825" spans="2:4" ht="16" thickBot="1" x14ac:dyDescent="0.25">
      <c r="B8825" s="5">
        <v>8820</v>
      </c>
      <c r="C8825" s="5">
        <v>160.53729201529717</v>
      </c>
      <c r="D8825" s="45"/>
    </row>
    <row r="8826" spans="2:4" ht="16" thickBot="1" x14ac:dyDescent="0.25">
      <c r="B8826" s="4">
        <v>8821</v>
      </c>
      <c r="C8826" s="4">
        <v>69.24556823535076</v>
      </c>
      <c r="D8826" s="45"/>
    </row>
    <row r="8827" spans="2:4" ht="16" thickBot="1" x14ac:dyDescent="0.25">
      <c r="B8827" s="5">
        <v>8822</v>
      </c>
      <c r="C8827" s="5">
        <v>70.541932105847437</v>
      </c>
      <c r="D8827" s="45"/>
    </row>
    <row r="8828" spans="2:4" ht="16" thickBot="1" x14ac:dyDescent="0.25">
      <c r="B8828" s="4">
        <v>8823</v>
      </c>
      <c r="C8828" s="4">
        <v>102.93999739270599</v>
      </c>
      <c r="D8828" s="45"/>
    </row>
    <row r="8829" spans="2:4" ht="16" thickBot="1" x14ac:dyDescent="0.25">
      <c r="B8829" s="5">
        <v>8824</v>
      </c>
      <c r="C8829" s="5">
        <v>212.75827418442429</v>
      </c>
      <c r="D8829" s="45"/>
    </row>
    <row r="8830" spans="2:4" ht="16" thickBot="1" x14ac:dyDescent="0.25">
      <c r="B8830" s="4">
        <v>8825</v>
      </c>
      <c r="C8830" s="4">
        <v>289.18441013911627</v>
      </c>
      <c r="D8830" s="45"/>
    </row>
    <row r="8831" spans="2:4" ht="16" thickBot="1" x14ac:dyDescent="0.25">
      <c r="B8831" s="5">
        <v>8826</v>
      </c>
      <c r="C8831" s="5">
        <v>273.65063829094709</v>
      </c>
      <c r="D8831" s="45"/>
    </row>
    <row r="8832" spans="2:4" ht="16" thickBot="1" x14ac:dyDescent="0.25">
      <c r="B8832" s="4">
        <v>8827</v>
      </c>
      <c r="C8832" s="4">
        <v>180.26170393084644</v>
      </c>
      <c r="D8832" s="45"/>
    </row>
    <row r="8833" spans="2:4" ht="16" thickBot="1" x14ac:dyDescent="0.25">
      <c r="B8833" s="5">
        <v>8828</v>
      </c>
      <c r="C8833" s="5">
        <v>109.88600153175337</v>
      </c>
      <c r="D8833" s="45"/>
    </row>
    <row r="8834" spans="2:4" ht="16" thickBot="1" x14ac:dyDescent="0.25">
      <c r="B8834" s="4">
        <v>8829</v>
      </c>
      <c r="C8834" s="4">
        <v>257.89515838482612</v>
      </c>
      <c r="D8834" s="45"/>
    </row>
    <row r="8835" spans="2:4" ht="16" thickBot="1" x14ac:dyDescent="0.25">
      <c r="B8835" s="5">
        <v>8830</v>
      </c>
      <c r="C8835" s="5">
        <v>190.53726587920102</v>
      </c>
      <c r="D8835" s="45"/>
    </row>
    <row r="8836" spans="2:4" ht="16" thickBot="1" x14ac:dyDescent="0.25">
      <c r="B8836" s="4">
        <v>8831</v>
      </c>
      <c r="C8836" s="4">
        <v>165.64616632514992</v>
      </c>
      <c r="D8836" s="45"/>
    </row>
    <row r="8837" spans="2:4" ht="16" thickBot="1" x14ac:dyDescent="0.25">
      <c r="B8837" s="5">
        <v>8832</v>
      </c>
      <c r="C8837" s="5">
        <v>189.65458653620709</v>
      </c>
      <c r="D8837" s="45"/>
    </row>
    <row r="8838" spans="2:4" ht="16" thickBot="1" x14ac:dyDescent="0.25">
      <c r="B8838" s="4">
        <v>8833</v>
      </c>
      <c r="C8838" s="4">
        <v>95.835131159239737</v>
      </c>
      <c r="D8838" s="45"/>
    </row>
    <row r="8839" spans="2:4" ht="16" thickBot="1" x14ac:dyDescent="0.25">
      <c r="B8839" s="5">
        <v>8834</v>
      </c>
      <c r="C8839" s="5">
        <v>73.353425501071783</v>
      </c>
      <c r="D8839" s="45"/>
    </row>
    <row r="8840" spans="2:4" ht="16" thickBot="1" x14ac:dyDescent="0.25">
      <c r="B8840" s="4">
        <v>8835</v>
      </c>
      <c r="C8840" s="4">
        <v>123.72696886785404</v>
      </c>
      <c r="D8840" s="45"/>
    </row>
    <row r="8841" spans="2:4" ht="16" thickBot="1" x14ac:dyDescent="0.25">
      <c r="B8841" s="5">
        <v>8836</v>
      </c>
      <c r="C8841" s="5">
        <v>133.98006346927173</v>
      </c>
      <c r="D8841" s="45"/>
    </row>
    <row r="8842" spans="2:4" ht="16" thickBot="1" x14ac:dyDescent="0.25">
      <c r="B8842" s="4">
        <v>8837</v>
      </c>
      <c r="C8842" s="4">
        <v>285.83625382055669</v>
      </c>
      <c r="D8842" s="45"/>
    </row>
    <row r="8843" spans="2:4" ht="16" thickBot="1" x14ac:dyDescent="0.25">
      <c r="B8843" s="5">
        <v>8838</v>
      </c>
      <c r="C8843" s="5">
        <v>200.64074386033772</v>
      </c>
      <c r="D8843" s="45"/>
    </row>
    <row r="8844" spans="2:4" ht="16" thickBot="1" x14ac:dyDescent="0.25">
      <c r="B8844" s="4">
        <v>8839</v>
      </c>
      <c r="C8844" s="4">
        <v>147.70125335250478</v>
      </c>
      <c r="D8844" s="45"/>
    </row>
    <row r="8845" spans="2:4" ht="16" thickBot="1" x14ac:dyDescent="0.25">
      <c r="B8845" s="5">
        <v>8840</v>
      </c>
      <c r="C8845" s="5">
        <v>115.89810591280931</v>
      </c>
      <c r="D8845" s="45"/>
    </row>
    <row r="8846" spans="2:4" ht="16" thickBot="1" x14ac:dyDescent="0.25">
      <c r="B8846" s="4">
        <v>8841</v>
      </c>
      <c r="C8846" s="4">
        <v>104.29858296006509</v>
      </c>
      <c r="D8846" s="45"/>
    </row>
    <row r="8847" spans="2:4" ht="16" thickBot="1" x14ac:dyDescent="0.25">
      <c r="B8847" s="5">
        <v>8842</v>
      </c>
      <c r="C8847" s="5">
        <v>115.80293517355609</v>
      </c>
      <c r="D8847" s="45"/>
    </row>
    <row r="8848" spans="2:4" ht="16" thickBot="1" x14ac:dyDescent="0.25">
      <c r="B8848" s="4">
        <v>8843</v>
      </c>
      <c r="C8848" s="4">
        <v>166.11863219550983</v>
      </c>
      <c r="D8848" s="45"/>
    </row>
    <row r="8849" spans="2:4" ht="16" thickBot="1" x14ac:dyDescent="0.25">
      <c r="B8849" s="5">
        <v>8844</v>
      </c>
      <c r="C8849" s="5">
        <v>152.77399530506534</v>
      </c>
      <c r="D8849" s="45"/>
    </row>
    <row r="8850" spans="2:4" ht="16" thickBot="1" x14ac:dyDescent="0.25">
      <c r="B8850" s="4">
        <v>8845</v>
      </c>
      <c r="C8850" s="4">
        <v>98.3509202773661</v>
      </c>
      <c r="D8850" s="45"/>
    </row>
    <row r="8851" spans="2:4" ht="16" thickBot="1" x14ac:dyDescent="0.25">
      <c r="B8851" s="5">
        <v>8846</v>
      </c>
      <c r="C8851" s="5">
        <v>294.09233289904984</v>
      </c>
      <c r="D8851" s="45"/>
    </row>
    <row r="8852" spans="2:4" ht="16" thickBot="1" x14ac:dyDescent="0.25">
      <c r="B8852" s="4">
        <v>8847</v>
      </c>
      <c r="C8852" s="4">
        <v>88.280787283277675</v>
      </c>
      <c r="D8852" s="45"/>
    </row>
    <row r="8853" spans="2:4" ht="16" thickBot="1" x14ac:dyDescent="0.25">
      <c r="B8853" s="5">
        <v>8848</v>
      </c>
      <c r="C8853" s="5">
        <v>239.2776684256593</v>
      </c>
      <c r="D8853" s="45"/>
    </row>
    <row r="8854" spans="2:4" ht="16" thickBot="1" x14ac:dyDescent="0.25">
      <c r="B8854" s="4">
        <v>8849</v>
      </c>
      <c r="C8854" s="4">
        <v>139.53570741821835</v>
      </c>
      <c r="D8854" s="45"/>
    </row>
    <row r="8855" spans="2:4" ht="16" thickBot="1" x14ac:dyDescent="0.25">
      <c r="B8855" s="5">
        <v>8850</v>
      </c>
      <c r="C8855" s="5">
        <v>111.43526035070302</v>
      </c>
      <c r="D8855" s="45"/>
    </row>
    <row r="8856" spans="2:4" ht="16" thickBot="1" x14ac:dyDescent="0.25">
      <c r="B8856" s="4">
        <v>8851</v>
      </c>
      <c r="C8856" s="4">
        <v>146.29528472648013</v>
      </c>
      <c r="D8856" s="45"/>
    </row>
    <row r="8857" spans="2:4" ht="16" thickBot="1" x14ac:dyDescent="0.25">
      <c r="B8857" s="5">
        <v>8852</v>
      </c>
      <c r="C8857" s="5">
        <v>109.73490899400494</v>
      </c>
      <c r="D8857" s="45"/>
    </row>
    <row r="8858" spans="2:4" ht="16" thickBot="1" x14ac:dyDescent="0.25">
      <c r="B8858" s="4">
        <v>8853</v>
      </c>
      <c r="C8858" s="4">
        <v>327.15316488865432</v>
      </c>
      <c r="D8858" s="45"/>
    </row>
    <row r="8859" spans="2:4" ht="16" thickBot="1" x14ac:dyDescent="0.25">
      <c r="B8859" s="5">
        <v>8854</v>
      </c>
      <c r="C8859" s="5">
        <v>145.59176391207231</v>
      </c>
      <c r="D8859" s="45"/>
    </row>
    <row r="8860" spans="2:4" ht="16" thickBot="1" x14ac:dyDescent="0.25">
      <c r="B8860" s="4">
        <v>8855</v>
      </c>
      <c r="C8860" s="4">
        <v>161.63753911470408</v>
      </c>
      <c r="D8860" s="45"/>
    </row>
    <row r="8861" spans="2:4" ht="16" thickBot="1" x14ac:dyDescent="0.25">
      <c r="B8861" s="5">
        <v>8856</v>
      </c>
      <c r="C8861" s="5">
        <v>135.24960224461563</v>
      </c>
      <c r="D8861" s="45"/>
    </row>
    <row r="8862" spans="2:4" ht="16" thickBot="1" x14ac:dyDescent="0.25">
      <c r="B8862" s="4">
        <v>8857</v>
      </c>
      <c r="C8862" s="4">
        <v>102.59064250374516</v>
      </c>
      <c r="D8862" s="45"/>
    </row>
    <row r="8863" spans="2:4" ht="16" thickBot="1" x14ac:dyDescent="0.25">
      <c r="B8863" s="5">
        <v>8858</v>
      </c>
      <c r="C8863" s="5">
        <v>310.53685245484519</v>
      </c>
      <c r="D8863" s="45"/>
    </row>
    <row r="8864" spans="2:4" ht="16" thickBot="1" x14ac:dyDescent="0.25">
      <c r="B8864" s="4">
        <v>8859</v>
      </c>
      <c r="C8864" s="4">
        <v>241.34811807351542</v>
      </c>
      <c r="D8864" s="45"/>
    </row>
    <row r="8865" spans="2:4" ht="16" thickBot="1" x14ac:dyDescent="0.25">
      <c r="B8865" s="5">
        <v>8860</v>
      </c>
      <c r="C8865" s="5">
        <v>176.96570438773952</v>
      </c>
      <c r="D8865" s="45"/>
    </row>
    <row r="8866" spans="2:4" ht="16" thickBot="1" x14ac:dyDescent="0.25">
      <c r="B8866" s="4">
        <v>8861</v>
      </c>
      <c r="C8866" s="4">
        <v>86.492403957742113</v>
      </c>
      <c r="D8866" s="45"/>
    </row>
    <row r="8867" spans="2:4" ht="16" thickBot="1" x14ac:dyDescent="0.25">
      <c r="B8867" s="5">
        <v>8862</v>
      </c>
      <c r="C8867" s="5">
        <v>94.938783978260162</v>
      </c>
      <c r="D8867" s="45"/>
    </row>
    <row r="8868" spans="2:4" ht="16" thickBot="1" x14ac:dyDescent="0.25">
      <c r="B8868" s="4">
        <v>8863</v>
      </c>
      <c r="C8868" s="4">
        <v>130.53302218015972</v>
      </c>
      <c r="D8868" s="45"/>
    </row>
    <row r="8869" spans="2:4" ht="16" thickBot="1" x14ac:dyDescent="0.25">
      <c r="B8869" s="5">
        <v>8864</v>
      </c>
      <c r="C8869" s="5">
        <v>227.8358671976865</v>
      </c>
      <c r="D8869" s="45"/>
    </row>
    <row r="8870" spans="2:4" ht="16" thickBot="1" x14ac:dyDescent="0.25">
      <c r="B8870" s="4">
        <v>8865</v>
      </c>
      <c r="C8870" s="4">
        <v>64.672802382838853</v>
      </c>
      <c r="D8870" s="45"/>
    </row>
    <row r="8871" spans="2:4" ht="16" thickBot="1" x14ac:dyDescent="0.25">
      <c r="B8871" s="5">
        <v>8866</v>
      </c>
      <c r="C8871" s="5">
        <v>101.75527366477024</v>
      </c>
      <c r="D8871" s="45"/>
    </row>
    <row r="8872" spans="2:4" ht="16" thickBot="1" x14ac:dyDescent="0.25">
      <c r="B8872" s="4">
        <v>8867</v>
      </c>
      <c r="C8872" s="4">
        <v>144.99843451231234</v>
      </c>
      <c r="D8872" s="45"/>
    </row>
    <row r="8873" spans="2:4" ht="16" thickBot="1" x14ac:dyDescent="0.25">
      <c r="B8873" s="5">
        <v>8868</v>
      </c>
      <c r="C8873" s="5">
        <v>38.779980702505569</v>
      </c>
      <c r="D8873" s="45"/>
    </row>
    <row r="8874" spans="2:4" ht="16" thickBot="1" x14ac:dyDescent="0.25">
      <c r="B8874" s="4">
        <v>8869</v>
      </c>
      <c r="C8874" s="4">
        <v>236.75929468171398</v>
      </c>
      <c r="D8874" s="45"/>
    </row>
    <row r="8875" spans="2:4" ht="16" thickBot="1" x14ac:dyDescent="0.25">
      <c r="B8875" s="5">
        <v>8870</v>
      </c>
      <c r="C8875" s="5">
        <v>151.70196556601755</v>
      </c>
      <c r="D8875" s="45"/>
    </row>
    <row r="8876" spans="2:4" ht="16" thickBot="1" x14ac:dyDescent="0.25">
      <c r="B8876" s="4">
        <v>8871</v>
      </c>
      <c r="C8876" s="4">
        <v>203.68961207705809</v>
      </c>
      <c r="D8876" s="45"/>
    </row>
    <row r="8877" spans="2:4" ht="16" thickBot="1" x14ac:dyDescent="0.25">
      <c r="B8877" s="5">
        <v>8872</v>
      </c>
      <c r="C8877" s="5">
        <v>137.34596300636508</v>
      </c>
      <c r="D8877" s="45"/>
    </row>
    <row r="8878" spans="2:4" ht="16" thickBot="1" x14ac:dyDescent="0.25">
      <c r="B8878" s="4">
        <v>8873</v>
      </c>
      <c r="C8878" s="4">
        <v>347.11611334387271</v>
      </c>
      <c r="D8878" s="45"/>
    </row>
    <row r="8879" spans="2:4" ht="16" thickBot="1" x14ac:dyDescent="0.25">
      <c r="B8879" s="5">
        <v>8874</v>
      </c>
      <c r="C8879" s="5">
        <v>144.92637677601115</v>
      </c>
      <c r="D8879" s="45"/>
    </row>
    <row r="8880" spans="2:4" ht="16" thickBot="1" x14ac:dyDescent="0.25">
      <c r="B8880" s="4">
        <v>8875</v>
      </c>
      <c r="C8880" s="4">
        <v>258.26861727956026</v>
      </c>
      <c r="D8880" s="45"/>
    </row>
    <row r="8881" spans="2:4" ht="16" thickBot="1" x14ac:dyDescent="0.25">
      <c r="B8881" s="5">
        <v>8876</v>
      </c>
      <c r="C8881" s="5">
        <v>145.30539826310005</v>
      </c>
      <c r="D8881" s="45"/>
    </row>
    <row r="8882" spans="2:4" ht="16" thickBot="1" x14ac:dyDescent="0.25">
      <c r="B8882" s="4">
        <v>8877</v>
      </c>
      <c r="C8882" s="4">
        <v>79.514119746574337</v>
      </c>
      <c r="D8882" s="45"/>
    </row>
    <row r="8883" spans="2:4" ht="16" thickBot="1" x14ac:dyDescent="0.25">
      <c r="B8883" s="5">
        <v>8878</v>
      </c>
      <c r="C8883" s="5">
        <v>182.9538233254072</v>
      </c>
      <c r="D8883" s="45"/>
    </row>
    <row r="8884" spans="2:4" ht="16" thickBot="1" x14ac:dyDescent="0.25">
      <c r="B8884" s="4">
        <v>8879</v>
      </c>
      <c r="C8884" s="4">
        <v>191.5532661262165</v>
      </c>
      <c r="D8884" s="45"/>
    </row>
    <row r="8885" spans="2:4" ht="16" thickBot="1" x14ac:dyDescent="0.25">
      <c r="B8885" s="5">
        <v>8880</v>
      </c>
      <c r="C8885" s="5">
        <v>253.79029190305303</v>
      </c>
      <c r="D8885" s="45"/>
    </row>
    <row r="8886" spans="2:4" ht="16" thickBot="1" x14ac:dyDescent="0.25">
      <c r="B8886" s="4">
        <v>8881</v>
      </c>
      <c r="C8886" s="4">
        <v>78.477328225829325</v>
      </c>
      <c r="D8886" s="45"/>
    </row>
    <row r="8887" spans="2:4" ht="16" thickBot="1" x14ac:dyDescent="0.25">
      <c r="B8887" s="5">
        <v>8882</v>
      </c>
      <c r="C8887" s="5">
        <v>148.1619911698514</v>
      </c>
      <c r="D8887" s="45"/>
    </row>
    <row r="8888" spans="2:4" ht="16" thickBot="1" x14ac:dyDescent="0.25">
      <c r="B8888" s="4">
        <v>8883</v>
      </c>
      <c r="C8888" s="4">
        <v>149.21515587904074</v>
      </c>
      <c r="D8888" s="45"/>
    </row>
    <row r="8889" spans="2:4" ht="16" thickBot="1" x14ac:dyDescent="0.25">
      <c r="B8889" s="5">
        <v>8884</v>
      </c>
      <c r="C8889" s="5">
        <v>238.93612461097888</v>
      </c>
      <c r="D8889" s="45"/>
    </row>
    <row r="8890" spans="2:4" ht="16" thickBot="1" x14ac:dyDescent="0.25">
      <c r="B8890" s="4">
        <v>8885</v>
      </c>
      <c r="C8890" s="4">
        <v>88.329781849958081</v>
      </c>
      <c r="D8890" s="45"/>
    </row>
    <row r="8891" spans="2:4" ht="16" thickBot="1" x14ac:dyDescent="0.25">
      <c r="B8891" s="5">
        <v>8886</v>
      </c>
      <c r="C8891" s="5">
        <v>149.31752208937968</v>
      </c>
      <c r="D8891" s="45"/>
    </row>
    <row r="8892" spans="2:4" ht="16" thickBot="1" x14ac:dyDescent="0.25">
      <c r="B8892" s="4">
        <v>8887</v>
      </c>
      <c r="C8892" s="4">
        <v>125.9691807863998</v>
      </c>
      <c r="D8892" s="45"/>
    </row>
    <row r="8893" spans="2:4" ht="16" thickBot="1" x14ac:dyDescent="0.25">
      <c r="B8893" s="5">
        <v>8888</v>
      </c>
      <c r="C8893" s="5">
        <v>47.576021799829128</v>
      </c>
      <c r="D8893" s="45"/>
    </row>
    <row r="8894" spans="2:4" ht="16" thickBot="1" x14ac:dyDescent="0.25">
      <c r="B8894" s="4">
        <v>8889</v>
      </c>
      <c r="C8894" s="4">
        <v>186.7862273331973</v>
      </c>
      <c r="D8894" s="45"/>
    </row>
    <row r="8895" spans="2:4" ht="16" thickBot="1" x14ac:dyDescent="0.25">
      <c r="B8895" s="5">
        <v>8890</v>
      </c>
      <c r="C8895" s="5">
        <v>210.80568002394631</v>
      </c>
      <c r="D8895" s="45"/>
    </row>
    <row r="8896" spans="2:4" ht="16" thickBot="1" x14ac:dyDescent="0.25">
      <c r="B8896" s="4">
        <v>8891</v>
      </c>
      <c r="C8896" s="4">
        <v>101.96801183329293</v>
      </c>
      <c r="D8896" s="45"/>
    </row>
    <row r="8897" spans="2:4" ht="16" thickBot="1" x14ac:dyDescent="0.25">
      <c r="B8897" s="5">
        <v>8892</v>
      </c>
      <c r="C8897" s="5">
        <v>55.804667794887273</v>
      </c>
      <c r="D8897" s="45"/>
    </row>
    <row r="8898" spans="2:4" ht="16" thickBot="1" x14ac:dyDescent="0.25">
      <c r="B8898" s="4">
        <v>8893</v>
      </c>
      <c r="C8898" s="4">
        <v>64.54709596569397</v>
      </c>
      <c r="D8898" s="45"/>
    </row>
    <row r="8899" spans="2:4" ht="16" thickBot="1" x14ac:dyDescent="0.25">
      <c r="B8899" s="5">
        <v>8894</v>
      </c>
      <c r="C8899" s="5">
        <v>168.7982276083919</v>
      </c>
      <c r="D8899" s="45"/>
    </row>
    <row r="8900" spans="2:4" ht="16" thickBot="1" x14ac:dyDescent="0.25">
      <c r="B8900" s="4">
        <v>8895</v>
      </c>
      <c r="C8900" s="4">
        <v>75.354181626498274</v>
      </c>
      <c r="D8900" s="45"/>
    </row>
    <row r="8901" spans="2:4" ht="16" thickBot="1" x14ac:dyDescent="0.25">
      <c r="B8901" s="5">
        <v>8896</v>
      </c>
      <c r="C8901" s="5">
        <v>110.92001584761412</v>
      </c>
      <c r="D8901" s="45"/>
    </row>
    <row r="8902" spans="2:4" ht="16" thickBot="1" x14ac:dyDescent="0.25">
      <c r="B8902" s="4">
        <v>8897</v>
      </c>
      <c r="C8902" s="4">
        <v>255.49266336271802</v>
      </c>
      <c r="D8902" s="45"/>
    </row>
    <row r="8903" spans="2:4" ht="16" thickBot="1" x14ac:dyDescent="0.25">
      <c r="B8903" s="5">
        <v>8898</v>
      </c>
      <c r="C8903" s="5">
        <v>46.491141811796773</v>
      </c>
      <c r="D8903" s="45"/>
    </row>
    <row r="8904" spans="2:4" ht="16" thickBot="1" x14ac:dyDescent="0.25">
      <c r="B8904" s="4">
        <v>8899</v>
      </c>
      <c r="C8904" s="4">
        <v>140.70101055016485</v>
      </c>
      <c r="D8904" s="45"/>
    </row>
    <row r="8905" spans="2:4" ht="16" thickBot="1" x14ac:dyDescent="0.25">
      <c r="B8905" s="5">
        <v>8900</v>
      </c>
      <c r="C8905" s="5">
        <v>279.42150930373498</v>
      </c>
      <c r="D8905" s="45"/>
    </row>
    <row r="8906" spans="2:4" ht="16" thickBot="1" x14ac:dyDescent="0.25">
      <c r="B8906" s="4">
        <v>8901</v>
      </c>
      <c r="C8906" s="4">
        <v>49.695374785661365</v>
      </c>
      <c r="D8906" s="45"/>
    </row>
    <row r="8907" spans="2:4" ht="16" thickBot="1" x14ac:dyDescent="0.25">
      <c r="B8907" s="5">
        <v>8902</v>
      </c>
      <c r="C8907" s="5">
        <v>356.80339334316488</v>
      </c>
      <c r="D8907" s="45"/>
    </row>
    <row r="8908" spans="2:4" ht="16" thickBot="1" x14ac:dyDescent="0.25">
      <c r="B8908" s="4">
        <v>8903</v>
      </c>
      <c r="C8908" s="4">
        <v>61.184735633822598</v>
      </c>
      <c r="D8908" s="45"/>
    </row>
    <row r="8909" spans="2:4" ht="16" thickBot="1" x14ac:dyDescent="0.25">
      <c r="B8909" s="5">
        <v>8904</v>
      </c>
      <c r="C8909" s="5">
        <v>160.76138588061562</v>
      </c>
      <c r="D8909" s="45"/>
    </row>
    <row r="8910" spans="2:4" ht="16" thickBot="1" x14ac:dyDescent="0.25">
      <c r="B8910" s="4">
        <v>8905</v>
      </c>
      <c r="C8910" s="4">
        <v>170.01454132929337</v>
      </c>
      <c r="D8910" s="45"/>
    </row>
    <row r="8911" spans="2:4" ht="16" thickBot="1" x14ac:dyDescent="0.25">
      <c r="B8911" s="5">
        <v>8906</v>
      </c>
      <c r="C8911" s="5">
        <v>221.70744528888565</v>
      </c>
      <c r="D8911" s="45"/>
    </row>
    <row r="8912" spans="2:4" ht="16" thickBot="1" x14ac:dyDescent="0.25">
      <c r="B8912" s="4">
        <v>8907</v>
      </c>
      <c r="C8912" s="4">
        <v>115.71223889937993</v>
      </c>
      <c r="D8912" s="45"/>
    </row>
    <row r="8913" spans="2:4" ht="16" thickBot="1" x14ac:dyDescent="0.25">
      <c r="B8913" s="5">
        <v>8908</v>
      </c>
      <c r="C8913" s="5">
        <v>306.3847436062681</v>
      </c>
      <c r="D8913" s="45"/>
    </row>
    <row r="8914" spans="2:4" ht="16" thickBot="1" x14ac:dyDescent="0.25">
      <c r="B8914" s="4">
        <v>8909</v>
      </c>
      <c r="C8914" s="4">
        <v>178.97125168263236</v>
      </c>
      <c r="D8914" s="45"/>
    </row>
    <row r="8915" spans="2:4" ht="16" thickBot="1" x14ac:dyDescent="0.25">
      <c r="B8915" s="5">
        <v>8910</v>
      </c>
      <c r="C8915" s="5">
        <v>154.20034600242982</v>
      </c>
      <c r="D8915" s="45"/>
    </row>
    <row r="8916" spans="2:4" ht="16" thickBot="1" x14ac:dyDescent="0.25">
      <c r="B8916" s="4">
        <v>8911</v>
      </c>
      <c r="C8916" s="4">
        <v>265.26275037293988</v>
      </c>
      <c r="D8916" s="45"/>
    </row>
    <row r="8917" spans="2:4" ht="16" thickBot="1" x14ac:dyDescent="0.25">
      <c r="B8917" s="5">
        <v>8912</v>
      </c>
      <c r="C8917" s="5">
        <v>211.20088665811306</v>
      </c>
      <c r="D8917" s="45"/>
    </row>
    <row r="8918" spans="2:4" ht="16" thickBot="1" x14ac:dyDescent="0.25">
      <c r="B8918" s="4">
        <v>8913</v>
      </c>
      <c r="C8918" s="4">
        <v>101.32266068274762</v>
      </c>
      <c r="D8918" s="45"/>
    </row>
    <row r="8919" spans="2:4" ht="16" thickBot="1" x14ac:dyDescent="0.25">
      <c r="B8919" s="5">
        <v>8914</v>
      </c>
      <c r="C8919" s="5">
        <v>74.828041968844445</v>
      </c>
      <c r="D8919" s="45"/>
    </row>
    <row r="8920" spans="2:4" ht="16" thickBot="1" x14ac:dyDescent="0.25">
      <c r="B8920" s="4">
        <v>8915</v>
      </c>
      <c r="C8920" s="4">
        <v>284.29166093772272</v>
      </c>
      <c r="D8920" s="45"/>
    </row>
    <row r="8921" spans="2:4" ht="16" thickBot="1" x14ac:dyDescent="0.25">
      <c r="B8921" s="5">
        <v>8916</v>
      </c>
      <c r="C8921" s="5">
        <v>110.38503981501087</v>
      </c>
      <c r="D8921" s="45"/>
    </row>
    <row r="8922" spans="2:4" ht="16" thickBot="1" x14ac:dyDescent="0.25">
      <c r="B8922" s="4">
        <v>8917</v>
      </c>
      <c r="C8922" s="4">
        <v>93.79800518902033</v>
      </c>
      <c r="D8922" s="45"/>
    </row>
    <row r="8923" spans="2:4" ht="16" thickBot="1" x14ac:dyDescent="0.25">
      <c r="B8923" s="5">
        <v>8918</v>
      </c>
      <c r="C8923" s="5">
        <v>138.91243536092389</v>
      </c>
      <c r="D8923" s="45"/>
    </row>
    <row r="8924" spans="2:4" ht="16" thickBot="1" x14ac:dyDescent="0.25">
      <c r="B8924" s="4">
        <v>8919</v>
      </c>
      <c r="C8924" s="4">
        <v>78.171372046284034</v>
      </c>
      <c r="D8924" s="45"/>
    </row>
    <row r="8925" spans="2:4" ht="16" thickBot="1" x14ac:dyDescent="0.25">
      <c r="B8925" s="5">
        <v>8920</v>
      </c>
      <c r="C8925" s="5">
        <v>123.97212863192095</v>
      </c>
      <c r="D8925" s="45"/>
    </row>
    <row r="8926" spans="2:4" ht="16" thickBot="1" x14ac:dyDescent="0.25">
      <c r="B8926" s="4">
        <v>8921</v>
      </c>
      <c r="C8926" s="4">
        <v>149.26794663197813</v>
      </c>
      <c r="D8926" s="45"/>
    </row>
    <row r="8927" spans="2:4" ht="16" thickBot="1" x14ac:dyDescent="0.25">
      <c r="B8927" s="5">
        <v>8922</v>
      </c>
      <c r="C8927" s="5">
        <v>106.99594970696774</v>
      </c>
      <c r="D8927" s="45"/>
    </row>
    <row r="8928" spans="2:4" ht="16" thickBot="1" x14ac:dyDescent="0.25">
      <c r="B8928" s="4">
        <v>8923</v>
      </c>
      <c r="C8928" s="4">
        <v>78.214181253600032</v>
      </c>
      <c r="D8928" s="45"/>
    </row>
    <row r="8929" spans="2:4" ht="16" thickBot="1" x14ac:dyDescent="0.25">
      <c r="B8929" s="5">
        <v>8924</v>
      </c>
      <c r="C8929" s="5">
        <v>266.72710150399104</v>
      </c>
      <c r="D8929" s="45"/>
    </row>
    <row r="8930" spans="2:4" ht="16" thickBot="1" x14ac:dyDescent="0.25">
      <c r="B8930" s="4">
        <v>8925</v>
      </c>
      <c r="C8930" s="4">
        <v>164.98546404075469</v>
      </c>
      <c r="D8930" s="45"/>
    </row>
    <row r="8931" spans="2:4" ht="16" thickBot="1" x14ac:dyDescent="0.25">
      <c r="B8931" s="5">
        <v>8926</v>
      </c>
      <c r="C8931" s="5">
        <v>110.38910546484192</v>
      </c>
      <c r="D8931" s="45"/>
    </row>
    <row r="8932" spans="2:4" ht="16" thickBot="1" x14ac:dyDescent="0.25">
      <c r="B8932" s="4">
        <v>8927</v>
      </c>
      <c r="C8932" s="4">
        <v>278.48135098769365</v>
      </c>
      <c r="D8932" s="45"/>
    </row>
    <row r="8933" spans="2:4" ht="16" thickBot="1" x14ac:dyDescent="0.25">
      <c r="B8933" s="5">
        <v>8928</v>
      </c>
      <c r="C8933" s="5">
        <v>196.203056569084</v>
      </c>
      <c r="D8933" s="45"/>
    </row>
    <row r="8934" spans="2:4" ht="16" thickBot="1" x14ac:dyDescent="0.25">
      <c r="B8934" s="4">
        <v>8929</v>
      </c>
      <c r="C8934" s="4">
        <v>294.8191644660638</v>
      </c>
      <c r="D8934" s="45"/>
    </row>
    <row r="8935" spans="2:4" ht="16" thickBot="1" x14ac:dyDescent="0.25">
      <c r="B8935" s="5">
        <v>8930</v>
      </c>
      <c r="C8935" s="5">
        <v>92.655908141664781</v>
      </c>
      <c r="D8935" s="45"/>
    </row>
    <row r="8936" spans="2:4" ht="16" thickBot="1" x14ac:dyDescent="0.25">
      <c r="B8936" s="4">
        <v>8931</v>
      </c>
      <c r="C8936" s="4">
        <v>311.79986258787073</v>
      </c>
      <c r="D8936" s="45"/>
    </row>
    <row r="8937" spans="2:4" ht="16" thickBot="1" x14ac:dyDescent="0.25">
      <c r="B8937" s="5">
        <v>8932</v>
      </c>
      <c r="C8937" s="5">
        <v>396.66972523629084</v>
      </c>
      <c r="D8937" s="45"/>
    </row>
    <row r="8938" spans="2:4" ht="16" thickBot="1" x14ac:dyDescent="0.25">
      <c r="B8938" s="4">
        <v>8933</v>
      </c>
      <c r="C8938" s="4">
        <v>101.10511746351128</v>
      </c>
      <c r="D8938" s="45"/>
    </row>
    <row r="8939" spans="2:4" ht="16" thickBot="1" x14ac:dyDescent="0.25">
      <c r="B8939" s="5">
        <v>8934</v>
      </c>
      <c r="C8939" s="5">
        <v>283.49395217806023</v>
      </c>
      <c r="D8939" s="45"/>
    </row>
    <row r="8940" spans="2:4" ht="16" thickBot="1" x14ac:dyDescent="0.25">
      <c r="B8940" s="4">
        <v>8935</v>
      </c>
      <c r="C8940" s="4">
        <v>93.661812078556238</v>
      </c>
      <c r="D8940" s="45"/>
    </row>
    <row r="8941" spans="2:4" ht="16" thickBot="1" x14ac:dyDescent="0.25">
      <c r="B8941" s="5">
        <v>8936</v>
      </c>
      <c r="C8941" s="5">
        <v>123.49785617649952</v>
      </c>
      <c r="D8941" s="45"/>
    </row>
    <row r="8942" spans="2:4" ht="16" thickBot="1" x14ac:dyDescent="0.25">
      <c r="B8942" s="4">
        <v>8937</v>
      </c>
      <c r="C8942" s="4">
        <v>107.23589597263485</v>
      </c>
      <c r="D8942" s="45"/>
    </row>
    <row r="8943" spans="2:4" ht="16" thickBot="1" x14ac:dyDescent="0.25">
      <c r="B8943" s="5">
        <v>8938</v>
      </c>
      <c r="C8943" s="5">
        <v>148.06471018258205</v>
      </c>
      <c r="D8943" s="45"/>
    </row>
    <row r="8944" spans="2:4" ht="16" thickBot="1" x14ac:dyDescent="0.25">
      <c r="B8944" s="4">
        <v>8939</v>
      </c>
      <c r="C8944" s="4">
        <v>90.496640427071256</v>
      </c>
      <c r="D8944" s="45"/>
    </row>
    <row r="8945" spans="2:4" ht="16" thickBot="1" x14ac:dyDescent="0.25">
      <c r="B8945" s="5">
        <v>8940</v>
      </c>
      <c r="C8945" s="5">
        <v>192.08541796320176</v>
      </c>
      <c r="D8945" s="45"/>
    </row>
    <row r="8946" spans="2:4" ht="16" thickBot="1" x14ac:dyDescent="0.25">
      <c r="B8946" s="4">
        <v>8941</v>
      </c>
      <c r="C8946" s="4">
        <v>91.846017567399997</v>
      </c>
      <c r="D8946" s="45"/>
    </row>
    <row r="8947" spans="2:4" ht="16" thickBot="1" x14ac:dyDescent="0.25">
      <c r="B8947" s="5">
        <v>8942</v>
      </c>
      <c r="C8947" s="5">
        <v>93.62469643316652</v>
      </c>
      <c r="D8947" s="45"/>
    </row>
    <row r="8948" spans="2:4" ht="16" thickBot="1" x14ac:dyDescent="0.25">
      <c r="B8948" s="4">
        <v>8943</v>
      </c>
      <c r="C8948" s="4">
        <v>154.2932466181438</v>
      </c>
      <c r="D8948" s="45"/>
    </row>
    <row r="8949" spans="2:4" ht="16" thickBot="1" x14ac:dyDescent="0.25">
      <c r="B8949" s="5">
        <v>8944</v>
      </c>
      <c r="C8949" s="5">
        <v>203.76303988720454</v>
      </c>
      <c r="D8949" s="45"/>
    </row>
    <row r="8950" spans="2:4" ht="16" thickBot="1" x14ac:dyDescent="0.25">
      <c r="B8950" s="4">
        <v>8945</v>
      </c>
      <c r="C8950" s="4">
        <v>263.16254983411278</v>
      </c>
      <c r="D8950" s="45"/>
    </row>
    <row r="8951" spans="2:4" ht="16" thickBot="1" x14ac:dyDescent="0.25">
      <c r="B8951" s="5">
        <v>8946</v>
      </c>
      <c r="C8951" s="5">
        <v>190.19592840631944</v>
      </c>
      <c r="D8951" s="45"/>
    </row>
    <row r="8952" spans="2:4" ht="16" thickBot="1" x14ac:dyDescent="0.25">
      <c r="B8952" s="4">
        <v>8947</v>
      </c>
      <c r="C8952" s="4">
        <v>104.35537868196262</v>
      </c>
      <c r="D8952" s="45"/>
    </row>
    <row r="8953" spans="2:4" ht="16" thickBot="1" x14ac:dyDescent="0.25">
      <c r="B8953" s="5">
        <v>8948</v>
      </c>
      <c r="C8953" s="5">
        <v>400.02527307282037</v>
      </c>
      <c r="D8953" s="45"/>
    </row>
    <row r="8954" spans="2:4" ht="16" thickBot="1" x14ac:dyDescent="0.25">
      <c r="B8954" s="4">
        <v>8949</v>
      </c>
      <c r="C8954" s="4">
        <v>66.881531775763335</v>
      </c>
      <c r="D8954" s="45"/>
    </row>
    <row r="8955" spans="2:4" ht="16" thickBot="1" x14ac:dyDescent="0.25">
      <c r="B8955" s="5">
        <v>8950</v>
      </c>
      <c r="C8955" s="5">
        <v>77.686632150093615</v>
      </c>
      <c r="D8955" s="45"/>
    </row>
    <row r="8956" spans="2:4" ht="16" thickBot="1" x14ac:dyDescent="0.25">
      <c r="B8956" s="4">
        <v>8951</v>
      </c>
      <c r="C8956" s="4">
        <v>83.899477596804147</v>
      </c>
      <c r="D8956" s="45"/>
    </row>
    <row r="8957" spans="2:4" ht="16" thickBot="1" x14ac:dyDescent="0.25">
      <c r="B8957" s="5">
        <v>8952</v>
      </c>
      <c r="C8957" s="5">
        <v>121.42713143010381</v>
      </c>
      <c r="D8957" s="45"/>
    </row>
    <row r="8958" spans="2:4" ht="16" thickBot="1" x14ac:dyDescent="0.25">
      <c r="B8958" s="4">
        <v>8953</v>
      </c>
      <c r="C8958" s="4">
        <v>67.407441631807288</v>
      </c>
      <c r="D8958" s="45"/>
    </row>
    <row r="8959" spans="2:4" ht="16" thickBot="1" x14ac:dyDescent="0.25">
      <c r="B8959" s="5">
        <v>8954</v>
      </c>
      <c r="C8959" s="5">
        <v>164.34734565132794</v>
      </c>
      <c r="D8959" s="45"/>
    </row>
    <row r="8960" spans="2:4" ht="16" thickBot="1" x14ac:dyDescent="0.25">
      <c r="B8960" s="4">
        <v>8955</v>
      </c>
      <c r="C8960" s="4">
        <v>93.645077180746711</v>
      </c>
      <c r="D8960" s="45"/>
    </row>
    <row r="8961" spans="2:4" ht="16" thickBot="1" x14ac:dyDescent="0.25">
      <c r="B8961" s="5">
        <v>8956</v>
      </c>
      <c r="C8961" s="5">
        <v>235.59574395755854</v>
      </c>
      <c r="D8961" s="45"/>
    </row>
    <row r="8962" spans="2:4" ht="16" thickBot="1" x14ac:dyDescent="0.25">
      <c r="B8962" s="4">
        <v>8957</v>
      </c>
      <c r="C8962" s="4">
        <v>166.45495432983628</v>
      </c>
      <c r="D8962" s="45"/>
    </row>
    <row r="8963" spans="2:4" ht="16" thickBot="1" x14ac:dyDescent="0.25">
      <c r="B8963" s="5">
        <v>8958</v>
      </c>
      <c r="C8963" s="5">
        <v>413.4055120582625</v>
      </c>
      <c r="D8963" s="45"/>
    </row>
    <row r="8964" spans="2:4" ht="16" thickBot="1" x14ac:dyDescent="0.25">
      <c r="B8964" s="4">
        <v>8959</v>
      </c>
      <c r="C8964" s="4">
        <v>173.66607909109075</v>
      </c>
      <c r="D8964" s="45"/>
    </row>
    <row r="8965" spans="2:4" ht="16" thickBot="1" x14ac:dyDescent="0.25">
      <c r="B8965" s="5">
        <v>8960</v>
      </c>
      <c r="C8965" s="5">
        <v>315.06242496957748</v>
      </c>
      <c r="D8965" s="45"/>
    </row>
    <row r="8966" spans="2:4" ht="16" thickBot="1" x14ac:dyDescent="0.25">
      <c r="B8966" s="4">
        <v>8961</v>
      </c>
      <c r="C8966" s="4">
        <v>102.69928090756274</v>
      </c>
      <c r="D8966" s="45"/>
    </row>
    <row r="8967" spans="2:4" ht="16" thickBot="1" x14ac:dyDescent="0.25">
      <c r="B8967" s="5">
        <v>8962</v>
      </c>
      <c r="C8967" s="5">
        <v>273.98839525741465</v>
      </c>
      <c r="D8967" s="45"/>
    </row>
    <row r="8968" spans="2:4" ht="16" thickBot="1" x14ac:dyDescent="0.25">
      <c r="B8968" s="4">
        <v>8963</v>
      </c>
      <c r="C8968" s="4">
        <v>146.60826508110395</v>
      </c>
      <c r="D8968" s="45"/>
    </row>
    <row r="8969" spans="2:4" ht="16" thickBot="1" x14ac:dyDescent="0.25">
      <c r="B8969" s="5">
        <v>8964</v>
      </c>
      <c r="C8969" s="5">
        <v>212.26505167652087</v>
      </c>
      <c r="D8969" s="45"/>
    </row>
    <row r="8970" spans="2:4" ht="16" thickBot="1" x14ac:dyDescent="0.25">
      <c r="B8970" s="4">
        <v>8965</v>
      </c>
      <c r="C8970" s="4">
        <v>132.58679735274353</v>
      </c>
      <c r="D8970" s="45"/>
    </row>
    <row r="8971" spans="2:4" ht="16" thickBot="1" x14ac:dyDescent="0.25">
      <c r="B8971" s="5">
        <v>8966</v>
      </c>
      <c r="C8971" s="5">
        <v>91.565691016208248</v>
      </c>
      <c r="D8971" s="45"/>
    </row>
    <row r="8972" spans="2:4" ht="16" thickBot="1" x14ac:dyDescent="0.25">
      <c r="B8972" s="4">
        <v>8967</v>
      </c>
      <c r="C8972" s="4">
        <v>121.34329566066575</v>
      </c>
      <c r="D8972" s="45"/>
    </row>
    <row r="8973" spans="2:4" ht="16" thickBot="1" x14ac:dyDescent="0.25">
      <c r="B8973" s="5">
        <v>8968</v>
      </c>
      <c r="C8973" s="5">
        <v>142.87478478661245</v>
      </c>
      <c r="D8973" s="45"/>
    </row>
    <row r="8974" spans="2:4" ht="16" thickBot="1" x14ac:dyDescent="0.25">
      <c r="B8974" s="4">
        <v>8969</v>
      </c>
      <c r="C8974" s="4">
        <v>85.717524153185011</v>
      </c>
      <c r="D8974" s="45"/>
    </row>
    <row r="8975" spans="2:4" ht="16" thickBot="1" x14ac:dyDescent="0.25">
      <c r="B8975" s="5">
        <v>8970</v>
      </c>
      <c r="C8975" s="5">
        <v>146.20924526607391</v>
      </c>
      <c r="D8975" s="45"/>
    </row>
    <row r="8976" spans="2:4" ht="16" thickBot="1" x14ac:dyDescent="0.25">
      <c r="B8976" s="4">
        <v>8971</v>
      </c>
      <c r="C8976" s="4">
        <v>207.32477300940891</v>
      </c>
      <c r="D8976" s="45"/>
    </row>
    <row r="8977" spans="2:4" ht="16" thickBot="1" x14ac:dyDescent="0.25">
      <c r="B8977" s="5">
        <v>8972</v>
      </c>
      <c r="C8977" s="5">
        <v>105.8474333658806</v>
      </c>
      <c r="D8977" s="45"/>
    </row>
    <row r="8978" spans="2:4" ht="16" thickBot="1" x14ac:dyDescent="0.25">
      <c r="B8978" s="4">
        <v>8973</v>
      </c>
      <c r="C8978" s="4">
        <v>82.417363807779125</v>
      </c>
      <c r="D8978" s="45"/>
    </row>
    <row r="8979" spans="2:4" ht="16" thickBot="1" x14ac:dyDescent="0.25">
      <c r="B8979" s="5">
        <v>8974</v>
      </c>
      <c r="C8979" s="5">
        <v>221.99353490849924</v>
      </c>
      <c r="D8979" s="45"/>
    </row>
    <row r="8980" spans="2:4" ht="16" thickBot="1" x14ac:dyDescent="0.25">
      <c r="B8980" s="4">
        <v>8975</v>
      </c>
      <c r="C8980" s="4">
        <v>117.11462964672695</v>
      </c>
      <c r="D8980" s="45"/>
    </row>
    <row r="8981" spans="2:4" ht="16" thickBot="1" x14ac:dyDescent="0.25">
      <c r="B8981" s="5">
        <v>8976</v>
      </c>
      <c r="C8981" s="5">
        <v>76.971972483232406</v>
      </c>
      <c r="D8981" s="45"/>
    </row>
    <row r="8982" spans="2:4" ht="16" thickBot="1" x14ac:dyDescent="0.25">
      <c r="B8982" s="4">
        <v>8977</v>
      </c>
      <c r="C8982" s="4">
        <v>115.74590767570456</v>
      </c>
      <c r="D8982" s="45"/>
    </row>
    <row r="8983" spans="2:4" ht="16" thickBot="1" x14ac:dyDescent="0.25">
      <c r="B8983" s="5">
        <v>8978</v>
      </c>
      <c r="C8983" s="5">
        <v>386.7922649972445</v>
      </c>
      <c r="D8983" s="45"/>
    </row>
    <row r="8984" spans="2:4" ht="16" thickBot="1" x14ac:dyDescent="0.25">
      <c r="B8984" s="4">
        <v>8979</v>
      </c>
      <c r="C8984" s="4">
        <v>532.04196989895252</v>
      </c>
      <c r="D8984" s="45"/>
    </row>
    <row r="8985" spans="2:4" ht="16" thickBot="1" x14ac:dyDescent="0.25">
      <c r="B8985" s="5">
        <v>8980</v>
      </c>
      <c r="C8985" s="5">
        <v>170.81402561044467</v>
      </c>
      <c r="D8985" s="45"/>
    </row>
    <row r="8986" spans="2:4" ht="16" thickBot="1" x14ac:dyDescent="0.25">
      <c r="B8986" s="4">
        <v>8981</v>
      </c>
      <c r="C8986" s="4">
        <v>121.06215284917498</v>
      </c>
      <c r="D8986" s="45"/>
    </row>
    <row r="8987" spans="2:4" ht="16" thickBot="1" x14ac:dyDescent="0.25">
      <c r="B8987" s="5">
        <v>8982</v>
      </c>
      <c r="C8987" s="5">
        <v>139.11826561264195</v>
      </c>
      <c r="D8987" s="45"/>
    </row>
    <row r="8988" spans="2:4" ht="16" thickBot="1" x14ac:dyDescent="0.25">
      <c r="B8988" s="4">
        <v>8983</v>
      </c>
      <c r="C8988" s="4">
        <v>154.11080820899025</v>
      </c>
      <c r="D8988" s="45"/>
    </row>
    <row r="8989" spans="2:4" ht="16" thickBot="1" x14ac:dyDescent="0.25">
      <c r="B8989" s="5">
        <v>8984</v>
      </c>
      <c r="C8989" s="5">
        <v>108.69022509393062</v>
      </c>
      <c r="D8989" s="45"/>
    </row>
    <row r="8990" spans="2:4" ht="16" thickBot="1" x14ac:dyDescent="0.25">
      <c r="B8990" s="4">
        <v>8985</v>
      </c>
      <c r="C8990" s="4">
        <v>84.79094872735989</v>
      </c>
      <c r="D8990" s="45"/>
    </row>
    <row r="8991" spans="2:4" ht="16" thickBot="1" x14ac:dyDescent="0.25">
      <c r="B8991" s="5">
        <v>8986</v>
      </c>
      <c r="C8991" s="5">
        <v>119.9840246744798</v>
      </c>
      <c r="D8991" s="45"/>
    </row>
    <row r="8992" spans="2:4" ht="16" thickBot="1" x14ac:dyDescent="0.25">
      <c r="B8992" s="4">
        <v>8987</v>
      </c>
      <c r="C8992" s="4">
        <v>504.14127678610356</v>
      </c>
      <c r="D8992" s="45"/>
    </row>
    <row r="8993" spans="2:4" ht="16" thickBot="1" x14ac:dyDescent="0.25">
      <c r="B8993" s="5">
        <v>8988</v>
      </c>
      <c r="C8993" s="5">
        <v>197.84619888595284</v>
      </c>
      <c r="D8993" s="45"/>
    </row>
    <row r="8994" spans="2:4" ht="16" thickBot="1" x14ac:dyDescent="0.25">
      <c r="B8994" s="4">
        <v>8989</v>
      </c>
      <c r="C8994" s="4">
        <v>210.94604582400223</v>
      </c>
      <c r="D8994" s="45"/>
    </row>
    <row r="8995" spans="2:4" ht="16" thickBot="1" x14ac:dyDescent="0.25">
      <c r="B8995" s="5">
        <v>8990</v>
      </c>
      <c r="C8995" s="5">
        <v>144.7755301016098</v>
      </c>
      <c r="D8995" s="45"/>
    </row>
    <row r="8996" spans="2:4" ht="16" thickBot="1" x14ac:dyDescent="0.25">
      <c r="B8996" s="4">
        <v>8991</v>
      </c>
      <c r="C8996" s="4">
        <v>84.790759145127765</v>
      </c>
      <c r="D8996" s="45"/>
    </row>
    <row r="8997" spans="2:4" ht="16" thickBot="1" x14ac:dyDescent="0.25">
      <c r="B8997" s="5">
        <v>8992</v>
      </c>
      <c r="C8997" s="5">
        <v>126.17453067743054</v>
      </c>
      <c r="D8997" s="45"/>
    </row>
    <row r="8998" spans="2:4" ht="16" thickBot="1" x14ac:dyDescent="0.25">
      <c r="B8998" s="4">
        <v>8993</v>
      </c>
      <c r="C8998" s="4">
        <v>132.99210981959544</v>
      </c>
      <c r="D8998" s="45"/>
    </row>
    <row r="8999" spans="2:4" ht="16" thickBot="1" x14ac:dyDescent="0.25">
      <c r="B8999" s="5">
        <v>8994</v>
      </c>
      <c r="C8999" s="5">
        <v>79.729280882907815</v>
      </c>
      <c r="D8999" s="45"/>
    </row>
    <row r="9000" spans="2:4" ht="16" thickBot="1" x14ac:dyDescent="0.25">
      <c r="B9000" s="4">
        <v>8995</v>
      </c>
      <c r="C9000" s="4">
        <v>102.79048009509332</v>
      </c>
      <c r="D9000" s="45"/>
    </row>
    <row r="9001" spans="2:4" ht="16" thickBot="1" x14ac:dyDescent="0.25">
      <c r="B9001" s="5">
        <v>8996</v>
      </c>
      <c r="C9001" s="5">
        <v>101.37795012020648</v>
      </c>
      <c r="D9001" s="45"/>
    </row>
    <row r="9002" spans="2:4" ht="16" thickBot="1" x14ac:dyDescent="0.25">
      <c r="B9002" s="4">
        <v>8997</v>
      </c>
      <c r="C9002" s="4">
        <v>142.44761310927825</v>
      </c>
      <c r="D9002" s="45"/>
    </row>
    <row r="9003" spans="2:4" ht="16" thickBot="1" x14ac:dyDescent="0.25">
      <c r="B9003" s="5">
        <v>8998</v>
      </c>
      <c r="C9003" s="5">
        <v>118.75815336985801</v>
      </c>
      <c r="D9003" s="45"/>
    </row>
    <row r="9004" spans="2:4" ht="16" thickBot="1" x14ac:dyDescent="0.25">
      <c r="B9004" s="4">
        <v>8999</v>
      </c>
      <c r="C9004" s="4">
        <v>147.9690444007947</v>
      </c>
      <c r="D9004" s="45"/>
    </row>
    <row r="9005" spans="2:4" ht="16" thickBot="1" x14ac:dyDescent="0.25">
      <c r="B9005" s="5">
        <v>9000</v>
      </c>
      <c r="C9005" s="5">
        <v>202.36918922646461</v>
      </c>
      <c r="D9005" s="45"/>
    </row>
    <row r="9006" spans="2:4" ht="16" thickBot="1" x14ac:dyDescent="0.25">
      <c r="B9006" s="4">
        <v>9001</v>
      </c>
      <c r="C9006" s="4">
        <v>477.47489423215717</v>
      </c>
      <c r="D9006" s="45"/>
    </row>
    <row r="9007" spans="2:4" ht="16" thickBot="1" x14ac:dyDescent="0.25">
      <c r="B9007" s="5">
        <v>9002</v>
      </c>
      <c r="C9007" s="5">
        <v>94.029754081228788</v>
      </c>
      <c r="D9007" s="45"/>
    </row>
    <row r="9008" spans="2:4" ht="16" thickBot="1" x14ac:dyDescent="0.25">
      <c r="B9008" s="4">
        <v>9003</v>
      </c>
      <c r="C9008" s="4">
        <v>209.55825725032017</v>
      </c>
      <c r="D9008" s="45"/>
    </row>
    <row r="9009" spans="2:4" ht="16" thickBot="1" x14ac:dyDescent="0.25">
      <c r="B9009" s="5">
        <v>9004</v>
      </c>
      <c r="C9009" s="5">
        <v>266.14063264423902</v>
      </c>
      <c r="D9009" s="45"/>
    </row>
    <row r="9010" spans="2:4" ht="16" thickBot="1" x14ac:dyDescent="0.25">
      <c r="B9010" s="4">
        <v>9005</v>
      </c>
      <c r="C9010" s="4">
        <v>99.477914121547457</v>
      </c>
      <c r="D9010" s="45"/>
    </row>
    <row r="9011" spans="2:4" ht="16" thickBot="1" x14ac:dyDescent="0.25">
      <c r="B9011" s="5">
        <v>9006</v>
      </c>
      <c r="C9011" s="5">
        <v>164.84709581924025</v>
      </c>
      <c r="D9011" s="45"/>
    </row>
    <row r="9012" spans="2:4" ht="16" thickBot="1" x14ac:dyDescent="0.25">
      <c r="B9012" s="4">
        <v>9007</v>
      </c>
      <c r="C9012" s="4">
        <v>182.71925110430496</v>
      </c>
      <c r="D9012" s="45"/>
    </row>
    <row r="9013" spans="2:4" ht="16" thickBot="1" x14ac:dyDescent="0.25">
      <c r="B9013" s="5">
        <v>9008</v>
      </c>
      <c r="C9013" s="5">
        <v>177.52448066970618</v>
      </c>
      <c r="D9013" s="45"/>
    </row>
    <row r="9014" spans="2:4" ht="16" thickBot="1" x14ac:dyDescent="0.25">
      <c r="B9014" s="4">
        <v>9009</v>
      </c>
      <c r="C9014" s="4">
        <v>175.14582972533597</v>
      </c>
      <c r="D9014" s="45"/>
    </row>
    <row r="9015" spans="2:4" ht="16" thickBot="1" x14ac:dyDescent="0.25">
      <c r="B9015" s="5">
        <v>9010</v>
      </c>
      <c r="C9015" s="5">
        <v>89.229212502472592</v>
      </c>
      <c r="D9015" s="45"/>
    </row>
    <row r="9016" spans="2:4" ht="16" thickBot="1" x14ac:dyDescent="0.25">
      <c r="B9016" s="4">
        <v>9011</v>
      </c>
      <c r="C9016" s="4">
        <v>296.43360572455043</v>
      </c>
      <c r="D9016" s="45"/>
    </row>
    <row r="9017" spans="2:4" ht="16" thickBot="1" x14ac:dyDescent="0.25">
      <c r="B9017" s="5">
        <v>9012</v>
      </c>
      <c r="C9017" s="5">
        <v>152.18451708295717</v>
      </c>
      <c r="D9017" s="45"/>
    </row>
    <row r="9018" spans="2:4" ht="16" thickBot="1" x14ac:dyDescent="0.25">
      <c r="B9018" s="4">
        <v>9013</v>
      </c>
      <c r="C9018" s="4">
        <v>111.44590002360664</v>
      </c>
      <c r="D9018" s="45"/>
    </row>
    <row r="9019" spans="2:4" ht="16" thickBot="1" x14ac:dyDescent="0.25">
      <c r="B9019" s="5">
        <v>9014</v>
      </c>
      <c r="C9019" s="5">
        <v>63.865432080125188</v>
      </c>
      <c r="D9019" s="45"/>
    </row>
    <row r="9020" spans="2:4" ht="16" thickBot="1" x14ac:dyDescent="0.25">
      <c r="B9020" s="4">
        <v>9015</v>
      </c>
      <c r="C9020" s="4">
        <v>132.05605082538924</v>
      </c>
      <c r="D9020" s="45"/>
    </row>
    <row r="9021" spans="2:4" ht="16" thickBot="1" x14ac:dyDescent="0.25">
      <c r="B9021" s="5">
        <v>9016</v>
      </c>
      <c r="C9021" s="5">
        <v>41.839647507791831</v>
      </c>
      <c r="D9021" s="45"/>
    </row>
    <row r="9022" spans="2:4" ht="16" thickBot="1" x14ac:dyDescent="0.25">
      <c r="B9022" s="4">
        <v>9017</v>
      </c>
      <c r="C9022" s="4">
        <v>80.654897954670261</v>
      </c>
      <c r="D9022" s="45"/>
    </row>
    <row r="9023" spans="2:4" ht="16" thickBot="1" x14ac:dyDescent="0.25">
      <c r="B9023" s="5">
        <v>9018</v>
      </c>
      <c r="C9023" s="5">
        <v>139.3935531794821</v>
      </c>
      <c r="D9023" s="45"/>
    </row>
    <row r="9024" spans="2:4" ht="16" thickBot="1" x14ac:dyDescent="0.25">
      <c r="B9024" s="4">
        <v>9019</v>
      </c>
      <c r="C9024" s="4">
        <v>220.61157813526881</v>
      </c>
      <c r="D9024" s="45"/>
    </row>
    <row r="9025" spans="2:4" ht="16" thickBot="1" x14ac:dyDescent="0.25">
      <c r="B9025" s="5">
        <v>9020</v>
      </c>
      <c r="C9025" s="5">
        <v>91.626514751096394</v>
      </c>
      <c r="D9025" s="45"/>
    </row>
    <row r="9026" spans="2:4" ht="16" thickBot="1" x14ac:dyDescent="0.25">
      <c r="B9026" s="4">
        <v>9021</v>
      </c>
      <c r="C9026" s="4">
        <v>118.82610572051536</v>
      </c>
      <c r="D9026" s="45"/>
    </row>
    <row r="9027" spans="2:4" ht="16" thickBot="1" x14ac:dyDescent="0.25">
      <c r="B9027" s="5">
        <v>9022</v>
      </c>
      <c r="C9027" s="5">
        <v>98.254512180811034</v>
      </c>
      <c r="D9027" s="45"/>
    </row>
    <row r="9028" spans="2:4" ht="16" thickBot="1" x14ac:dyDescent="0.25">
      <c r="B9028" s="4">
        <v>9023</v>
      </c>
      <c r="C9028" s="4">
        <v>326.34427303698482</v>
      </c>
      <c r="D9028" s="45"/>
    </row>
    <row r="9029" spans="2:4" ht="16" thickBot="1" x14ac:dyDescent="0.25">
      <c r="B9029" s="5">
        <v>9024</v>
      </c>
      <c r="C9029" s="5">
        <v>95.24493020243203</v>
      </c>
      <c r="D9029" s="45"/>
    </row>
    <row r="9030" spans="2:4" ht="16" thickBot="1" x14ac:dyDescent="0.25">
      <c r="B9030" s="4">
        <v>9025</v>
      </c>
      <c r="C9030" s="4">
        <v>50.165633109824469</v>
      </c>
      <c r="D9030" s="45"/>
    </row>
    <row r="9031" spans="2:4" ht="16" thickBot="1" x14ac:dyDescent="0.25">
      <c r="B9031" s="5">
        <v>9026</v>
      </c>
      <c r="C9031" s="5">
        <v>46.900922826359952</v>
      </c>
      <c r="D9031" s="45"/>
    </row>
    <row r="9032" spans="2:4" ht="16" thickBot="1" x14ac:dyDescent="0.25">
      <c r="B9032" s="4">
        <v>9027</v>
      </c>
      <c r="C9032" s="4">
        <v>323.5139965935843</v>
      </c>
      <c r="D9032" s="45"/>
    </row>
    <row r="9033" spans="2:4" ht="16" thickBot="1" x14ac:dyDescent="0.25">
      <c r="B9033" s="5">
        <v>9028</v>
      </c>
      <c r="C9033" s="5">
        <v>155.58209128897931</v>
      </c>
      <c r="D9033" s="45"/>
    </row>
    <row r="9034" spans="2:4" ht="16" thickBot="1" x14ac:dyDescent="0.25">
      <c r="B9034" s="4">
        <v>9029</v>
      </c>
      <c r="C9034" s="4">
        <v>340.92841960423453</v>
      </c>
      <c r="D9034" s="45"/>
    </row>
    <row r="9035" spans="2:4" ht="16" thickBot="1" x14ac:dyDescent="0.25">
      <c r="B9035" s="5">
        <v>9030</v>
      </c>
      <c r="C9035" s="5">
        <v>219.48335846481103</v>
      </c>
      <c r="D9035" s="45"/>
    </row>
    <row r="9036" spans="2:4" ht="16" thickBot="1" x14ac:dyDescent="0.25">
      <c r="B9036" s="4">
        <v>9031</v>
      </c>
      <c r="C9036" s="4">
        <v>361.41203162230022</v>
      </c>
      <c r="D9036" s="45"/>
    </row>
    <row r="9037" spans="2:4" ht="16" thickBot="1" x14ac:dyDescent="0.25">
      <c r="B9037" s="5">
        <v>9032</v>
      </c>
      <c r="C9037" s="5">
        <v>157.1863719326922</v>
      </c>
      <c r="D9037" s="45"/>
    </row>
    <row r="9038" spans="2:4" ht="16" thickBot="1" x14ac:dyDescent="0.25">
      <c r="B9038" s="4">
        <v>9033</v>
      </c>
      <c r="C9038" s="4">
        <v>121.5360326277911</v>
      </c>
      <c r="D9038" s="45"/>
    </row>
    <row r="9039" spans="2:4" ht="16" thickBot="1" x14ac:dyDescent="0.25">
      <c r="B9039" s="5">
        <v>9034</v>
      </c>
      <c r="C9039" s="5">
        <v>123.87633032811682</v>
      </c>
      <c r="D9039" s="45"/>
    </row>
    <row r="9040" spans="2:4" ht="16" thickBot="1" x14ac:dyDescent="0.25">
      <c r="B9040" s="4">
        <v>9035</v>
      </c>
      <c r="C9040" s="4">
        <v>335.72549365723347</v>
      </c>
      <c r="D9040" s="45"/>
    </row>
    <row r="9041" spans="2:4" ht="16" thickBot="1" x14ac:dyDescent="0.25">
      <c r="B9041" s="5">
        <v>9036</v>
      </c>
      <c r="C9041" s="5">
        <v>267.68046223009264</v>
      </c>
      <c r="D9041" s="45"/>
    </row>
    <row r="9042" spans="2:4" ht="16" thickBot="1" x14ac:dyDescent="0.25">
      <c r="B9042" s="4">
        <v>9037</v>
      </c>
      <c r="C9042" s="4">
        <v>123.02651025403627</v>
      </c>
      <c r="D9042" s="45"/>
    </row>
    <row r="9043" spans="2:4" ht="16" thickBot="1" x14ac:dyDescent="0.25">
      <c r="B9043" s="5">
        <v>9038</v>
      </c>
      <c r="C9043" s="5">
        <v>48.147610428771237</v>
      </c>
      <c r="D9043" s="45"/>
    </row>
    <row r="9044" spans="2:4" ht="16" thickBot="1" x14ac:dyDescent="0.25">
      <c r="B9044" s="4">
        <v>9039</v>
      </c>
      <c r="C9044" s="4">
        <v>74.306110744452042</v>
      </c>
      <c r="D9044" s="45"/>
    </row>
    <row r="9045" spans="2:4" ht="16" thickBot="1" x14ac:dyDescent="0.25">
      <c r="B9045" s="5">
        <v>9040</v>
      </c>
      <c r="C9045" s="5">
        <v>214.83911345416132</v>
      </c>
      <c r="D9045" s="45"/>
    </row>
    <row r="9046" spans="2:4" ht="16" thickBot="1" x14ac:dyDescent="0.25">
      <c r="B9046" s="4">
        <v>9041</v>
      </c>
      <c r="C9046" s="4">
        <v>190.21825409599447</v>
      </c>
      <c r="D9046" s="45"/>
    </row>
    <row r="9047" spans="2:4" ht="16" thickBot="1" x14ac:dyDescent="0.25">
      <c r="B9047" s="5">
        <v>9042</v>
      </c>
      <c r="C9047" s="5">
        <v>325.55671448659712</v>
      </c>
      <c r="D9047" s="45"/>
    </row>
    <row r="9048" spans="2:4" ht="16" thickBot="1" x14ac:dyDescent="0.25">
      <c r="B9048" s="4">
        <v>9043</v>
      </c>
      <c r="C9048" s="4">
        <v>120.20552206815546</v>
      </c>
      <c r="D9048" s="45"/>
    </row>
    <row r="9049" spans="2:4" ht="16" thickBot="1" x14ac:dyDescent="0.25">
      <c r="B9049" s="5">
        <v>9044</v>
      </c>
      <c r="C9049" s="5">
        <v>63.454577665417062</v>
      </c>
      <c r="D9049" s="45"/>
    </row>
    <row r="9050" spans="2:4" ht="16" thickBot="1" x14ac:dyDescent="0.25">
      <c r="B9050" s="4">
        <v>9045</v>
      </c>
      <c r="C9050" s="4">
        <v>209.09566660256115</v>
      </c>
      <c r="D9050" s="45"/>
    </row>
    <row r="9051" spans="2:4" ht="16" thickBot="1" x14ac:dyDescent="0.25">
      <c r="B9051" s="5">
        <v>9046</v>
      </c>
      <c r="C9051" s="5">
        <v>136.96128213981245</v>
      </c>
      <c r="D9051" s="45"/>
    </row>
    <row r="9052" spans="2:4" ht="16" thickBot="1" x14ac:dyDescent="0.25">
      <c r="B9052" s="4">
        <v>9047</v>
      </c>
      <c r="C9052" s="4">
        <v>158.41206791941462</v>
      </c>
      <c r="D9052" s="45"/>
    </row>
    <row r="9053" spans="2:4" ht="16" thickBot="1" x14ac:dyDescent="0.25">
      <c r="B9053" s="5">
        <v>9048</v>
      </c>
      <c r="C9053" s="5">
        <v>127.27949367424928</v>
      </c>
      <c r="D9053" s="45"/>
    </row>
    <row r="9054" spans="2:4" ht="16" thickBot="1" x14ac:dyDescent="0.25">
      <c r="B9054" s="4">
        <v>9049</v>
      </c>
      <c r="C9054" s="4">
        <v>157.63264131693649</v>
      </c>
      <c r="D9054" s="45"/>
    </row>
    <row r="9055" spans="2:4" ht="16" thickBot="1" x14ac:dyDescent="0.25">
      <c r="B9055" s="5">
        <v>9050</v>
      </c>
      <c r="C9055" s="5">
        <v>143.49143341726099</v>
      </c>
      <c r="D9055" s="45"/>
    </row>
    <row r="9056" spans="2:4" ht="16" thickBot="1" x14ac:dyDescent="0.25">
      <c r="B9056" s="4">
        <v>9051</v>
      </c>
      <c r="C9056" s="4">
        <v>88.81176862475121</v>
      </c>
      <c r="D9056" s="45"/>
    </row>
    <row r="9057" spans="2:4" ht="16" thickBot="1" x14ac:dyDescent="0.25">
      <c r="B9057" s="5">
        <v>9052</v>
      </c>
      <c r="C9057" s="5">
        <v>170.68756519898318</v>
      </c>
      <c r="D9057" s="45"/>
    </row>
    <row r="9058" spans="2:4" ht="16" thickBot="1" x14ac:dyDescent="0.25">
      <c r="B9058" s="4">
        <v>9053</v>
      </c>
      <c r="C9058" s="4">
        <v>193.62768654750801</v>
      </c>
      <c r="D9058" s="45"/>
    </row>
    <row r="9059" spans="2:4" ht="16" thickBot="1" x14ac:dyDescent="0.25">
      <c r="B9059" s="5">
        <v>9054</v>
      </c>
      <c r="C9059" s="5">
        <v>142.77245923209961</v>
      </c>
      <c r="D9059" s="45"/>
    </row>
    <row r="9060" spans="2:4" ht="16" thickBot="1" x14ac:dyDescent="0.25">
      <c r="B9060" s="4">
        <v>9055</v>
      </c>
      <c r="C9060" s="4">
        <v>223.69210177178758</v>
      </c>
      <c r="D9060" s="45"/>
    </row>
    <row r="9061" spans="2:4" ht="16" thickBot="1" x14ac:dyDescent="0.25">
      <c r="B9061" s="5">
        <v>9056</v>
      </c>
      <c r="C9061" s="5">
        <v>320.82958797181232</v>
      </c>
      <c r="D9061" s="45"/>
    </row>
    <row r="9062" spans="2:4" ht="16" thickBot="1" x14ac:dyDescent="0.25">
      <c r="B9062" s="4">
        <v>9057</v>
      </c>
      <c r="C9062" s="4">
        <v>79.009698871251175</v>
      </c>
      <c r="D9062" s="45"/>
    </row>
    <row r="9063" spans="2:4" ht="16" thickBot="1" x14ac:dyDescent="0.25">
      <c r="B9063" s="5">
        <v>9058</v>
      </c>
      <c r="C9063" s="5">
        <v>126.29109990407555</v>
      </c>
      <c r="D9063" s="45"/>
    </row>
    <row r="9064" spans="2:4" ht="16" thickBot="1" x14ac:dyDescent="0.25">
      <c r="B9064" s="4">
        <v>9059</v>
      </c>
      <c r="C9064" s="4">
        <v>120.95022667970593</v>
      </c>
      <c r="D9064" s="45"/>
    </row>
    <row r="9065" spans="2:4" ht="16" thickBot="1" x14ac:dyDescent="0.25">
      <c r="B9065" s="5">
        <v>9060</v>
      </c>
      <c r="C9065" s="5">
        <v>82.252884396312666</v>
      </c>
      <c r="D9065" s="45"/>
    </row>
    <row r="9066" spans="2:4" ht="16" thickBot="1" x14ac:dyDescent="0.25">
      <c r="B9066" s="4">
        <v>9061</v>
      </c>
      <c r="C9066" s="4">
        <v>124.44549177617823</v>
      </c>
      <c r="D9066" s="45"/>
    </row>
    <row r="9067" spans="2:4" ht="16" thickBot="1" x14ac:dyDescent="0.25">
      <c r="B9067" s="5">
        <v>9062</v>
      </c>
      <c r="C9067" s="5">
        <v>153.8436546924558</v>
      </c>
      <c r="D9067" s="45"/>
    </row>
    <row r="9068" spans="2:4" ht="16" thickBot="1" x14ac:dyDescent="0.25">
      <c r="B9068" s="4">
        <v>9063</v>
      </c>
      <c r="C9068" s="4">
        <v>141.72931501826702</v>
      </c>
      <c r="D9068" s="45"/>
    </row>
    <row r="9069" spans="2:4" ht="16" thickBot="1" x14ac:dyDescent="0.25">
      <c r="B9069" s="5">
        <v>9064</v>
      </c>
      <c r="C9069" s="5">
        <v>74.129780266791073</v>
      </c>
      <c r="D9069" s="45"/>
    </row>
    <row r="9070" spans="2:4" ht="16" thickBot="1" x14ac:dyDescent="0.25">
      <c r="B9070" s="4">
        <v>9065</v>
      </c>
      <c r="C9070" s="4">
        <v>187.71716336357946</v>
      </c>
      <c r="D9070" s="45"/>
    </row>
    <row r="9071" spans="2:4" ht="16" thickBot="1" x14ac:dyDescent="0.25">
      <c r="B9071" s="5">
        <v>9066</v>
      </c>
      <c r="C9071" s="5">
        <v>139.8169285839322</v>
      </c>
      <c r="D9071" s="45"/>
    </row>
    <row r="9072" spans="2:4" ht="16" thickBot="1" x14ac:dyDescent="0.25">
      <c r="B9072" s="4">
        <v>9067</v>
      </c>
      <c r="C9072" s="4">
        <v>169.50756923297894</v>
      </c>
      <c r="D9072" s="45"/>
    </row>
    <row r="9073" spans="2:4" ht="16" thickBot="1" x14ac:dyDescent="0.25">
      <c r="B9073" s="5">
        <v>9068</v>
      </c>
      <c r="C9073" s="5">
        <v>159.90453647004065</v>
      </c>
      <c r="D9073" s="45"/>
    </row>
    <row r="9074" spans="2:4" ht="16" thickBot="1" x14ac:dyDescent="0.25">
      <c r="B9074" s="4">
        <v>9069</v>
      </c>
      <c r="C9074" s="4">
        <v>264.35280900905036</v>
      </c>
      <c r="D9074" s="45"/>
    </row>
    <row r="9075" spans="2:4" ht="16" thickBot="1" x14ac:dyDescent="0.25">
      <c r="B9075" s="5">
        <v>9070</v>
      </c>
      <c r="C9075" s="5">
        <v>141.68142953376565</v>
      </c>
      <c r="D9075" s="45"/>
    </row>
    <row r="9076" spans="2:4" ht="16" thickBot="1" x14ac:dyDescent="0.25">
      <c r="B9076" s="4">
        <v>9071</v>
      </c>
      <c r="C9076" s="4">
        <v>114.58629777941</v>
      </c>
      <c r="D9076" s="45"/>
    </row>
    <row r="9077" spans="2:4" ht="16" thickBot="1" x14ac:dyDescent="0.25">
      <c r="B9077" s="5">
        <v>9072</v>
      </c>
      <c r="C9077" s="5">
        <v>63.949522463575377</v>
      </c>
      <c r="D9077" s="45"/>
    </row>
    <row r="9078" spans="2:4" ht="16" thickBot="1" x14ac:dyDescent="0.25">
      <c r="B9078" s="4">
        <v>9073</v>
      </c>
      <c r="C9078" s="4">
        <v>47.506904973543726</v>
      </c>
      <c r="D9078" s="45"/>
    </row>
    <row r="9079" spans="2:4" ht="16" thickBot="1" x14ac:dyDescent="0.25">
      <c r="B9079" s="5">
        <v>9074</v>
      </c>
      <c r="C9079" s="5">
        <v>114.3882274809347</v>
      </c>
      <c r="D9079" s="45"/>
    </row>
    <row r="9080" spans="2:4" ht="16" thickBot="1" x14ac:dyDescent="0.25">
      <c r="B9080" s="4">
        <v>9075</v>
      </c>
      <c r="C9080" s="4">
        <v>119.83944009584444</v>
      </c>
      <c r="D9080" s="45"/>
    </row>
    <row r="9081" spans="2:4" ht="16" thickBot="1" x14ac:dyDescent="0.25">
      <c r="B9081" s="5">
        <v>9076</v>
      </c>
      <c r="C9081" s="5">
        <v>145.46235566508204</v>
      </c>
      <c r="D9081" s="45"/>
    </row>
    <row r="9082" spans="2:4" ht="16" thickBot="1" x14ac:dyDescent="0.25">
      <c r="B9082" s="4">
        <v>9077</v>
      </c>
      <c r="C9082" s="4">
        <v>131.25406616343491</v>
      </c>
      <c r="D9082" s="45"/>
    </row>
    <row r="9083" spans="2:4" ht="16" thickBot="1" x14ac:dyDescent="0.25">
      <c r="B9083" s="5">
        <v>9078</v>
      </c>
      <c r="C9083" s="5">
        <v>179.13551742917718</v>
      </c>
      <c r="D9083" s="45"/>
    </row>
    <row r="9084" spans="2:4" ht="16" thickBot="1" x14ac:dyDescent="0.25">
      <c r="B9084" s="4">
        <v>9079</v>
      </c>
      <c r="C9084" s="4">
        <v>235.57732031030176</v>
      </c>
      <c r="D9084" s="45"/>
    </row>
    <row r="9085" spans="2:4" ht="16" thickBot="1" x14ac:dyDescent="0.25">
      <c r="B9085" s="5">
        <v>9080</v>
      </c>
      <c r="C9085" s="5">
        <v>204.8334103045548</v>
      </c>
      <c r="D9085" s="45"/>
    </row>
    <row r="9086" spans="2:4" ht="16" thickBot="1" x14ac:dyDescent="0.25">
      <c r="B9086" s="4">
        <v>9081</v>
      </c>
      <c r="C9086" s="4">
        <v>291.49677555139749</v>
      </c>
      <c r="D9086" s="45"/>
    </row>
    <row r="9087" spans="2:4" ht="16" thickBot="1" x14ac:dyDescent="0.25">
      <c r="B9087" s="5">
        <v>9082</v>
      </c>
      <c r="C9087" s="5">
        <v>269.85493555695331</v>
      </c>
      <c r="D9087" s="45"/>
    </row>
    <row r="9088" spans="2:4" ht="16" thickBot="1" x14ac:dyDescent="0.25">
      <c r="B9088" s="4">
        <v>9083</v>
      </c>
      <c r="C9088" s="4">
        <v>153.04722170653707</v>
      </c>
      <c r="D9088" s="45"/>
    </row>
    <row r="9089" spans="2:4" ht="16" thickBot="1" x14ac:dyDescent="0.25">
      <c r="B9089" s="5">
        <v>9084</v>
      </c>
      <c r="C9089" s="5">
        <v>136.68288168781862</v>
      </c>
      <c r="D9089" s="45"/>
    </row>
    <row r="9090" spans="2:4" ht="16" thickBot="1" x14ac:dyDescent="0.25">
      <c r="B9090" s="4">
        <v>9085</v>
      </c>
      <c r="C9090" s="4">
        <v>254.2593166841605</v>
      </c>
      <c r="D9090" s="45"/>
    </row>
    <row r="9091" spans="2:4" ht="16" thickBot="1" x14ac:dyDescent="0.25">
      <c r="B9091" s="5">
        <v>9086</v>
      </c>
      <c r="C9091" s="5">
        <v>154.16855701607645</v>
      </c>
      <c r="D9091" s="45"/>
    </row>
    <row r="9092" spans="2:4" ht="16" thickBot="1" x14ac:dyDescent="0.25">
      <c r="B9092" s="4">
        <v>9087</v>
      </c>
      <c r="C9092" s="4">
        <v>87.653336185976798</v>
      </c>
      <c r="D9092" s="45"/>
    </row>
    <row r="9093" spans="2:4" ht="16" thickBot="1" x14ac:dyDescent="0.25">
      <c r="B9093" s="5">
        <v>9088</v>
      </c>
      <c r="C9093" s="5">
        <v>188.92864639198166</v>
      </c>
      <c r="D9093" s="45"/>
    </row>
    <row r="9094" spans="2:4" ht="16" thickBot="1" x14ac:dyDescent="0.25">
      <c r="B9094" s="4">
        <v>9089</v>
      </c>
      <c r="C9094" s="4">
        <v>91.716230855601296</v>
      </c>
      <c r="D9094" s="45"/>
    </row>
    <row r="9095" spans="2:4" ht="16" thickBot="1" x14ac:dyDescent="0.25">
      <c r="B9095" s="5">
        <v>9090</v>
      </c>
      <c r="C9095" s="5">
        <v>250.38636635830346</v>
      </c>
      <c r="D9095" s="45"/>
    </row>
    <row r="9096" spans="2:4" ht="16" thickBot="1" x14ac:dyDescent="0.25">
      <c r="B9096" s="4">
        <v>9091</v>
      </c>
      <c r="C9096" s="4">
        <v>118.37515283416545</v>
      </c>
      <c r="D9096" s="45"/>
    </row>
    <row r="9097" spans="2:4" ht="16" thickBot="1" x14ac:dyDescent="0.25">
      <c r="B9097" s="5">
        <v>9092</v>
      </c>
      <c r="C9097" s="5">
        <v>149.55052415336081</v>
      </c>
      <c r="D9097" s="45"/>
    </row>
    <row r="9098" spans="2:4" ht="16" thickBot="1" x14ac:dyDescent="0.25">
      <c r="B9098" s="4">
        <v>9093</v>
      </c>
      <c r="C9098" s="4">
        <v>399.83394602598753</v>
      </c>
      <c r="D9098" s="45"/>
    </row>
    <row r="9099" spans="2:4" ht="16" thickBot="1" x14ac:dyDescent="0.25">
      <c r="B9099" s="5">
        <v>9094</v>
      </c>
      <c r="C9099" s="5">
        <v>102.80327123335174</v>
      </c>
      <c r="D9099" s="45"/>
    </row>
    <row r="9100" spans="2:4" ht="16" thickBot="1" x14ac:dyDescent="0.25">
      <c r="B9100" s="4">
        <v>9095</v>
      </c>
      <c r="C9100" s="4">
        <v>106.466543475603</v>
      </c>
      <c r="D9100" s="45"/>
    </row>
    <row r="9101" spans="2:4" ht="16" thickBot="1" x14ac:dyDescent="0.25">
      <c r="B9101" s="5">
        <v>9096</v>
      </c>
      <c r="C9101" s="5">
        <v>81.275928157944676</v>
      </c>
      <c r="D9101" s="45"/>
    </row>
    <row r="9102" spans="2:4" ht="16" thickBot="1" x14ac:dyDescent="0.25">
      <c r="B9102" s="4">
        <v>9097</v>
      </c>
      <c r="C9102" s="4">
        <v>345.41812083262926</v>
      </c>
      <c r="D9102" s="45"/>
    </row>
    <row r="9103" spans="2:4" ht="16" thickBot="1" x14ac:dyDescent="0.25">
      <c r="B9103" s="5">
        <v>9098</v>
      </c>
      <c r="C9103" s="5">
        <v>83.831021977344349</v>
      </c>
      <c r="D9103" s="45"/>
    </row>
    <row r="9104" spans="2:4" ht="16" thickBot="1" x14ac:dyDescent="0.25">
      <c r="B9104" s="4">
        <v>9099</v>
      </c>
      <c r="C9104" s="4">
        <v>199.78710989422493</v>
      </c>
      <c r="D9104" s="45"/>
    </row>
    <row r="9105" spans="2:4" ht="16" thickBot="1" x14ac:dyDescent="0.25">
      <c r="B9105" s="5">
        <v>9100</v>
      </c>
      <c r="C9105" s="5">
        <v>74.133066997350056</v>
      </c>
      <c r="D9105" s="45"/>
    </row>
    <row r="9106" spans="2:4" ht="16" thickBot="1" x14ac:dyDescent="0.25">
      <c r="B9106" s="4">
        <v>9101</v>
      </c>
      <c r="C9106" s="4">
        <v>90.618260527902763</v>
      </c>
      <c r="D9106" s="45"/>
    </row>
    <row r="9107" spans="2:4" ht="16" thickBot="1" x14ac:dyDescent="0.25">
      <c r="B9107" s="5">
        <v>9102</v>
      </c>
      <c r="C9107" s="5">
        <v>477.17295706765606</v>
      </c>
      <c r="D9107" s="45"/>
    </row>
    <row r="9108" spans="2:4" ht="16" thickBot="1" x14ac:dyDescent="0.25">
      <c r="B9108" s="4">
        <v>9103</v>
      </c>
      <c r="C9108" s="4">
        <v>287.68980874333232</v>
      </c>
      <c r="D9108" s="45"/>
    </row>
    <row r="9109" spans="2:4" ht="16" thickBot="1" x14ac:dyDescent="0.25">
      <c r="B9109" s="5">
        <v>9104</v>
      </c>
      <c r="C9109" s="5">
        <v>319.06689850951079</v>
      </c>
      <c r="D9109" s="45"/>
    </row>
    <row r="9110" spans="2:4" ht="16" thickBot="1" x14ac:dyDescent="0.25">
      <c r="B9110" s="4">
        <v>9105</v>
      </c>
      <c r="C9110" s="4">
        <v>59.536838096627278</v>
      </c>
      <c r="D9110" s="45"/>
    </row>
    <row r="9111" spans="2:4" ht="16" thickBot="1" x14ac:dyDescent="0.25">
      <c r="B9111" s="5">
        <v>9106</v>
      </c>
      <c r="C9111" s="5">
        <v>82.884638071369807</v>
      </c>
      <c r="D9111" s="45"/>
    </row>
    <row r="9112" spans="2:4" ht="16" thickBot="1" x14ac:dyDescent="0.25">
      <c r="B9112" s="4">
        <v>9107</v>
      </c>
      <c r="C9112" s="4">
        <v>305.0342409228258</v>
      </c>
      <c r="D9112" s="45"/>
    </row>
    <row r="9113" spans="2:4" ht="16" thickBot="1" x14ac:dyDescent="0.25">
      <c r="B9113" s="5">
        <v>9108</v>
      </c>
      <c r="C9113" s="5">
        <v>155.01502826048394</v>
      </c>
      <c r="D9113" s="45"/>
    </row>
    <row r="9114" spans="2:4" ht="16" thickBot="1" x14ac:dyDescent="0.25">
      <c r="B9114" s="4">
        <v>9109</v>
      </c>
      <c r="C9114" s="4">
        <v>121.43099609978998</v>
      </c>
      <c r="D9114" s="45"/>
    </row>
    <row r="9115" spans="2:4" ht="16" thickBot="1" x14ac:dyDescent="0.25">
      <c r="B9115" s="5">
        <v>9110</v>
      </c>
      <c r="C9115" s="5">
        <v>141.61180651787859</v>
      </c>
      <c r="D9115" s="45"/>
    </row>
    <row r="9116" spans="2:4" ht="16" thickBot="1" x14ac:dyDescent="0.25">
      <c r="B9116" s="4">
        <v>9111</v>
      </c>
      <c r="C9116" s="4">
        <v>129.29726711165242</v>
      </c>
      <c r="D9116" s="45"/>
    </row>
    <row r="9117" spans="2:4" ht="16" thickBot="1" x14ac:dyDescent="0.25">
      <c r="B9117" s="5">
        <v>9112</v>
      </c>
      <c r="C9117" s="5">
        <v>78.607723148203064</v>
      </c>
      <c r="D9117" s="45"/>
    </row>
    <row r="9118" spans="2:4" ht="16" thickBot="1" x14ac:dyDescent="0.25">
      <c r="B9118" s="4">
        <v>9113</v>
      </c>
      <c r="C9118" s="4">
        <v>128.96397350362676</v>
      </c>
      <c r="D9118" s="45"/>
    </row>
    <row r="9119" spans="2:4" ht="16" thickBot="1" x14ac:dyDescent="0.25">
      <c r="B9119" s="5">
        <v>9114</v>
      </c>
      <c r="C9119" s="5">
        <v>163.69865280499624</v>
      </c>
      <c r="D9119" s="45"/>
    </row>
    <row r="9120" spans="2:4" ht="16" thickBot="1" x14ac:dyDescent="0.25">
      <c r="B9120" s="4">
        <v>9115</v>
      </c>
      <c r="C9120" s="4">
        <v>144.13879281407867</v>
      </c>
      <c r="D9120" s="45"/>
    </row>
    <row r="9121" spans="2:4" ht="16" thickBot="1" x14ac:dyDescent="0.25">
      <c r="B9121" s="5">
        <v>9116</v>
      </c>
      <c r="C9121" s="5">
        <v>117.38586782742107</v>
      </c>
      <c r="D9121" s="45"/>
    </row>
    <row r="9122" spans="2:4" ht="16" thickBot="1" x14ac:dyDescent="0.25">
      <c r="B9122" s="4">
        <v>9117</v>
      </c>
      <c r="C9122" s="4">
        <v>170.20483361023526</v>
      </c>
      <c r="D9122" s="45"/>
    </row>
    <row r="9123" spans="2:4" ht="16" thickBot="1" x14ac:dyDescent="0.25">
      <c r="B9123" s="5">
        <v>9118</v>
      </c>
      <c r="C9123" s="5">
        <v>178.30261174283953</v>
      </c>
      <c r="D9123" s="45"/>
    </row>
    <row r="9124" spans="2:4" ht="16" thickBot="1" x14ac:dyDescent="0.25">
      <c r="B9124" s="4">
        <v>9119</v>
      </c>
      <c r="C9124" s="4">
        <v>214.01841444304736</v>
      </c>
      <c r="D9124" s="45"/>
    </row>
    <row r="9125" spans="2:4" ht="16" thickBot="1" x14ac:dyDescent="0.25">
      <c r="B9125" s="5">
        <v>9120</v>
      </c>
      <c r="C9125" s="5">
        <v>256.64995087456123</v>
      </c>
      <c r="D9125" s="45"/>
    </row>
    <row r="9126" spans="2:4" ht="16" thickBot="1" x14ac:dyDescent="0.25">
      <c r="B9126" s="4">
        <v>9121</v>
      </c>
      <c r="C9126" s="4">
        <v>210.8885004801167</v>
      </c>
      <c r="D9126" s="45"/>
    </row>
    <row r="9127" spans="2:4" ht="16" thickBot="1" x14ac:dyDescent="0.25">
      <c r="B9127" s="5">
        <v>9122</v>
      </c>
      <c r="C9127" s="5">
        <v>124.165524450706</v>
      </c>
      <c r="D9127" s="45"/>
    </row>
    <row r="9128" spans="2:4" ht="16" thickBot="1" x14ac:dyDescent="0.25">
      <c r="B9128" s="4">
        <v>9123</v>
      </c>
      <c r="C9128" s="4">
        <v>281.30955921179219</v>
      </c>
      <c r="D9128" s="45"/>
    </row>
    <row r="9129" spans="2:4" ht="16" thickBot="1" x14ac:dyDescent="0.25">
      <c r="B9129" s="5">
        <v>9124</v>
      </c>
      <c r="C9129" s="5">
        <v>94.855276235650763</v>
      </c>
      <c r="D9129" s="45"/>
    </row>
    <row r="9130" spans="2:4" ht="16" thickBot="1" x14ac:dyDescent="0.25">
      <c r="B9130" s="4">
        <v>9125</v>
      </c>
      <c r="C9130" s="4">
        <v>182.47313004100457</v>
      </c>
      <c r="D9130" s="45"/>
    </row>
    <row r="9131" spans="2:4" ht="16" thickBot="1" x14ac:dyDescent="0.25">
      <c r="B9131" s="5">
        <v>9126</v>
      </c>
      <c r="C9131" s="5">
        <v>77.33977941799472</v>
      </c>
      <c r="D9131" s="45"/>
    </row>
    <row r="9132" spans="2:4" ht="16" thickBot="1" x14ac:dyDescent="0.25">
      <c r="B9132" s="4">
        <v>9127</v>
      </c>
      <c r="C9132" s="4">
        <v>316.55720586028878</v>
      </c>
      <c r="D9132" s="45"/>
    </row>
    <row r="9133" spans="2:4" ht="16" thickBot="1" x14ac:dyDescent="0.25">
      <c r="B9133" s="5">
        <v>9128</v>
      </c>
      <c r="C9133" s="5">
        <v>332.2199030753489</v>
      </c>
      <c r="D9133" s="45"/>
    </row>
    <row r="9134" spans="2:4" ht="16" thickBot="1" x14ac:dyDescent="0.25">
      <c r="B9134" s="4">
        <v>9129</v>
      </c>
      <c r="C9134" s="4">
        <v>291.83966630225092</v>
      </c>
      <c r="D9134" s="45"/>
    </row>
    <row r="9135" spans="2:4" ht="16" thickBot="1" x14ac:dyDescent="0.25">
      <c r="B9135" s="5">
        <v>9130</v>
      </c>
      <c r="C9135" s="5">
        <v>119.81280821716619</v>
      </c>
      <c r="D9135" s="45"/>
    </row>
    <row r="9136" spans="2:4" ht="16" thickBot="1" x14ac:dyDescent="0.25">
      <c r="B9136" s="4">
        <v>9131</v>
      </c>
      <c r="C9136" s="4">
        <v>203.61796881964017</v>
      </c>
      <c r="D9136" s="45"/>
    </row>
    <row r="9137" spans="2:4" ht="16" thickBot="1" x14ac:dyDescent="0.25">
      <c r="B9137" s="5">
        <v>9132</v>
      </c>
      <c r="C9137" s="5">
        <v>167.71895069141132</v>
      </c>
      <c r="D9137" s="45"/>
    </row>
    <row r="9138" spans="2:4" ht="16" thickBot="1" x14ac:dyDescent="0.25">
      <c r="B9138" s="4">
        <v>9133</v>
      </c>
      <c r="C9138" s="4">
        <v>174.59583482107962</v>
      </c>
      <c r="D9138" s="45"/>
    </row>
    <row r="9139" spans="2:4" ht="16" thickBot="1" x14ac:dyDescent="0.25">
      <c r="B9139" s="5">
        <v>9134</v>
      </c>
      <c r="C9139" s="5">
        <v>80.859246501408052</v>
      </c>
      <c r="D9139" s="45"/>
    </row>
    <row r="9140" spans="2:4" ht="16" thickBot="1" x14ac:dyDescent="0.25">
      <c r="B9140" s="4">
        <v>9135</v>
      </c>
      <c r="C9140" s="4">
        <v>180.86816769952239</v>
      </c>
      <c r="D9140" s="45"/>
    </row>
    <row r="9141" spans="2:4" ht="16" thickBot="1" x14ac:dyDescent="0.25">
      <c r="B9141" s="5">
        <v>9136</v>
      </c>
      <c r="C9141" s="5">
        <v>279.6802568229204</v>
      </c>
      <c r="D9141" s="45"/>
    </row>
    <row r="9142" spans="2:4" ht="16" thickBot="1" x14ac:dyDescent="0.25">
      <c r="B9142" s="4">
        <v>9137</v>
      </c>
      <c r="C9142" s="4">
        <v>114.79468750710473</v>
      </c>
      <c r="D9142" s="45"/>
    </row>
    <row r="9143" spans="2:4" ht="16" thickBot="1" x14ac:dyDescent="0.25">
      <c r="B9143" s="5">
        <v>9138</v>
      </c>
      <c r="C9143" s="5">
        <v>134.29117203448632</v>
      </c>
      <c r="D9143" s="45"/>
    </row>
    <row r="9144" spans="2:4" ht="16" thickBot="1" x14ac:dyDescent="0.25">
      <c r="B9144" s="4">
        <v>9139</v>
      </c>
      <c r="C9144" s="4">
        <v>129.48599048342743</v>
      </c>
      <c r="D9144" s="45"/>
    </row>
    <row r="9145" spans="2:4" ht="16" thickBot="1" x14ac:dyDescent="0.25">
      <c r="B9145" s="5">
        <v>9140</v>
      </c>
      <c r="C9145" s="5">
        <v>180.87781451841633</v>
      </c>
      <c r="D9145" s="45"/>
    </row>
    <row r="9146" spans="2:4" ht="16" thickBot="1" x14ac:dyDescent="0.25">
      <c r="B9146" s="4">
        <v>9141</v>
      </c>
      <c r="C9146" s="4">
        <v>170.65265981816995</v>
      </c>
      <c r="D9146" s="45"/>
    </row>
    <row r="9147" spans="2:4" ht="16" thickBot="1" x14ac:dyDescent="0.25">
      <c r="B9147" s="5">
        <v>9142</v>
      </c>
      <c r="C9147" s="5">
        <v>202.5220602221535</v>
      </c>
      <c r="D9147" s="45"/>
    </row>
    <row r="9148" spans="2:4" ht="16" thickBot="1" x14ac:dyDescent="0.25">
      <c r="B9148" s="4">
        <v>9143</v>
      </c>
      <c r="C9148" s="4">
        <v>85.164014575990151</v>
      </c>
      <c r="D9148" s="45"/>
    </row>
    <row r="9149" spans="2:4" ht="16" thickBot="1" x14ac:dyDescent="0.25">
      <c r="B9149" s="5">
        <v>9144</v>
      </c>
      <c r="C9149" s="5">
        <v>256.02739281971384</v>
      </c>
      <c r="D9149" s="45"/>
    </row>
    <row r="9150" spans="2:4" ht="16" thickBot="1" x14ac:dyDescent="0.25">
      <c r="B9150" s="4">
        <v>9145</v>
      </c>
      <c r="C9150" s="4">
        <v>227.94379079170685</v>
      </c>
      <c r="D9150" s="45"/>
    </row>
    <row r="9151" spans="2:4" ht="16" thickBot="1" x14ac:dyDescent="0.25">
      <c r="B9151" s="5">
        <v>9146</v>
      </c>
      <c r="C9151" s="5">
        <v>236.68347644467741</v>
      </c>
      <c r="D9151" s="45"/>
    </row>
    <row r="9152" spans="2:4" ht="16" thickBot="1" x14ac:dyDescent="0.25">
      <c r="B9152" s="4">
        <v>9147</v>
      </c>
      <c r="C9152" s="4">
        <v>157.78359182568087</v>
      </c>
      <c r="D9152" s="45"/>
    </row>
    <row r="9153" spans="2:4" ht="16" thickBot="1" x14ac:dyDescent="0.25">
      <c r="B9153" s="5">
        <v>9148</v>
      </c>
      <c r="C9153" s="5">
        <v>452.22487747400055</v>
      </c>
      <c r="D9153" s="45"/>
    </row>
    <row r="9154" spans="2:4" ht="16" thickBot="1" x14ac:dyDescent="0.25">
      <c r="B9154" s="4">
        <v>9149</v>
      </c>
      <c r="C9154" s="4">
        <v>119.87102699258278</v>
      </c>
      <c r="D9154" s="45"/>
    </row>
    <row r="9155" spans="2:4" ht="16" thickBot="1" x14ac:dyDescent="0.25">
      <c r="B9155" s="5">
        <v>9150</v>
      </c>
      <c r="C9155" s="5">
        <v>109.60080510081082</v>
      </c>
      <c r="D9155" s="45"/>
    </row>
    <row r="9156" spans="2:4" ht="16" thickBot="1" x14ac:dyDescent="0.25">
      <c r="B9156" s="4">
        <v>9151</v>
      </c>
      <c r="C9156" s="4">
        <v>215.66204254922249</v>
      </c>
      <c r="D9156" s="45"/>
    </row>
    <row r="9157" spans="2:4" ht="16" thickBot="1" x14ac:dyDescent="0.25">
      <c r="B9157" s="5">
        <v>9152</v>
      </c>
      <c r="C9157" s="5">
        <v>164.35603868971378</v>
      </c>
      <c r="D9157" s="45"/>
    </row>
    <row r="9158" spans="2:4" ht="16" thickBot="1" x14ac:dyDescent="0.25">
      <c r="B9158" s="4">
        <v>9153</v>
      </c>
      <c r="C9158" s="4">
        <v>88.002499948306635</v>
      </c>
      <c r="D9158" s="45"/>
    </row>
    <row r="9159" spans="2:4" ht="16" thickBot="1" x14ac:dyDescent="0.25">
      <c r="B9159" s="5">
        <v>9154</v>
      </c>
      <c r="C9159" s="5">
        <v>167.62519822877681</v>
      </c>
      <c r="D9159" s="45"/>
    </row>
    <row r="9160" spans="2:4" ht="16" thickBot="1" x14ac:dyDescent="0.25">
      <c r="B9160" s="4">
        <v>9155</v>
      </c>
      <c r="C9160" s="4">
        <v>99.855545146196206</v>
      </c>
      <c r="D9160" s="45"/>
    </row>
    <row r="9161" spans="2:4" ht="16" thickBot="1" x14ac:dyDescent="0.25">
      <c r="B9161" s="5">
        <v>9156</v>
      </c>
      <c r="C9161" s="5">
        <v>94.402445490063457</v>
      </c>
      <c r="D9161" s="45"/>
    </row>
    <row r="9162" spans="2:4" ht="16" thickBot="1" x14ac:dyDescent="0.25">
      <c r="B9162" s="4">
        <v>9157</v>
      </c>
      <c r="C9162" s="4">
        <v>169.33008481768863</v>
      </c>
      <c r="D9162" s="45"/>
    </row>
    <row r="9163" spans="2:4" ht="16" thickBot="1" x14ac:dyDescent="0.25">
      <c r="B9163" s="5">
        <v>9158</v>
      </c>
      <c r="C9163" s="5">
        <v>275.17667729168289</v>
      </c>
      <c r="D9163" s="45"/>
    </row>
    <row r="9164" spans="2:4" ht="16" thickBot="1" x14ac:dyDescent="0.25">
      <c r="B9164" s="4">
        <v>9159</v>
      </c>
      <c r="C9164" s="4">
        <v>125.38922175299226</v>
      </c>
      <c r="D9164" s="45"/>
    </row>
    <row r="9165" spans="2:4" ht="16" thickBot="1" x14ac:dyDescent="0.25">
      <c r="B9165" s="5">
        <v>9160</v>
      </c>
      <c r="C9165" s="5">
        <v>127.74522033821592</v>
      </c>
      <c r="D9165" s="45"/>
    </row>
    <row r="9166" spans="2:4" ht="16" thickBot="1" x14ac:dyDescent="0.25">
      <c r="B9166" s="4">
        <v>9161</v>
      </c>
      <c r="C9166" s="4">
        <v>181.23914054577273</v>
      </c>
      <c r="D9166" s="45"/>
    </row>
    <row r="9167" spans="2:4" ht="16" thickBot="1" x14ac:dyDescent="0.25">
      <c r="B9167" s="5">
        <v>9162</v>
      </c>
      <c r="C9167" s="5">
        <v>144.10567833718335</v>
      </c>
      <c r="D9167" s="45"/>
    </row>
    <row r="9168" spans="2:4" ht="16" thickBot="1" x14ac:dyDescent="0.25">
      <c r="B9168" s="4">
        <v>9163</v>
      </c>
      <c r="C9168" s="4">
        <v>205.61020208547433</v>
      </c>
      <c r="D9168" s="45"/>
    </row>
    <row r="9169" spans="2:4" ht="16" thickBot="1" x14ac:dyDescent="0.25">
      <c r="B9169" s="5">
        <v>9164</v>
      </c>
      <c r="C9169" s="5">
        <v>143.23205720470585</v>
      </c>
      <c r="D9169" s="45"/>
    </row>
    <row r="9170" spans="2:4" ht="16" thickBot="1" x14ac:dyDescent="0.25">
      <c r="B9170" s="4">
        <v>9165</v>
      </c>
      <c r="C9170" s="4">
        <v>186.58813473435106</v>
      </c>
      <c r="D9170" s="45"/>
    </row>
    <row r="9171" spans="2:4" ht="16" thickBot="1" x14ac:dyDescent="0.25">
      <c r="B9171" s="5">
        <v>9166</v>
      </c>
      <c r="C9171" s="5">
        <v>288.50735064200074</v>
      </c>
      <c r="D9171" s="45"/>
    </row>
    <row r="9172" spans="2:4" ht="16" thickBot="1" x14ac:dyDescent="0.25">
      <c r="B9172" s="4">
        <v>9167</v>
      </c>
      <c r="C9172" s="4">
        <v>215.03403129636865</v>
      </c>
      <c r="D9172" s="45"/>
    </row>
    <row r="9173" spans="2:4" ht="16" thickBot="1" x14ac:dyDescent="0.25">
      <c r="B9173" s="5">
        <v>9168</v>
      </c>
      <c r="C9173" s="5">
        <v>222.92101082966826</v>
      </c>
      <c r="D9173" s="45"/>
    </row>
    <row r="9174" spans="2:4" ht="16" thickBot="1" x14ac:dyDescent="0.25">
      <c r="B9174" s="4">
        <v>9169</v>
      </c>
      <c r="C9174" s="4">
        <v>163.87208981242122</v>
      </c>
      <c r="D9174" s="45"/>
    </row>
    <row r="9175" spans="2:4" ht="16" thickBot="1" x14ac:dyDescent="0.25">
      <c r="B9175" s="5">
        <v>9170</v>
      </c>
      <c r="C9175" s="5">
        <v>54.454705944465388</v>
      </c>
      <c r="D9175" s="45"/>
    </row>
    <row r="9176" spans="2:4" ht="16" thickBot="1" x14ac:dyDescent="0.25">
      <c r="B9176" s="4">
        <v>9171</v>
      </c>
      <c r="C9176" s="4">
        <v>207.44954169088302</v>
      </c>
      <c r="D9176" s="45"/>
    </row>
    <row r="9177" spans="2:4" ht="16" thickBot="1" x14ac:dyDescent="0.25">
      <c r="B9177" s="5">
        <v>9172</v>
      </c>
      <c r="C9177" s="5">
        <v>200.18687219377176</v>
      </c>
      <c r="D9177" s="45"/>
    </row>
    <row r="9178" spans="2:4" ht="16" thickBot="1" x14ac:dyDescent="0.25">
      <c r="B9178" s="4">
        <v>9173</v>
      </c>
      <c r="C9178" s="4">
        <v>179.48732497825895</v>
      </c>
      <c r="D9178" s="45"/>
    </row>
    <row r="9179" spans="2:4" ht="16" thickBot="1" x14ac:dyDescent="0.25">
      <c r="B9179" s="5">
        <v>9174</v>
      </c>
      <c r="C9179" s="5">
        <v>222.63277970064445</v>
      </c>
      <c r="D9179" s="45"/>
    </row>
    <row r="9180" spans="2:4" ht="16" thickBot="1" x14ac:dyDescent="0.25">
      <c r="B9180" s="4">
        <v>9175</v>
      </c>
      <c r="C9180" s="4">
        <v>184.25588087518651</v>
      </c>
      <c r="D9180" s="45"/>
    </row>
    <row r="9181" spans="2:4" ht="16" thickBot="1" x14ac:dyDescent="0.25">
      <c r="B9181" s="5">
        <v>9176</v>
      </c>
      <c r="C9181" s="5">
        <v>234.9823532555711</v>
      </c>
      <c r="D9181" s="45"/>
    </row>
    <row r="9182" spans="2:4" ht="16" thickBot="1" x14ac:dyDescent="0.25">
      <c r="B9182" s="4">
        <v>9177</v>
      </c>
      <c r="C9182" s="4">
        <v>137.2612942872457</v>
      </c>
      <c r="D9182" s="45"/>
    </row>
    <row r="9183" spans="2:4" ht="16" thickBot="1" x14ac:dyDescent="0.25">
      <c r="B9183" s="5">
        <v>9178</v>
      </c>
      <c r="C9183" s="5">
        <v>79.695271175875561</v>
      </c>
      <c r="D9183" s="45"/>
    </row>
    <row r="9184" spans="2:4" ht="16" thickBot="1" x14ac:dyDescent="0.25">
      <c r="B9184" s="4">
        <v>9179</v>
      </c>
      <c r="C9184" s="4">
        <v>225.55526507945629</v>
      </c>
      <c r="D9184" s="45"/>
    </row>
    <row r="9185" spans="2:4" ht="16" thickBot="1" x14ac:dyDescent="0.25">
      <c r="B9185" s="5">
        <v>9180</v>
      </c>
      <c r="C9185" s="5">
        <v>168.1017061966518</v>
      </c>
      <c r="D9185" s="45"/>
    </row>
    <row r="9186" spans="2:4" ht="16" thickBot="1" x14ac:dyDescent="0.25">
      <c r="B9186" s="4">
        <v>9181</v>
      </c>
      <c r="C9186" s="4">
        <v>183.71756484818371</v>
      </c>
      <c r="D9186" s="45"/>
    </row>
    <row r="9187" spans="2:4" ht="16" thickBot="1" x14ac:dyDescent="0.25">
      <c r="B9187" s="5">
        <v>9182</v>
      </c>
      <c r="C9187" s="5">
        <v>178.15599514334289</v>
      </c>
      <c r="D9187" s="45"/>
    </row>
    <row r="9188" spans="2:4" ht="16" thickBot="1" x14ac:dyDescent="0.25">
      <c r="B9188" s="4">
        <v>9183</v>
      </c>
      <c r="C9188" s="4">
        <v>58.584176940559715</v>
      </c>
      <c r="D9188" s="45"/>
    </row>
    <row r="9189" spans="2:4" ht="16" thickBot="1" x14ac:dyDescent="0.25">
      <c r="B9189" s="5">
        <v>9184</v>
      </c>
      <c r="C9189" s="5">
        <v>106.67598415825172</v>
      </c>
      <c r="D9189" s="45"/>
    </row>
    <row r="9190" spans="2:4" ht="16" thickBot="1" x14ac:dyDescent="0.25">
      <c r="B9190" s="4">
        <v>9185</v>
      </c>
      <c r="C9190" s="4">
        <v>108.1081508292641</v>
      </c>
      <c r="D9190" s="45"/>
    </row>
    <row r="9191" spans="2:4" ht="16" thickBot="1" x14ac:dyDescent="0.25">
      <c r="B9191" s="5">
        <v>9186</v>
      </c>
      <c r="C9191" s="5">
        <v>191.42530723488082</v>
      </c>
      <c r="D9191" s="45"/>
    </row>
    <row r="9192" spans="2:4" ht="16" thickBot="1" x14ac:dyDescent="0.25">
      <c r="B9192" s="4">
        <v>9187</v>
      </c>
      <c r="C9192" s="4">
        <v>293.93913842134515</v>
      </c>
      <c r="D9192" s="45"/>
    </row>
    <row r="9193" spans="2:4" ht="16" thickBot="1" x14ac:dyDescent="0.25">
      <c r="B9193" s="5">
        <v>9188</v>
      </c>
      <c r="C9193" s="5">
        <v>234.49211916298677</v>
      </c>
      <c r="D9193" s="45"/>
    </row>
    <row r="9194" spans="2:4" ht="16" thickBot="1" x14ac:dyDescent="0.25">
      <c r="B9194" s="4">
        <v>9189</v>
      </c>
      <c r="C9194" s="4">
        <v>125.86956909578643</v>
      </c>
      <c r="D9194" s="45"/>
    </row>
    <row r="9195" spans="2:4" ht="16" thickBot="1" x14ac:dyDescent="0.25">
      <c r="B9195" s="5">
        <v>9190</v>
      </c>
      <c r="C9195" s="5">
        <v>330.1834014638593</v>
      </c>
      <c r="D9195" s="45"/>
    </row>
    <row r="9196" spans="2:4" ht="16" thickBot="1" x14ac:dyDescent="0.25">
      <c r="B9196" s="4">
        <v>9191</v>
      </c>
      <c r="C9196" s="4">
        <v>131.98894074679393</v>
      </c>
      <c r="D9196" s="45"/>
    </row>
    <row r="9197" spans="2:4" ht="16" thickBot="1" x14ac:dyDescent="0.25">
      <c r="B9197" s="5">
        <v>9192</v>
      </c>
      <c r="C9197" s="5">
        <v>146.79274067379529</v>
      </c>
      <c r="D9197" s="45"/>
    </row>
    <row r="9198" spans="2:4" ht="16" thickBot="1" x14ac:dyDescent="0.25">
      <c r="B9198" s="4">
        <v>9193</v>
      </c>
      <c r="C9198" s="4">
        <v>84.237758940831725</v>
      </c>
      <c r="D9198" s="45"/>
    </row>
    <row r="9199" spans="2:4" ht="16" thickBot="1" x14ac:dyDescent="0.25">
      <c r="B9199" s="5">
        <v>9194</v>
      </c>
      <c r="C9199" s="5">
        <v>445.60652066792511</v>
      </c>
      <c r="D9199" s="45"/>
    </row>
    <row r="9200" spans="2:4" ht="16" thickBot="1" x14ac:dyDescent="0.25">
      <c r="B9200" s="4">
        <v>9195</v>
      </c>
      <c r="C9200" s="4">
        <v>130.4422430976548</v>
      </c>
      <c r="D9200" s="45"/>
    </row>
    <row r="9201" spans="2:4" ht="16" thickBot="1" x14ac:dyDescent="0.25">
      <c r="B9201" s="5">
        <v>9196</v>
      </c>
      <c r="C9201" s="5">
        <v>116.31598565061758</v>
      </c>
      <c r="D9201" s="45"/>
    </row>
    <row r="9202" spans="2:4" ht="16" thickBot="1" x14ac:dyDescent="0.25">
      <c r="B9202" s="4">
        <v>9197</v>
      </c>
      <c r="C9202" s="4">
        <v>98.380127158400072</v>
      </c>
      <c r="D9202" s="45"/>
    </row>
    <row r="9203" spans="2:4" ht="16" thickBot="1" x14ac:dyDescent="0.25">
      <c r="B9203" s="5">
        <v>9198</v>
      </c>
      <c r="C9203" s="5">
        <v>86.480530997427465</v>
      </c>
      <c r="D9203" s="45"/>
    </row>
    <row r="9204" spans="2:4" ht="16" thickBot="1" x14ac:dyDescent="0.25">
      <c r="B9204" s="4">
        <v>9199</v>
      </c>
      <c r="C9204" s="4">
        <v>209.85189208122716</v>
      </c>
      <c r="D9204" s="45"/>
    </row>
    <row r="9205" spans="2:4" ht="16" thickBot="1" x14ac:dyDescent="0.25">
      <c r="B9205" s="5">
        <v>9200</v>
      </c>
      <c r="C9205" s="5">
        <v>98.89534291135125</v>
      </c>
      <c r="D9205" s="45"/>
    </row>
    <row r="9206" spans="2:4" ht="16" thickBot="1" x14ac:dyDescent="0.25">
      <c r="B9206" s="4">
        <v>9201</v>
      </c>
      <c r="C9206" s="4">
        <v>228.56635896994129</v>
      </c>
      <c r="D9206" s="45"/>
    </row>
    <row r="9207" spans="2:4" ht="16" thickBot="1" x14ac:dyDescent="0.25">
      <c r="B9207" s="5">
        <v>9202</v>
      </c>
      <c r="C9207" s="5">
        <v>170.83360636944897</v>
      </c>
      <c r="D9207" s="45"/>
    </row>
    <row r="9208" spans="2:4" ht="16" thickBot="1" x14ac:dyDescent="0.25">
      <c r="B9208" s="4">
        <v>9203</v>
      </c>
      <c r="C9208" s="4">
        <v>204.86495101036579</v>
      </c>
      <c r="D9208" s="45"/>
    </row>
    <row r="9209" spans="2:4" ht="16" thickBot="1" x14ac:dyDescent="0.25">
      <c r="B9209" s="5">
        <v>9204</v>
      </c>
      <c r="C9209" s="5">
        <v>266.50080752224898</v>
      </c>
      <c r="D9209" s="45"/>
    </row>
    <row r="9210" spans="2:4" ht="16" thickBot="1" x14ac:dyDescent="0.25">
      <c r="B9210" s="4">
        <v>9205</v>
      </c>
      <c r="C9210" s="4">
        <v>308.97978830988183</v>
      </c>
      <c r="D9210" s="45"/>
    </row>
    <row r="9211" spans="2:4" ht="16" thickBot="1" x14ac:dyDescent="0.25">
      <c r="B9211" s="5">
        <v>9206</v>
      </c>
      <c r="C9211" s="5">
        <v>91.154784353289003</v>
      </c>
      <c r="D9211" s="45"/>
    </row>
    <row r="9212" spans="2:4" ht="16" thickBot="1" x14ac:dyDescent="0.25">
      <c r="B9212" s="4">
        <v>9207</v>
      </c>
      <c r="C9212" s="4">
        <v>54.781822772542917</v>
      </c>
      <c r="D9212" s="45"/>
    </row>
    <row r="9213" spans="2:4" ht="16" thickBot="1" x14ac:dyDescent="0.25">
      <c r="B9213" s="5">
        <v>9208</v>
      </c>
      <c r="C9213" s="5">
        <v>170.66945558632239</v>
      </c>
      <c r="D9213" s="45"/>
    </row>
    <row r="9214" spans="2:4" ht="16" thickBot="1" x14ac:dyDescent="0.25">
      <c r="B9214" s="4">
        <v>9209</v>
      </c>
      <c r="C9214" s="4">
        <v>53.586697363441402</v>
      </c>
      <c r="D9214" s="45"/>
    </row>
    <row r="9215" spans="2:4" ht="16" thickBot="1" x14ac:dyDescent="0.25">
      <c r="B9215" s="5">
        <v>9210</v>
      </c>
      <c r="C9215" s="5">
        <v>106.78323657751795</v>
      </c>
      <c r="D9215" s="45"/>
    </row>
    <row r="9216" spans="2:4" ht="16" thickBot="1" x14ac:dyDescent="0.25">
      <c r="B9216" s="4">
        <v>9211</v>
      </c>
      <c r="C9216" s="4">
        <v>92.94925453742907</v>
      </c>
      <c r="D9216" s="45"/>
    </row>
    <row r="9217" spans="2:4" ht="16" thickBot="1" x14ac:dyDescent="0.25">
      <c r="B9217" s="5">
        <v>9212</v>
      </c>
      <c r="C9217" s="5">
        <v>224.83473073622352</v>
      </c>
      <c r="D9217" s="45"/>
    </row>
    <row r="9218" spans="2:4" ht="16" thickBot="1" x14ac:dyDescent="0.25">
      <c r="B9218" s="4">
        <v>9213</v>
      </c>
      <c r="C9218" s="4">
        <v>232.86702355197886</v>
      </c>
      <c r="D9218" s="45"/>
    </row>
    <row r="9219" spans="2:4" ht="16" thickBot="1" x14ac:dyDescent="0.25">
      <c r="B9219" s="5">
        <v>9214</v>
      </c>
      <c r="C9219" s="5">
        <v>126.27640359898359</v>
      </c>
      <c r="D9219" s="45"/>
    </row>
    <row r="9220" spans="2:4" ht="16" thickBot="1" x14ac:dyDescent="0.25">
      <c r="B9220" s="4">
        <v>9215</v>
      </c>
      <c r="C9220" s="4">
        <v>119.31931702572072</v>
      </c>
      <c r="D9220" s="45"/>
    </row>
    <row r="9221" spans="2:4" ht="16" thickBot="1" x14ac:dyDescent="0.25">
      <c r="B9221" s="5">
        <v>9216</v>
      </c>
      <c r="C9221" s="5">
        <v>98.912980492830513</v>
      </c>
      <c r="D9221" s="45"/>
    </row>
    <row r="9222" spans="2:4" ht="16" thickBot="1" x14ac:dyDescent="0.25">
      <c r="B9222" s="4">
        <v>9217</v>
      </c>
      <c r="C9222" s="4">
        <v>178.36569177011941</v>
      </c>
      <c r="D9222" s="45"/>
    </row>
    <row r="9223" spans="2:4" ht="16" thickBot="1" x14ac:dyDescent="0.25">
      <c r="B9223" s="5">
        <v>9218</v>
      </c>
      <c r="C9223" s="5">
        <v>379.76420400622226</v>
      </c>
      <c r="D9223" s="45"/>
    </row>
    <row r="9224" spans="2:4" ht="16" thickBot="1" x14ac:dyDescent="0.25">
      <c r="B9224" s="4">
        <v>9219</v>
      </c>
      <c r="C9224" s="4">
        <v>144.720273490571</v>
      </c>
      <c r="D9224" s="45"/>
    </row>
    <row r="9225" spans="2:4" ht="16" thickBot="1" x14ac:dyDescent="0.25">
      <c r="B9225" s="5">
        <v>9220</v>
      </c>
      <c r="C9225" s="5">
        <v>71.556623661552749</v>
      </c>
      <c r="D9225" s="45"/>
    </row>
    <row r="9226" spans="2:4" ht="16" thickBot="1" x14ac:dyDescent="0.25">
      <c r="B9226" s="4">
        <v>9221</v>
      </c>
      <c r="C9226" s="4">
        <v>157.14925310281183</v>
      </c>
      <c r="D9226" s="45"/>
    </row>
    <row r="9227" spans="2:4" ht="16" thickBot="1" x14ac:dyDescent="0.25">
      <c r="B9227" s="5">
        <v>9222</v>
      </c>
      <c r="C9227" s="5">
        <v>108.72832579012814</v>
      </c>
      <c r="D9227" s="45"/>
    </row>
    <row r="9228" spans="2:4" ht="16" thickBot="1" x14ac:dyDescent="0.25">
      <c r="B9228" s="4">
        <v>9223</v>
      </c>
      <c r="C9228" s="4">
        <v>282.79884849447006</v>
      </c>
      <c r="D9228" s="45"/>
    </row>
    <row r="9229" spans="2:4" ht="16" thickBot="1" x14ac:dyDescent="0.25">
      <c r="B9229" s="5">
        <v>9224</v>
      </c>
      <c r="C9229" s="5">
        <v>116.64396184904327</v>
      </c>
      <c r="D9229" s="45"/>
    </row>
    <row r="9230" spans="2:4" ht="16" thickBot="1" x14ac:dyDescent="0.25">
      <c r="B9230" s="4">
        <v>9225</v>
      </c>
      <c r="C9230" s="4">
        <v>215.06841060567052</v>
      </c>
      <c r="D9230" s="45"/>
    </row>
    <row r="9231" spans="2:4" ht="16" thickBot="1" x14ac:dyDescent="0.25">
      <c r="B9231" s="5">
        <v>9226</v>
      </c>
      <c r="C9231" s="5">
        <v>114.71482853763111</v>
      </c>
      <c r="D9231" s="45"/>
    </row>
    <row r="9232" spans="2:4" ht="16" thickBot="1" x14ac:dyDescent="0.25">
      <c r="B9232" s="4">
        <v>9227</v>
      </c>
      <c r="C9232" s="4">
        <v>281.82496166802804</v>
      </c>
      <c r="D9232" s="45"/>
    </row>
    <row r="9233" spans="2:4" ht="16" thickBot="1" x14ac:dyDescent="0.25">
      <c r="B9233" s="5">
        <v>9228</v>
      </c>
      <c r="C9233" s="5">
        <v>137.6311157235713</v>
      </c>
      <c r="D9233" s="45"/>
    </row>
    <row r="9234" spans="2:4" ht="16" thickBot="1" x14ac:dyDescent="0.25">
      <c r="B9234" s="4">
        <v>9229</v>
      </c>
      <c r="C9234" s="4">
        <v>234.60675312665393</v>
      </c>
      <c r="D9234" s="45"/>
    </row>
    <row r="9235" spans="2:4" ht="16" thickBot="1" x14ac:dyDescent="0.25">
      <c r="B9235" s="5">
        <v>9230</v>
      </c>
      <c r="C9235" s="5">
        <v>136.45969801024833</v>
      </c>
      <c r="D9235" s="45"/>
    </row>
    <row r="9236" spans="2:4" ht="16" thickBot="1" x14ac:dyDescent="0.25">
      <c r="B9236" s="4">
        <v>9231</v>
      </c>
      <c r="C9236" s="4">
        <v>156.1006324115337</v>
      </c>
      <c r="D9236" s="45"/>
    </row>
    <row r="9237" spans="2:4" ht="16" thickBot="1" x14ac:dyDescent="0.25">
      <c r="B9237" s="5">
        <v>9232</v>
      </c>
      <c r="C9237" s="5">
        <v>292.63461002313596</v>
      </c>
      <c r="D9237" s="45"/>
    </row>
    <row r="9238" spans="2:4" ht="16" thickBot="1" x14ac:dyDescent="0.25">
      <c r="B9238" s="4">
        <v>9233</v>
      </c>
      <c r="C9238" s="4">
        <v>204.31265042534321</v>
      </c>
      <c r="D9238" s="45"/>
    </row>
    <row r="9239" spans="2:4" ht="16" thickBot="1" x14ac:dyDescent="0.25">
      <c r="B9239" s="5">
        <v>9234</v>
      </c>
      <c r="C9239" s="5">
        <v>160.21251335453422</v>
      </c>
      <c r="D9239" s="45"/>
    </row>
    <row r="9240" spans="2:4" ht="16" thickBot="1" x14ac:dyDescent="0.25">
      <c r="B9240" s="4">
        <v>9235</v>
      </c>
      <c r="C9240" s="4">
        <v>190.06710431885665</v>
      </c>
      <c r="D9240" s="45"/>
    </row>
    <row r="9241" spans="2:4" ht="16" thickBot="1" x14ac:dyDescent="0.25">
      <c r="B9241" s="5">
        <v>9236</v>
      </c>
      <c r="C9241" s="5">
        <v>213.90146853374662</v>
      </c>
      <c r="D9241" s="45"/>
    </row>
    <row r="9242" spans="2:4" ht="16" thickBot="1" x14ac:dyDescent="0.25">
      <c r="B9242" s="4">
        <v>9237</v>
      </c>
      <c r="C9242" s="4">
        <v>236.80285436623225</v>
      </c>
      <c r="D9242" s="45"/>
    </row>
    <row r="9243" spans="2:4" ht="16" thickBot="1" x14ac:dyDescent="0.25">
      <c r="B9243" s="5">
        <v>9238</v>
      </c>
      <c r="C9243" s="5">
        <v>58.935454684178694</v>
      </c>
      <c r="D9243" s="45"/>
    </row>
    <row r="9244" spans="2:4" ht="16" thickBot="1" x14ac:dyDescent="0.25">
      <c r="B9244" s="4">
        <v>9239</v>
      </c>
      <c r="C9244" s="4">
        <v>366.9884623186253</v>
      </c>
      <c r="D9244" s="45"/>
    </row>
    <row r="9245" spans="2:4" ht="16" thickBot="1" x14ac:dyDescent="0.25">
      <c r="B9245" s="5">
        <v>9240</v>
      </c>
      <c r="C9245" s="5">
        <v>94.236219730653346</v>
      </c>
      <c r="D9245" s="45"/>
    </row>
    <row r="9246" spans="2:4" ht="16" thickBot="1" x14ac:dyDescent="0.25">
      <c r="B9246" s="4">
        <v>9241</v>
      </c>
      <c r="C9246" s="4">
        <v>129.49733434220866</v>
      </c>
      <c r="D9246" s="45"/>
    </row>
    <row r="9247" spans="2:4" ht="16" thickBot="1" x14ac:dyDescent="0.25">
      <c r="B9247" s="5">
        <v>9242</v>
      </c>
      <c r="C9247" s="5">
        <v>252.80921944272006</v>
      </c>
      <c r="D9247" s="45"/>
    </row>
    <row r="9248" spans="2:4" ht="16" thickBot="1" x14ac:dyDescent="0.25">
      <c r="B9248" s="4">
        <v>9243</v>
      </c>
      <c r="C9248" s="4">
        <v>141.18240621673829</v>
      </c>
      <c r="D9248" s="45"/>
    </row>
    <row r="9249" spans="2:4" ht="16" thickBot="1" x14ac:dyDescent="0.25">
      <c r="B9249" s="5">
        <v>9244</v>
      </c>
      <c r="C9249" s="5">
        <v>89.983693779398337</v>
      </c>
      <c r="D9249" s="45"/>
    </row>
    <row r="9250" spans="2:4" ht="16" thickBot="1" x14ac:dyDescent="0.25">
      <c r="B9250" s="4">
        <v>9245</v>
      </c>
      <c r="C9250" s="4">
        <v>81.522777217930624</v>
      </c>
      <c r="D9250" s="45"/>
    </row>
    <row r="9251" spans="2:4" ht="16" thickBot="1" x14ac:dyDescent="0.25">
      <c r="B9251" s="5">
        <v>9246</v>
      </c>
      <c r="C9251" s="5">
        <v>134.13001886286432</v>
      </c>
      <c r="D9251" s="45"/>
    </row>
    <row r="9252" spans="2:4" ht="16" thickBot="1" x14ac:dyDescent="0.25">
      <c r="B9252" s="4">
        <v>9247</v>
      </c>
      <c r="C9252" s="4">
        <v>223.38361645784116</v>
      </c>
      <c r="D9252" s="45"/>
    </row>
    <row r="9253" spans="2:4" ht="16" thickBot="1" x14ac:dyDescent="0.25">
      <c r="B9253" s="5">
        <v>9248</v>
      </c>
      <c r="C9253" s="5">
        <v>140.59115420076293</v>
      </c>
      <c r="D9253" s="45"/>
    </row>
    <row r="9254" spans="2:4" ht="16" thickBot="1" x14ac:dyDescent="0.25">
      <c r="B9254" s="4">
        <v>9249</v>
      </c>
      <c r="C9254" s="4">
        <v>149.25714077405942</v>
      </c>
      <c r="D9254" s="45"/>
    </row>
    <row r="9255" spans="2:4" ht="16" thickBot="1" x14ac:dyDescent="0.25">
      <c r="B9255" s="5">
        <v>9250</v>
      </c>
      <c r="C9255" s="5">
        <v>201.82808402950999</v>
      </c>
      <c r="D9255" s="45"/>
    </row>
    <row r="9256" spans="2:4" ht="16" thickBot="1" x14ac:dyDescent="0.25">
      <c r="B9256" s="4">
        <v>9251</v>
      </c>
      <c r="C9256" s="4">
        <v>76.359980948466131</v>
      </c>
      <c r="D9256" s="45"/>
    </row>
    <row r="9257" spans="2:4" ht="16" thickBot="1" x14ac:dyDescent="0.25">
      <c r="B9257" s="5">
        <v>9252</v>
      </c>
      <c r="C9257" s="5">
        <v>137.25545770251964</v>
      </c>
      <c r="D9257" s="45"/>
    </row>
    <row r="9258" spans="2:4" ht="16" thickBot="1" x14ac:dyDescent="0.25">
      <c r="B9258" s="4">
        <v>9253</v>
      </c>
      <c r="C9258" s="4">
        <v>272.1091260516236</v>
      </c>
      <c r="D9258" s="45"/>
    </row>
    <row r="9259" spans="2:4" ht="16" thickBot="1" x14ac:dyDescent="0.25">
      <c r="B9259" s="5">
        <v>9254</v>
      </c>
      <c r="C9259" s="5">
        <v>80.400560598943741</v>
      </c>
      <c r="D9259" s="45"/>
    </row>
    <row r="9260" spans="2:4" ht="16" thickBot="1" x14ac:dyDescent="0.25">
      <c r="B9260" s="4">
        <v>9255</v>
      </c>
      <c r="C9260" s="4">
        <v>111.91411626345854</v>
      </c>
      <c r="D9260" s="45"/>
    </row>
    <row r="9261" spans="2:4" ht="16" thickBot="1" x14ac:dyDescent="0.25">
      <c r="B9261" s="5">
        <v>9256</v>
      </c>
      <c r="C9261" s="5">
        <v>210.82768554936635</v>
      </c>
      <c r="D9261" s="45"/>
    </row>
    <row r="9262" spans="2:4" ht="16" thickBot="1" x14ac:dyDescent="0.25">
      <c r="B9262" s="4">
        <v>9257</v>
      </c>
      <c r="C9262" s="4">
        <v>173.23606772716826</v>
      </c>
      <c r="D9262" s="45"/>
    </row>
    <row r="9263" spans="2:4" ht="16" thickBot="1" x14ac:dyDescent="0.25">
      <c r="B9263" s="5">
        <v>9258</v>
      </c>
      <c r="C9263" s="5">
        <v>115.46838826722563</v>
      </c>
      <c r="D9263" s="45"/>
    </row>
    <row r="9264" spans="2:4" ht="16" thickBot="1" x14ac:dyDescent="0.25">
      <c r="B9264" s="4">
        <v>9259</v>
      </c>
      <c r="C9264" s="4">
        <v>103.03003832826769</v>
      </c>
      <c r="D9264" s="45"/>
    </row>
    <row r="9265" spans="2:4" ht="16" thickBot="1" x14ac:dyDescent="0.25">
      <c r="B9265" s="5">
        <v>9260</v>
      </c>
      <c r="C9265" s="5">
        <v>210.09457969545008</v>
      </c>
      <c r="D9265" s="45"/>
    </row>
    <row r="9266" spans="2:4" ht="16" thickBot="1" x14ac:dyDescent="0.25">
      <c r="B9266" s="4">
        <v>9261</v>
      </c>
      <c r="C9266" s="4">
        <v>189.17619533313979</v>
      </c>
      <c r="D9266" s="45"/>
    </row>
    <row r="9267" spans="2:4" ht="16" thickBot="1" x14ac:dyDescent="0.25">
      <c r="B9267" s="5">
        <v>9262</v>
      </c>
      <c r="C9267" s="5">
        <v>79.808108698024839</v>
      </c>
      <c r="D9267" s="45"/>
    </row>
    <row r="9268" spans="2:4" ht="16" thickBot="1" x14ac:dyDescent="0.25">
      <c r="B9268" s="4">
        <v>9263</v>
      </c>
      <c r="C9268" s="4">
        <v>230.74948727606096</v>
      </c>
      <c r="D9268" s="45"/>
    </row>
    <row r="9269" spans="2:4" ht="16" thickBot="1" x14ac:dyDescent="0.25">
      <c r="B9269" s="5">
        <v>9264</v>
      </c>
      <c r="C9269" s="5">
        <v>382.66968837981966</v>
      </c>
      <c r="D9269" s="45"/>
    </row>
    <row r="9270" spans="2:4" ht="16" thickBot="1" x14ac:dyDescent="0.25">
      <c r="B9270" s="4">
        <v>9265</v>
      </c>
      <c r="C9270" s="4">
        <v>190.86063887754861</v>
      </c>
      <c r="D9270" s="45"/>
    </row>
    <row r="9271" spans="2:4" ht="16" thickBot="1" x14ac:dyDescent="0.25">
      <c r="B9271" s="5">
        <v>9266</v>
      </c>
      <c r="C9271" s="5">
        <v>175.90574558002996</v>
      </c>
      <c r="D9271" s="45"/>
    </row>
    <row r="9272" spans="2:4" ht="16" thickBot="1" x14ac:dyDescent="0.25">
      <c r="B9272" s="4">
        <v>9267</v>
      </c>
      <c r="C9272" s="4">
        <v>95.026120802510803</v>
      </c>
      <c r="D9272" s="45"/>
    </row>
    <row r="9273" spans="2:4" ht="16" thickBot="1" x14ac:dyDescent="0.25">
      <c r="B9273" s="5">
        <v>9268</v>
      </c>
      <c r="C9273" s="5">
        <v>174.20427466224857</v>
      </c>
      <c r="D9273" s="45"/>
    </row>
    <row r="9274" spans="2:4" ht="16" thickBot="1" x14ac:dyDescent="0.25">
      <c r="B9274" s="4">
        <v>9269</v>
      </c>
      <c r="C9274" s="4">
        <v>52.90715659308232</v>
      </c>
      <c r="D9274" s="45"/>
    </row>
    <row r="9275" spans="2:4" ht="16" thickBot="1" x14ac:dyDescent="0.25">
      <c r="B9275" s="5">
        <v>9270</v>
      </c>
      <c r="C9275" s="5">
        <v>98.962231350061998</v>
      </c>
      <c r="D9275" s="45"/>
    </row>
    <row r="9276" spans="2:4" ht="16" thickBot="1" x14ac:dyDescent="0.25">
      <c r="B9276" s="4">
        <v>9271</v>
      </c>
      <c r="C9276" s="4">
        <v>271.99709327051983</v>
      </c>
      <c r="D9276" s="45"/>
    </row>
    <row r="9277" spans="2:4" ht="16" thickBot="1" x14ac:dyDescent="0.25">
      <c r="B9277" s="5">
        <v>9272</v>
      </c>
      <c r="C9277" s="5">
        <v>346.06759444148219</v>
      </c>
      <c r="D9277" s="45"/>
    </row>
    <row r="9278" spans="2:4" ht="16" thickBot="1" x14ac:dyDescent="0.25">
      <c r="B9278" s="4">
        <v>9273</v>
      </c>
      <c r="C9278" s="4">
        <v>312.95633697390832</v>
      </c>
      <c r="D9278" s="45"/>
    </row>
    <row r="9279" spans="2:4" ht="16" thickBot="1" x14ac:dyDescent="0.25">
      <c r="B9279" s="5">
        <v>9274</v>
      </c>
      <c r="C9279" s="5">
        <v>160.01895817093956</v>
      </c>
      <c r="D9279" s="45"/>
    </row>
    <row r="9280" spans="2:4" ht="16" thickBot="1" x14ac:dyDescent="0.25">
      <c r="B9280" s="4">
        <v>9275</v>
      </c>
      <c r="C9280" s="4">
        <v>336.45892664392585</v>
      </c>
      <c r="D9280" s="45"/>
    </row>
    <row r="9281" spans="2:4" ht="16" thickBot="1" x14ac:dyDescent="0.25">
      <c r="B9281" s="5">
        <v>9276</v>
      </c>
      <c r="C9281" s="5">
        <v>46.209533588785398</v>
      </c>
      <c r="D9281" s="45"/>
    </row>
    <row r="9282" spans="2:4" ht="16" thickBot="1" x14ac:dyDescent="0.25">
      <c r="B9282" s="4">
        <v>9277</v>
      </c>
      <c r="C9282" s="4">
        <v>91.767267594213806</v>
      </c>
      <c r="D9282" s="45"/>
    </row>
    <row r="9283" spans="2:4" ht="16" thickBot="1" x14ac:dyDescent="0.25">
      <c r="B9283" s="5">
        <v>9278</v>
      </c>
      <c r="C9283" s="5">
        <v>298.87692719568793</v>
      </c>
      <c r="D9283" s="45"/>
    </row>
    <row r="9284" spans="2:4" ht="16" thickBot="1" x14ac:dyDescent="0.25">
      <c r="B9284" s="4">
        <v>9279</v>
      </c>
      <c r="C9284" s="4">
        <v>193.26422690987221</v>
      </c>
      <c r="D9284" s="45"/>
    </row>
    <row r="9285" spans="2:4" ht="16" thickBot="1" x14ac:dyDescent="0.25">
      <c r="B9285" s="5">
        <v>9280</v>
      </c>
      <c r="C9285" s="5">
        <v>238.94089960252549</v>
      </c>
      <c r="D9285" s="45"/>
    </row>
    <row r="9286" spans="2:4" ht="16" thickBot="1" x14ac:dyDescent="0.25">
      <c r="B9286" s="4">
        <v>9281</v>
      </c>
      <c r="C9286" s="4">
        <v>65.37264212139003</v>
      </c>
      <c r="D9286" s="45"/>
    </row>
    <row r="9287" spans="2:4" ht="16" thickBot="1" x14ac:dyDescent="0.25">
      <c r="B9287" s="5">
        <v>9282</v>
      </c>
      <c r="C9287" s="5">
        <v>81.38460839800679</v>
      </c>
      <c r="D9287" s="45"/>
    </row>
    <row r="9288" spans="2:4" ht="16" thickBot="1" x14ac:dyDescent="0.25">
      <c r="B9288" s="4">
        <v>9283</v>
      </c>
      <c r="C9288" s="4">
        <v>46.638081518188628</v>
      </c>
      <c r="D9288" s="45"/>
    </row>
    <row r="9289" spans="2:4" ht="16" thickBot="1" x14ac:dyDescent="0.25">
      <c r="B9289" s="5">
        <v>9284</v>
      </c>
      <c r="C9289" s="5">
        <v>57.34949573124387</v>
      </c>
      <c r="D9289" s="45"/>
    </row>
    <row r="9290" spans="2:4" ht="16" thickBot="1" x14ac:dyDescent="0.25">
      <c r="B9290" s="4">
        <v>9285</v>
      </c>
      <c r="C9290" s="4">
        <v>58.665941279842492</v>
      </c>
      <c r="D9290" s="45"/>
    </row>
    <row r="9291" spans="2:4" ht="16" thickBot="1" x14ac:dyDescent="0.25">
      <c r="B9291" s="5">
        <v>9286</v>
      </c>
      <c r="C9291" s="5">
        <v>103.99010317897785</v>
      </c>
      <c r="D9291" s="45"/>
    </row>
    <row r="9292" spans="2:4" ht="16" thickBot="1" x14ac:dyDescent="0.25">
      <c r="B9292" s="4">
        <v>9287</v>
      </c>
      <c r="C9292" s="4">
        <v>156.08077287171017</v>
      </c>
      <c r="D9292" s="45"/>
    </row>
    <row r="9293" spans="2:4" ht="16" thickBot="1" x14ac:dyDescent="0.25">
      <c r="B9293" s="5">
        <v>9288</v>
      </c>
      <c r="C9293" s="5">
        <v>102.61059980294431</v>
      </c>
      <c r="D9293" s="45"/>
    </row>
    <row r="9294" spans="2:4" ht="16" thickBot="1" x14ac:dyDescent="0.25">
      <c r="B9294" s="4">
        <v>9289</v>
      </c>
      <c r="C9294" s="4">
        <v>262.11474875477148</v>
      </c>
      <c r="D9294" s="45"/>
    </row>
    <row r="9295" spans="2:4" ht="16" thickBot="1" x14ac:dyDescent="0.25">
      <c r="B9295" s="5">
        <v>9290</v>
      </c>
      <c r="C9295" s="5">
        <v>187.03323696703239</v>
      </c>
      <c r="D9295" s="45"/>
    </row>
    <row r="9296" spans="2:4" ht="16" thickBot="1" x14ac:dyDescent="0.25">
      <c r="B9296" s="4">
        <v>9291</v>
      </c>
      <c r="C9296" s="4">
        <v>214.91164242091168</v>
      </c>
      <c r="D9296" s="45"/>
    </row>
    <row r="9297" spans="2:4" ht="16" thickBot="1" x14ac:dyDescent="0.25">
      <c r="B9297" s="5">
        <v>9292</v>
      </c>
      <c r="C9297" s="5">
        <v>373.15101524769966</v>
      </c>
      <c r="D9297" s="45"/>
    </row>
    <row r="9298" spans="2:4" ht="16" thickBot="1" x14ac:dyDescent="0.25">
      <c r="B9298" s="4">
        <v>9293</v>
      </c>
      <c r="C9298" s="4">
        <v>274.78400718105888</v>
      </c>
      <c r="D9298" s="45"/>
    </row>
    <row r="9299" spans="2:4" ht="16" thickBot="1" x14ac:dyDescent="0.25">
      <c r="B9299" s="5">
        <v>9294</v>
      </c>
      <c r="C9299" s="5">
        <v>92.957698715739639</v>
      </c>
      <c r="D9299" s="45"/>
    </row>
    <row r="9300" spans="2:4" ht="16" thickBot="1" x14ac:dyDescent="0.25">
      <c r="B9300" s="4">
        <v>9295</v>
      </c>
      <c r="C9300" s="4">
        <v>173.9653839544217</v>
      </c>
      <c r="D9300" s="45"/>
    </row>
    <row r="9301" spans="2:4" ht="16" thickBot="1" x14ac:dyDescent="0.25">
      <c r="B9301" s="5">
        <v>9296</v>
      </c>
      <c r="C9301" s="5">
        <v>171.79826112426787</v>
      </c>
      <c r="D9301" s="45"/>
    </row>
    <row r="9302" spans="2:4" ht="16" thickBot="1" x14ac:dyDescent="0.25">
      <c r="B9302" s="4">
        <v>9297</v>
      </c>
      <c r="C9302" s="4">
        <v>139.4978069969747</v>
      </c>
      <c r="D9302" s="45"/>
    </row>
    <row r="9303" spans="2:4" ht="16" thickBot="1" x14ac:dyDescent="0.25">
      <c r="B9303" s="5">
        <v>9298</v>
      </c>
      <c r="C9303" s="5">
        <v>82.032046725363841</v>
      </c>
      <c r="D9303" s="45"/>
    </row>
    <row r="9304" spans="2:4" ht="16" thickBot="1" x14ac:dyDescent="0.25">
      <c r="B9304" s="4">
        <v>9299</v>
      </c>
      <c r="C9304" s="4">
        <v>222.46812570545046</v>
      </c>
      <c r="D9304" s="45"/>
    </row>
    <row r="9305" spans="2:4" ht="16" thickBot="1" x14ac:dyDescent="0.25">
      <c r="B9305" s="5">
        <v>9300</v>
      </c>
      <c r="C9305" s="5">
        <v>77.737596890570686</v>
      </c>
      <c r="D9305" s="45"/>
    </row>
    <row r="9306" spans="2:4" ht="16" thickBot="1" x14ac:dyDescent="0.25">
      <c r="B9306" s="4">
        <v>9301</v>
      </c>
      <c r="C9306" s="4">
        <v>147.35133130301389</v>
      </c>
      <c r="D9306" s="45"/>
    </row>
    <row r="9307" spans="2:4" ht="16" thickBot="1" x14ac:dyDescent="0.25">
      <c r="B9307" s="5">
        <v>9302</v>
      </c>
      <c r="C9307" s="5">
        <v>104.49087359736737</v>
      </c>
      <c r="D9307" s="45"/>
    </row>
    <row r="9308" spans="2:4" ht="16" thickBot="1" x14ac:dyDescent="0.25">
      <c r="B9308" s="4">
        <v>9303</v>
      </c>
      <c r="C9308" s="4">
        <v>211.83002285845885</v>
      </c>
      <c r="D9308" s="45"/>
    </row>
    <row r="9309" spans="2:4" ht="16" thickBot="1" x14ac:dyDescent="0.25">
      <c r="B9309" s="5">
        <v>9304</v>
      </c>
      <c r="C9309" s="5">
        <v>211.00849116485932</v>
      </c>
      <c r="D9309" s="45"/>
    </row>
    <row r="9310" spans="2:4" ht="16" thickBot="1" x14ac:dyDescent="0.25">
      <c r="B9310" s="4">
        <v>9305</v>
      </c>
      <c r="C9310" s="4">
        <v>150.44153491703278</v>
      </c>
      <c r="D9310" s="45"/>
    </row>
    <row r="9311" spans="2:4" ht="16" thickBot="1" x14ac:dyDescent="0.25">
      <c r="B9311" s="5">
        <v>9306</v>
      </c>
      <c r="C9311" s="5">
        <v>141.81838834753052</v>
      </c>
      <c r="D9311" s="45"/>
    </row>
    <row r="9312" spans="2:4" ht="16" thickBot="1" x14ac:dyDescent="0.25">
      <c r="B9312" s="4">
        <v>9307</v>
      </c>
      <c r="C9312" s="4">
        <v>199.5995179365716</v>
      </c>
      <c r="D9312" s="45"/>
    </row>
    <row r="9313" spans="2:4" ht="16" thickBot="1" x14ac:dyDescent="0.25">
      <c r="B9313" s="5">
        <v>9308</v>
      </c>
      <c r="C9313" s="5">
        <v>179.7681054811664</v>
      </c>
      <c r="D9313" s="45"/>
    </row>
    <row r="9314" spans="2:4" ht="16" thickBot="1" x14ac:dyDescent="0.25">
      <c r="B9314" s="4">
        <v>9309</v>
      </c>
      <c r="C9314" s="4">
        <v>153.98219242438873</v>
      </c>
      <c r="D9314" s="45"/>
    </row>
    <row r="9315" spans="2:4" ht="16" thickBot="1" x14ac:dyDescent="0.25">
      <c r="B9315" s="5">
        <v>9310</v>
      </c>
      <c r="C9315" s="5">
        <v>255.58655162167702</v>
      </c>
      <c r="D9315" s="45"/>
    </row>
    <row r="9316" spans="2:4" ht="16" thickBot="1" x14ac:dyDescent="0.25">
      <c r="B9316" s="4">
        <v>9311</v>
      </c>
      <c r="C9316" s="4">
        <v>156.71250308930158</v>
      </c>
      <c r="D9316" s="45"/>
    </row>
    <row r="9317" spans="2:4" ht="16" thickBot="1" x14ac:dyDescent="0.25">
      <c r="B9317" s="5">
        <v>9312</v>
      </c>
      <c r="C9317" s="5">
        <v>325.92643155870195</v>
      </c>
      <c r="D9317" s="45"/>
    </row>
    <row r="9318" spans="2:4" ht="16" thickBot="1" x14ac:dyDescent="0.25">
      <c r="B9318" s="4">
        <v>9313</v>
      </c>
      <c r="C9318" s="4">
        <v>99.595900150065077</v>
      </c>
      <c r="D9318" s="45"/>
    </row>
    <row r="9319" spans="2:4" ht="16" thickBot="1" x14ac:dyDescent="0.25">
      <c r="B9319" s="5">
        <v>9314</v>
      </c>
      <c r="C9319" s="5">
        <v>96.652717695896627</v>
      </c>
      <c r="D9319" s="45"/>
    </row>
    <row r="9320" spans="2:4" ht="16" thickBot="1" x14ac:dyDescent="0.25">
      <c r="B9320" s="4">
        <v>9315</v>
      </c>
      <c r="C9320" s="4">
        <v>187.33840491282467</v>
      </c>
      <c r="D9320" s="45"/>
    </row>
    <row r="9321" spans="2:4" ht="16" thickBot="1" x14ac:dyDescent="0.25">
      <c r="B9321" s="5">
        <v>9316</v>
      </c>
      <c r="C9321" s="5">
        <v>180.75519704325725</v>
      </c>
      <c r="D9321" s="45"/>
    </row>
    <row r="9322" spans="2:4" ht="16" thickBot="1" x14ac:dyDescent="0.25">
      <c r="B9322" s="4">
        <v>9317</v>
      </c>
      <c r="C9322" s="4">
        <v>63.515623238220975</v>
      </c>
      <c r="D9322" s="45"/>
    </row>
    <row r="9323" spans="2:4" ht="16" thickBot="1" x14ac:dyDescent="0.25">
      <c r="B9323" s="5">
        <v>9318</v>
      </c>
      <c r="C9323" s="5">
        <v>154.65182250149388</v>
      </c>
      <c r="D9323" s="45"/>
    </row>
    <row r="9324" spans="2:4" ht="16" thickBot="1" x14ac:dyDescent="0.25">
      <c r="B9324" s="4">
        <v>9319</v>
      </c>
      <c r="C9324" s="4">
        <v>228.19865594954459</v>
      </c>
      <c r="D9324" s="45"/>
    </row>
    <row r="9325" spans="2:4" ht="16" thickBot="1" x14ac:dyDescent="0.25">
      <c r="B9325" s="5">
        <v>9320</v>
      </c>
      <c r="C9325" s="5">
        <v>89.417185676341347</v>
      </c>
      <c r="D9325" s="45"/>
    </row>
    <row r="9326" spans="2:4" ht="16" thickBot="1" x14ac:dyDescent="0.25">
      <c r="B9326" s="4">
        <v>9321</v>
      </c>
      <c r="C9326" s="4">
        <v>62.278991242574214</v>
      </c>
      <c r="D9326" s="45"/>
    </row>
    <row r="9327" spans="2:4" ht="16" thickBot="1" x14ac:dyDescent="0.25">
      <c r="B9327" s="5">
        <v>9322</v>
      </c>
      <c r="C9327" s="5">
        <v>114.13139201881755</v>
      </c>
      <c r="D9327" s="45"/>
    </row>
    <row r="9328" spans="2:4" ht="16" thickBot="1" x14ac:dyDescent="0.25">
      <c r="B9328" s="4">
        <v>9323</v>
      </c>
      <c r="C9328" s="4">
        <v>196.02319480683948</v>
      </c>
      <c r="D9328" s="45"/>
    </row>
    <row r="9329" spans="2:4" ht="16" thickBot="1" x14ac:dyDescent="0.25">
      <c r="B9329" s="5">
        <v>9324</v>
      </c>
      <c r="C9329" s="5">
        <v>174.04789929093093</v>
      </c>
      <c r="D9329" s="45"/>
    </row>
    <row r="9330" spans="2:4" ht="16" thickBot="1" x14ac:dyDescent="0.25">
      <c r="B9330" s="4">
        <v>9325</v>
      </c>
      <c r="C9330" s="4">
        <v>115.01533766808167</v>
      </c>
      <c r="D9330" s="45"/>
    </row>
    <row r="9331" spans="2:4" ht="16" thickBot="1" x14ac:dyDescent="0.25">
      <c r="B9331" s="5">
        <v>9326</v>
      </c>
      <c r="C9331" s="5">
        <v>92.867426735913369</v>
      </c>
      <c r="D9331" s="45"/>
    </row>
    <row r="9332" spans="2:4" ht="16" thickBot="1" x14ac:dyDescent="0.25">
      <c r="B9332" s="4">
        <v>9327</v>
      </c>
      <c r="C9332" s="4">
        <v>80.118616024945325</v>
      </c>
      <c r="D9332" s="45"/>
    </row>
    <row r="9333" spans="2:4" ht="16" thickBot="1" x14ac:dyDescent="0.25">
      <c r="B9333" s="5">
        <v>9328</v>
      </c>
      <c r="C9333" s="5">
        <v>279.4690592125188</v>
      </c>
      <c r="D9333" s="45"/>
    </row>
    <row r="9334" spans="2:4" ht="16" thickBot="1" x14ac:dyDescent="0.25">
      <c r="B9334" s="4">
        <v>9329</v>
      </c>
      <c r="C9334" s="4">
        <v>153.79798027392596</v>
      </c>
      <c r="D9334" s="45"/>
    </row>
    <row r="9335" spans="2:4" ht="16" thickBot="1" x14ac:dyDescent="0.25">
      <c r="B9335" s="5">
        <v>9330</v>
      </c>
      <c r="C9335" s="5">
        <v>79.702546048789443</v>
      </c>
      <c r="D9335" s="45"/>
    </row>
    <row r="9336" spans="2:4" ht="16" thickBot="1" x14ac:dyDescent="0.25">
      <c r="B9336" s="4">
        <v>9331</v>
      </c>
      <c r="C9336" s="4">
        <v>109.17145214022821</v>
      </c>
      <c r="D9336" s="45"/>
    </row>
    <row r="9337" spans="2:4" ht="16" thickBot="1" x14ac:dyDescent="0.25">
      <c r="B9337" s="5">
        <v>9332</v>
      </c>
      <c r="C9337" s="5">
        <v>285.46937095517831</v>
      </c>
      <c r="D9337" s="45"/>
    </row>
    <row r="9338" spans="2:4" ht="16" thickBot="1" x14ac:dyDescent="0.25">
      <c r="B9338" s="4">
        <v>9333</v>
      </c>
      <c r="C9338" s="4">
        <v>216.93809971412543</v>
      </c>
      <c r="D9338" s="45"/>
    </row>
    <row r="9339" spans="2:4" ht="16" thickBot="1" x14ac:dyDescent="0.25">
      <c r="B9339" s="5">
        <v>9334</v>
      </c>
      <c r="C9339" s="5">
        <v>153.7536533790331</v>
      </c>
      <c r="D9339" s="45"/>
    </row>
    <row r="9340" spans="2:4" ht="16" thickBot="1" x14ac:dyDescent="0.25">
      <c r="B9340" s="4">
        <v>9335</v>
      </c>
      <c r="C9340" s="4">
        <v>409.39557980339049</v>
      </c>
      <c r="D9340" s="45"/>
    </row>
    <row r="9341" spans="2:4" ht="16" thickBot="1" x14ac:dyDescent="0.25">
      <c r="B9341" s="5">
        <v>9336</v>
      </c>
      <c r="C9341" s="5">
        <v>102.73545888013513</v>
      </c>
      <c r="D9341" s="45"/>
    </row>
    <row r="9342" spans="2:4" ht="16" thickBot="1" x14ac:dyDescent="0.25">
      <c r="B9342" s="4">
        <v>9337</v>
      </c>
      <c r="C9342" s="4">
        <v>115.55164196968822</v>
      </c>
      <c r="D9342" s="45"/>
    </row>
    <row r="9343" spans="2:4" ht="16" thickBot="1" x14ac:dyDescent="0.25">
      <c r="B9343" s="5">
        <v>9338</v>
      </c>
      <c r="C9343" s="5">
        <v>130.20346601182359</v>
      </c>
      <c r="D9343" s="45"/>
    </row>
    <row r="9344" spans="2:4" ht="16" thickBot="1" x14ac:dyDescent="0.25">
      <c r="B9344" s="4">
        <v>9339</v>
      </c>
      <c r="C9344" s="4">
        <v>105.12932619130665</v>
      </c>
      <c r="D9344" s="45"/>
    </row>
    <row r="9345" spans="2:4" ht="16" thickBot="1" x14ac:dyDescent="0.25">
      <c r="B9345" s="5">
        <v>9340</v>
      </c>
      <c r="C9345" s="5">
        <v>145.28658051929978</v>
      </c>
      <c r="D9345" s="45"/>
    </row>
    <row r="9346" spans="2:4" ht="16" thickBot="1" x14ac:dyDescent="0.25">
      <c r="B9346" s="4">
        <v>9341</v>
      </c>
      <c r="C9346" s="4">
        <v>289.19783093540542</v>
      </c>
      <c r="D9346" s="45"/>
    </row>
    <row r="9347" spans="2:4" ht="16" thickBot="1" x14ac:dyDescent="0.25">
      <c r="B9347" s="5">
        <v>9342</v>
      </c>
      <c r="C9347" s="5">
        <v>120.80056223629401</v>
      </c>
      <c r="D9347" s="45"/>
    </row>
    <row r="9348" spans="2:4" ht="16" thickBot="1" x14ac:dyDescent="0.25">
      <c r="B9348" s="4">
        <v>9343</v>
      </c>
      <c r="C9348" s="4">
        <v>150.48858320411568</v>
      </c>
      <c r="D9348" s="45"/>
    </row>
    <row r="9349" spans="2:4" ht="16" thickBot="1" x14ac:dyDescent="0.25">
      <c r="B9349" s="5">
        <v>9344</v>
      </c>
      <c r="C9349" s="5">
        <v>110.88219217414323</v>
      </c>
      <c r="D9349" s="45"/>
    </row>
    <row r="9350" spans="2:4" ht="16" thickBot="1" x14ac:dyDescent="0.25">
      <c r="B9350" s="4">
        <v>9345</v>
      </c>
      <c r="C9350" s="4">
        <v>232.42638071795037</v>
      </c>
      <c r="D9350" s="45"/>
    </row>
    <row r="9351" spans="2:4" ht="16" thickBot="1" x14ac:dyDescent="0.25">
      <c r="B9351" s="5">
        <v>9346</v>
      </c>
      <c r="C9351" s="5">
        <v>87.226205958760517</v>
      </c>
      <c r="D9351" s="45"/>
    </row>
    <row r="9352" spans="2:4" ht="16" thickBot="1" x14ac:dyDescent="0.25">
      <c r="B9352" s="4">
        <v>9347</v>
      </c>
      <c r="C9352" s="4">
        <v>156.97594967655957</v>
      </c>
      <c r="D9352" s="45"/>
    </row>
    <row r="9353" spans="2:4" ht="16" thickBot="1" x14ac:dyDescent="0.25">
      <c r="B9353" s="5">
        <v>9348</v>
      </c>
      <c r="C9353" s="5">
        <v>93.737676583085445</v>
      </c>
      <c r="D9353" s="45"/>
    </row>
    <row r="9354" spans="2:4" ht="16" thickBot="1" x14ac:dyDescent="0.25">
      <c r="B9354" s="4">
        <v>9349</v>
      </c>
      <c r="C9354" s="4">
        <v>211.73217648211966</v>
      </c>
      <c r="D9354" s="45"/>
    </row>
    <row r="9355" spans="2:4" ht="16" thickBot="1" x14ac:dyDescent="0.25">
      <c r="B9355" s="5">
        <v>9350</v>
      </c>
      <c r="C9355" s="5">
        <v>86.216858038737143</v>
      </c>
      <c r="D9355" s="45"/>
    </row>
    <row r="9356" spans="2:4" ht="16" thickBot="1" x14ac:dyDescent="0.25">
      <c r="B9356" s="4">
        <v>9351</v>
      </c>
      <c r="C9356" s="4">
        <v>91.381681959685494</v>
      </c>
      <c r="D9356" s="45"/>
    </row>
    <row r="9357" spans="2:4" ht="16" thickBot="1" x14ac:dyDescent="0.25">
      <c r="B9357" s="5">
        <v>9352</v>
      </c>
      <c r="C9357" s="5">
        <v>99.330534364615644</v>
      </c>
      <c r="D9357" s="45"/>
    </row>
    <row r="9358" spans="2:4" ht="16" thickBot="1" x14ac:dyDescent="0.25">
      <c r="B9358" s="4">
        <v>9353</v>
      </c>
      <c r="C9358" s="4">
        <v>241.1750592389611</v>
      </c>
      <c r="D9358" s="45"/>
    </row>
    <row r="9359" spans="2:4" ht="16" thickBot="1" x14ac:dyDescent="0.25">
      <c r="B9359" s="5">
        <v>9354</v>
      </c>
      <c r="C9359" s="5">
        <v>171.22978607024032</v>
      </c>
      <c r="D9359" s="45"/>
    </row>
    <row r="9360" spans="2:4" ht="16" thickBot="1" x14ac:dyDescent="0.25">
      <c r="B9360" s="4">
        <v>9355</v>
      </c>
      <c r="C9360" s="4">
        <v>218.02888482149078</v>
      </c>
      <c r="D9360" s="45"/>
    </row>
    <row r="9361" spans="2:4" ht="16" thickBot="1" x14ac:dyDescent="0.25">
      <c r="B9361" s="5">
        <v>9356</v>
      </c>
      <c r="C9361" s="5">
        <v>183.94723498999556</v>
      </c>
      <c r="D9361" s="45"/>
    </row>
    <row r="9362" spans="2:4" ht="16" thickBot="1" x14ac:dyDescent="0.25">
      <c r="B9362" s="4">
        <v>9357</v>
      </c>
      <c r="C9362" s="4">
        <v>126.31134007159247</v>
      </c>
      <c r="D9362" s="45"/>
    </row>
    <row r="9363" spans="2:4" ht="16" thickBot="1" x14ac:dyDescent="0.25">
      <c r="B9363" s="5">
        <v>9358</v>
      </c>
      <c r="C9363" s="5">
        <v>257.38190942066495</v>
      </c>
      <c r="D9363" s="45"/>
    </row>
    <row r="9364" spans="2:4" ht="16" thickBot="1" x14ac:dyDescent="0.25">
      <c r="B9364" s="4">
        <v>9359</v>
      </c>
      <c r="C9364" s="4">
        <v>106.02602940806356</v>
      </c>
      <c r="D9364" s="45"/>
    </row>
    <row r="9365" spans="2:4" ht="16" thickBot="1" x14ac:dyDescent="0.25">
      <c r="B9365" s="5">
        <v>9360</v>
      </c>
      <c r="C9365" s="5">
        <v>140.24649232293308</v>
      </c>
      <c r="D9365" s="45"/>
    </row>
    <row r="9366" spans="2:4" ht="16" thickBot="1" x14ac:dyDescent="0.25">
      <c r="B9366" s="4">
        <v>9361</v>
      </c>
      <c r="C9366" s="4">
        <v>186.81438660492552</v>
      </c>
      <c r="D9366" s="45"/>
    </row>
    <row r="9367" spans="2:4" ht="16" thickBot="1" x14ac:dyDescent="0.25">
      <c r="B9367" s="5">
        <v>9362</v>
      </c>
      <c r="C9367" s="5">
        <v>171.74975905913513</v>
      </c>
      <c r="D9367" s="45"/>
    </row>
    <row r="9368" spans="2:4" ht="16" thickBot="1" x14ac:dyDescent="0.25">
      <c r="B9368" s="4">
        <v>9363</v>
      </c>
      <c r="C9368" s="4">
        <v>131.38202800203663</v>
      </c>
      <c r="D9368" s="45"/>
    </row>
    <row r="9369" spans="2:4" ht="16" thickBot="1" x14ac:dyDescent="0.25">
      <c r="B9369" s="5">
        <v>9364</v>
      </c>
      <c r="C9369" s="5">
        <v>174.89065316367564</v>
      </c>
      <c r="D9369" s="45"/>
    </row>
    <row r="9370" spans="2:4" ht="16" thickBot="1" x14ac:dyDescent="0.25">
      <c r="B9370" s="4">
        <v>9365</v>
      </c>
      <c r="C9370" s="4">
        <v>161.44876160931713</v>
      </c>
      <c r="D9370" s="45"/>
    </row>
    <row r="9371" spans="2:4" ht="16" thickBot="1" x14ac:dyDescent="0.25">
      <c r="B9371" s="5">
        <v>9366</v>
      </c>
      <c r="C9371" s="5">
        <v>89.720380590162506</v>
      </c>
      <c r="D9371" s="45"/>
    </row>
    <row r="9372" spans="2:4" ht="16" thickBot="1" x14ac:dyDescent="0.25">
      <c r="B9372" s="4">
        <v>9367</v>
      </c>
      <c r="C9372" s="4">
        <v>87.280357843765344</v>
      </c>
      <c r="D9372" s="45"/>
    </row>
    <row r="9373" spans="2:4" ht="16" thickBot="1" x14ac:dyDescent="0.25">
      <c r="B9373" s="5">
        <v>9368</v>
      </c>
      <c r="C9373" s="5">
        <v>115.5285096717987</v>
      </c>
      <c r="D9373" s="45"/>
    </row>
    <row r="9374" spans="2:4" ht="16" thickBot="1" x14ac:dyDescent="0.25">
      <c r="B9374" s="4">
        <v>9369</v>
      </c>
      <c r="C9374" s="4">
        <v>103.70084896383595</v>
      </c>
      <c r="D9374" s="45"/>
    </row>
    <row r="9375" spans="2:4" ht="16" thickBot="1" x14ac:dyDescent="0.25">
      <c r="B9375" s="5">
        <v>9370</v>
      </c>
      <c r="C9375" s="5">
        <v>124.79937022146345</v>
      </c>
      <c r="D9375" s="45"/>
    </row>
    <row r="9376" spans="2:4" ht="16" thickBot="1" x14ac:dyDescent="0.25">
      <c r="B9376" s="4">
        <v>9371</v>
      </c>
      <c r="C9376" s="4">
        <v>113.29658713342064</v>
      </c>
      <c r="D9376" s="45"/>
    </row>
    <row r="9377" spans="2:4" ht="16" thickBot="1" x14ac:dyDescent="0.25">
      <c r="B9377" s="5">
        <v>9372</v>
      </c>
      <c r="C9377" s="5">
        <v>116.83202555455513</v>
      </c>
      <c r="D9377" s="45"/>
    </row>
    <row r="9378" spans="2:4" ht="16" thickBot="1" x14ac:dyDescent="0.25">
      <c r="B9378" s="4">
        <v>9373</v>
      </c>
      <c r="C9378" s="4">
        <v>263.37797838969902</v>
      </c>
      <c r="D9378" s="45"/>
    </row>
    <row r="9379" spans="2:4" ht="16" thickBot="1" x14ac:dyDescent="0.25">
      <c r="B9379" s="5">
        <v>9374</v>
      </c>
      <c r="C9379" s="5">
        <v>99.246832002468381</v>
      </c>
      <c r="D9379" s="45"/>
    </row>
    <row r="9380" spans="2:4" ht="16" thickBot="1" x14ac:dyDescent="0.25">
      <c r="B9380" s="4">
        <v>9375</v>
      </c>
      <c r="C9380" s="4">
        <v>130.29096055612158</v>
      </c>
      <c r="D9380" s="45"/>
    </row>
    <row r="9381" spans="2:4" ht="16" thickBot="1" x14ac:dyDescent="0.25">
      <c r="B9381" s="5">
        <v>9376</v>
      </c>
      <c r="C9381" s="5">
        <v>187.63048886892025</v>
      </c>
      <c r="D9381" s="45"/>
    </row>
    <row r="9382" spans="2:4" ht="16" thickBot="1" x14ac:dyDescent="0.25">
      <c r="B9382" s="4">
        <v>9377</v>
      </c>
      <c r="C9382" s="4">
        <v>164.9718625859731</v>
      </c>
      <c r="D9382" s="45"/>
    </row>
    <row r="9383" spans="2:4" ht="16" thickBot="1" x14ac:dyDescent="0.25">
      <c r="B9383" s="5">
        <v>9378</v>
      </c>
      <c r="C9383" s="5">
        <v>151.8841929095355</v>
      </c>
      <c r="D9383" s="45"/>
    </row>
    <row r="9384" spans="2:4" ht="16" thickBot="1" x14ac:dyDescent="0.25">
      <c r="B9384" s="4">
        <v>9379</v>
      </c>
      <c r="C9384" s="4">
        <v>315.8421609045796</v>
      </c>
      <c r="D9384" s="45"/>
    </row>
    <row r="9385" spans="2:4" ht="16" thickBot="1" x14ac:dyDescent="0.25">
      <c r="B9385" s="5">
        <v>9380</v>
      </c>
      <c r="C9385" s="5">
        <v>216.08025491863191</v>
      </c>
      <c r="D9385" s="45"/>
    </row>
    <row r="9386" spans="2:4" ht="16" thickBot="1" x14ac:dyDescent="0.25">
      <c r="B9386" s="4">
        <v>9381</v>
      </c>
      <c r="C9386" s="4">
        <v>171.96093721158539</v>
      </c>
      <c r="D9386" s="45"/>
    </row>
    <row r="9387" spans="2:4" ht="16" thickBot="1" x14ac:dyDescent="0.25">
      <c r="B9387" s="5">
        <v>9382</v>
      </c>
      <c r="C9387" s="5">
        <v>199.95843932814589</v>
      </c>
      <c r="D9387" s="45"/>
    </row>
    <row r="9388" spans="2:4" ht="16" thickBot="1" x14ac:dyDescent="0.25">
      <c r="B9388" s="4">
        <v>9383</v>
      </c>
      <c r="C9388" s="4">
        <v>319.40408622990344</v>
      </c>
      <c r="D9388" s="45"/>
    </row>
    <row r="9389" spans="2:4" ht="16" thickBot="1" x14ac:dyDescent="0.25">
      <c r="B9389" s="5">
        <v>9384</v>
      </c>
      <c r="C9389" s="5">
        <v>83.222604977887755</v>
      </c>
      <c r="D9389" s="45"/>
    </row>
    <row r="9390" spans="2:4" ht="16" thickBot="1" x14ac:dyDescent="0.25">
      <c r="B9390" s="4">
        <v>9385</v>
      </c>
      <c r="C9390" s="4">
        <v>298.8698429046454</v>
      </c>
      <c r="D9390" s="45"/>
    </row>
    <row r="9391" spans="2:4" ht="16" thickBot="1" x14ac:dyDescent="0.25">
      <c r="B9391" s="5">
        <v>9386</v>
      </c>
      <c r="C9391" s="5">
        <v>116.33387946688489</v>
      </c>
      <c r="D9391" s="45"/>
    </row>
    <row r="9392" spans="2:4" ht="16" thickBot="1" x14ac:dyDescent="0.25">
      <c r="B9392" s="4">
        <v>9387</v>
      </c>
      <c r="C9392" s="4">
        <v>159.73369672972856</v>
      </c>
      <c r="D9392" s="45"/>
    </row>
    <row r="9393" spans="2:4" ht="16" thickBot="1" x14ac:dyDescent="0.25">
      <c r="B9393" s="5">
        <v>9388</v>
      </c>
      <c r="C9393" s="5">
        <v>189.08116444380732</v>
      </c>
      <c r="D9393" s="45"/>
    </row>
    <row r="9394" spans="2:4" ht="16" thickBot="1" x14ac:dyDescent="0.25">
      <c r="B9394" s="4">
        <v>9389</v>
      </c>
      <c r="C9394" s="4">
        <v>58.253626368852487</v>
      </c>
      <c r="D9394" s="45"/>
    </row>
    <row r="9395" spans="2:4" ht="16" thickBot="1" x14ac:dyDescent="0.25">
      <c r="B9395" s="5">
        <v>9390</v>
      </c>
      <c r="C9395" s="5">
        <v>367.10048633568152</v>
      </c>
      <c r="D9395" s="45"/>
    </row>
    <row r="9396" spans="2:4" ht="16" thickBot="1" x14ac:dyDescent="0.25">
      <c r="B9396" s="4">
        <v>9391</v>
      </c>
      <c r="C9396" s="4">
        <v>169.76621665524274</v>
      </c>
      <c r="D9396" s="45"/>
    </row>
    <row r="9397" spans="2:4" ht="16" thickBot="1" x14ac:dyDescent="0.25">
      <c r="B9397" s="5">
        <v>9392</v>
      </c>
      <c r="C9397" s="5">
        <v>133.95553926272356</v>
      </c>
      <c r="D9397" s="45"/>
    </row>
    <row r="9398" spans="2:4" ht="16" thickBot="1" x14ac:dyDescent="0.25">
      <c r="B9398" s="4">
        <v>9393</v>
      </c>
      <c r="C9398" s="4">
        <v>233.30504729496846</v>
      </c>
      <c r="D9398" s="45"/>
    </row>
    <row r="9399" spans="2:4" ht="16" thickBot="1" x14ac:dyDescent="0.25">
      <c r="B9399" s="5">
        <v>9394</v>
      </c>
      <c r="C9399" s="5">
        <v>178.72566699895248</v>
      </c>
      <c r="D9399" s="45"/>
    </row>
    <row r="9400" spans="2:4" ht="16" thickBot="1" x14ac:dyDescent="0.25">
      <c r="B9400" s="4">
        <v>9395</v>
      </c>
      <c r="C9400" s="4">
        <v>181.44923283165153</v>
      </c>
      <c r="D9400" s="45"/>
    </row>
    <row r="9401" spans="2:4" ht="16" thickBot="1" x14ac:dyDescent="0.25">
      <c r="B9401" s="5">
        <v>9396</v>
      </c>
      <c r="C9401" s="5">
        <v>202.08056063138133</v>
      </c>
      <c r="D9401" s="45"/>
    </row>
    <row r="9402" spans="2:4" ht="16" thickBot="1" x14ac:dyDescent="0.25">
      <c r="B9402" s="4">
        <v>9397</v>
      </c>
      <c r="C9402" s="4">
        <v>181.0854806349536</v>
      </c>
      <c r="D9402" s="45"/>
    </row>
    <row r="9403" spans="2:4" ht="16" thickBot="1" x14ac:dyDescent="0.25">
      <c r="B9403" s="5">
        <v>9398</v>
      </c>
      <c r="C9403" s="5">
        <v>500.14858715060478</v>
      </c>
      <c r="D9403" s="45"/>
    </row>
    <row r="9404" spans="2:4" ht="16" thickBot="1" x14ac:dyDescent="0.25">
      <c r="B9404" s="4">
        <v>9399</v>
      </c>
      <c r="C9404" s="4">
        <v>180.03279093379462</v>
      </c>
      <c r="D9404" s="45"/>
    </row>
    <row r="9405" spans="2:4" ht="16" thickBot="1" x14ac:dyDescent="0.25">
      <c r="B9405" s="5">
        <v>9400</v>
      </c>
      <c r="C9405" s="5">
        <v>153.10489636409</v>
      </c>
      <c r="D9405" s="45"/>
    </row>
    <row r="9406" spans="2:4" ht="16" thickBot="1" x14ac:dyDescent="0.25">
      <c r="B9406" s="4">
        <v>9401</v>
      </c>
      <c r="C9406" s="4">
        <v>87.957196858089901</v>
      </c>
      <c r="D9406" s="45"/>
    </row>
    <row r="9407" spans="2:4" ht="16" thickBot="1" x14ac:dyDescent="0.25">
      <c r="B9407" s="5">
        <v>9402</v>
      </c>
      <c r="C9407" s="5">
        <v>193.52786421624339</v>
      </c>
      <c r="D9407" s="45"/>
    </row>
    <row r="9408" spans="2:4" ht="16" thickBot="1" x14ac:dyDescent="0.25">
      <c r="B9408" s="4">
        <v>9403</v>
      </c>
      <c r="C9408" s="4">
        <v>240.8495301789842</v>
      </c>
      <c r="D9408" s="45"/>
    </row>
    <row r="9409" spans="2:4" ht="16" thickBot="1" x14ac:dyDescent="0.25">
      <c r="B9409" s="5">
        <v>9404</v>
      </c>
      <c r="C9409" s="5">
        <v>36.024741812113724</v>
      </c>
      <c r="D9409" s="45"/>
    </row>
    <row r="9410" spans="2:4" ht="16" thickBot="1" x14ac:dyDescent="0.25">
      <c r="B9410" s="4">
        <v>9405</v>
      </c>
      <c r="C9410" s="4">
        <v>95.09241734721347</v>
      </c>
      <c r="D9410" s="45"/>
    </row>
    <row r="9411" spans="2:4" ht="16" thickBot="1" x14ac:dyDescent="0.25">
      <c r="B9411" s="5">
        <v>9406</v>
      </c>
      <c r="C9411" s="5">
        <v>99.223272354477317</v>
      </c>
      <c r="D9411" s="45"/>
    </row>
    <row r="9412" spans="2:4" ht="16" thickBot="1" x14ac:dyDescent="0.25">
      <c r="B9412" s="4">
        <v>9407</v>
      </c>
      <c r="C9412" s="4">
        <v>159.25899754732737</v>
      </c>
      <c r="D9412" s="45"/>
    </row>
    <row r="9413" spans="2:4" ht="16" thickBot="1" x14ac:dyDescent="0.25">
      <c r="B9413" s="5">
        <v>9408</v>
      </c>
      <c r="C9413" s="5">
        <v>161.1421625086578</v>
      </c>
      <c r="D9413" s="45"/>
    </row>
    <row r="9414" spans="2:4" ht="16" thickBot="1" x14ac:dyDescent="0.25">
      <c r="B9414" s="4">
        <v>9409</v>
      </c>
      <c r="C9414" s="4">
        <v>113.59591145378656</v>
      </c>
      <c r="D9414" s="45"/>
    </row>
    <row r="9415" spans="2:4" ht="16" thickBot="1" x14ac:dyDescent="0.25">
      <c r="B9415" s="5">
        <v>9410</v>
      </c>
      <c r="C9415" s="5">
        <v>277.80520998581471</v>
      </c>
      <c r="D9415" s="45"/>
    </row>
    <row r="9416" spans="2:4" ht="16" thickBot="1" x14ac:dyDescent="0.25">
      <c r="B9416" s="4">
        <v>9411</v>
      </c>
      <c r="C9416" s="4">
        <v>131.21536854079355</v>
      </c>
      <c r="D9416" s="45"/>
    </row>
    <row r="9417" spans="2:4" ht="16" thickBot="1" x14ac:dyDescent="0.25">
      <c r="B9417" s="5">
        <v>9412</v>
      </c>
      <c r="C9417" s="5">
        <v>70.015273304756008</v>
      </c>
      <c r="D9417" s="45"/>
    </row>
    <row r="9418" spans="2:4" ht="16" thickBot="1" x14ac:dyDescent="0.25">
      <c r="B9418" s="4">
        <v>9413</v>
      </c>
      <c r="C9418" s="4">
        <v>173.28348927965394</v>
      </c>
      <c r="D9418" s="45"/>
    </row>
    <row r="9419" spans="2:4" ht="16" thickBot="1" x14ac:dyDescent="0.25">
      <c r="B9419" s="5">
        <v>9414</v>
      </c>
      <c r="C9419" s="5">
        <v>382.33217949522208</v>
      </c>
      <c r="D9419" s="45"/>
    </row>
    <row r="9420" spans="2:4" ht="16" thickBot="1" x14ac:dyDescent="0.25">
      <c r="B9420" s="4">
        <v>9415</v>
      </c>
      <c r="C9420" s="4">
        <v>241.57475657130294</v>
      </c>
      <c r="D9420" s="45"/>
    </row>
    <row r="9421" spans="2:4" ht="16" thickBot="1" x14ac:dyDescent="0.25">
      <c r="B9421" s="5">
        <v>9416</v>
      </c>
      <c r="C9421" s="5">
        <v>158.48087047088961</v>
      </c>
      <c r="D9421" s="45"/>
    </row>
    <row r="9422" spans="2:4" ht="16" thickBot="1" x14ac:dyDescent="0.25">
      <c r="B9422" s="4">
        <v>9417</v>
      </c>
      <c r="C9422" s="4">
        <v>129.06920536038174</v>
      </c>
      <c r="D9422" s="45"/>
    </row>
    <row r="9423" spans="2:4" ht="16" thickBot="1" x14ac:dyDescent="0.25">
      <c r="B9423" s="5">
        <v>9418</v>
      </c>
      <c r="C9423" s="5">
        <v>178.57328042339927</v>
      </c>
      <c r="D9423" s="45"/>
    </row>
    <row r="9424" spans="2:4" ht="16" thickBot="1" x14ac:dyDescent="0.25">
      <c r="B9424" s="4">
        <v>9419</v>
      </c>
      <c r="C9424" s="4">
        <v>37.372344052333119</v>
      </c>
      <c r="D9424" s="45"/>
    </row>
    <row r="9425" spans="2:4" ht="16" thickBot="1" x14ac:dyDescent="0.25">
      <c r="B9425" s="5">
        <v>9420</v>
      </c>
      <c r="C9425" s="5">
        <v>431.57029388684492</v>
      </c>
      <c r="D9425" s="45"/>
    </row>
    <row r="9426" spans="2:4" ht="16" thickBot="1" x14ac:dyDescent="0.25">
      <c r="B9426" s="4">
        <v>9421</v>
      </c>
      <c r="C9426" s="4">
        <v>182.47958023401659</v>
      </c>
      <c r="D9426" s="45"/>
    </row>
    <row r="9427" spans="2:4" ht="16" thickBot="1" x14ac:dyDescent="0.25">
      <c r="B9427" s="5">
        <v>9422</v>
      </c>
      <c r="C9427" s="5">
        <v>103.44317456376045</v>
      </c>
      <c r="D9427" s="45"/>
    </row>
    <row r="9428" spans="2:4" ht="16" thickBot="1" x14ac:dyDescent="0.25">
      <c r="B9428" s="4">
        <v>9423</v>
      </c>
      <c r="C9428" s="4">
        <v>138.60475993658861</v>
      </c>
      <c r="D9428" s="45"/>
    </row>
    <row r="9429" spans="2:4" ht="16" thickBot="1" x14ac:dyDescent="0.25">
      <c r="B9429" s="5">
        <v>9424</v>
      </c>
      <c r="C9429" s="5">
        <v>110.09168263315448</v>
      </c>
      <c r="D9429" s="45"/>
    </row>
    <row r="9430" spans="2:4" ht="16" thickBot="1" x14ac:dyDescent="0.25">
      <c r="B9430" s="4">
        <v>9425</v>
      </c>
      <c r="C9430" s="4">
        <v>200.44752441113755</v>
      </c>
      <c r="D9430" s="45"/>
    </row>
    <row r="9431" spans="2:4" ht="16" thickBot="1" x14ac:dyDescent="0.25">
      <c r="B9431" s="5">
        <v>9426</v>
      </c>
      <c r="C9431" s="5">
        <v>301.97446161976256</v>
      </c>
      <c r="D9431" s="45"/>
    </row>
    <row r="9432" spans="2:4" ht="16" thickBot="1" x14ac:dyDescent="0.25">
      <c r="B9432" s="4">
        <v>9427</v>
      </c>
      <c r="C9432" s="4">
        <v>229.66296824641395</v>
      </c>
      <c r="D9432" s="45"/>
    </row>
    <row r="9433" spans="2:4" ht="16" thickBot="1" x14ac:dyDescent="0.25">
      <c r="B9433" s="5">
        <v>9428</v>
      </c>
      <c r="C9433" s="5">
        <v>220.24745014960257</v>
      </c>
      <c r="D9433" s="45"/>
    </row>
    <row r="9434" spans="2:4" ht="16" thickBot="1" x14ac:dyDescent="0.25">
      <c r="B9434" s="4">
        <v>9429</v>
      </c>
      <c r="C9434" s="4">
        <v>181.03881649344237</v>
      </c>
      <c r="D9434" s="45"/>
    </row>
    <row r="9435" spans="2:4" ht="16" thickBot="1" x14ac:dyDescent="0.25">
      <c r="B9435" s="5">
        <v>9430</v>
      </c>
      <c r="C9435" s="5">
        <v>78.546177292032013</v>
      </c>
      <c r="D9435" s="45"/>
    </row>
    <row r="9436" spans="2:4" ht="16" thickBot="1" x14ac:dyDescent="0.25">
      <c r="B9436" s="4">
        <v>9431</v>
      </c>
      <c r="C9436" s="4">
        <v>258.77041306363117</v>
      </c>
      <c r="D9436" s="45"/>
    </row>
    <row r="9437" spans="2:4" ht="16" thickBot="1" x14ac:dyDescent="0.25">
      <c r="B9437" s="5">
        <v>9432</v>
      </c>
      <c r="C9437" s="5">
        <v>158.78806962673377</v>
      </c>
      <c r="D9437" s="45"/>
    </row>
    <row r="9438" spans="2:4" ht="16" thickBot="1" x14ac:dyDescent="0.25">
      <c r="B9438" s="4">
        <v>9433</v>
      </c>
      <c r="C9438" s="4">
        <v>234.92115414078316</v>
      </c>
      <c r="D9438" s="45"/>
    </row>
    <row r="9439" spans="2:4" ht="16" thickBot="1" x14ac:dyDescent="0.25">
      <c r="B9439" s="5">
        <v>9434</v>
      </c>
      <c r="C9439" s="5">
        <v>152.45058565891918</v>
      </c>
      <c r="D9439" s="45"/>
    </row>
    <row r="9440" spans="2:4" ht="16" thickBot="1" x14ac:dyDescent="0.25">
      <c r="B9440" s="4">
        <v>9435</v>
      </c>
      <c r="C9440" s="4">
        <v>225.60862466343545</v>
      </c>
      <c r="D9440" s="45"/>
    </row>
    <row r="9441" spans="2:4" ht="16" thickBot="1" x14ac:dyDescent="0.25">
      <c r="B9441" s="5">
        <v>9436</v>
      </c>
      <c r="C9441" s="5">
        <v>200.88858963695043</v>
      </c>
      <c r="D9441" s="45"/>
    </row>
    <row r="9442" spans="2:4" ht="16" thickBot="1" x14ac:dyDescent="0.25">
      <c r="B9442" s="4">
        <v>9437</v>
      </c>
      <c r="C9442" s="4">
        <v>47.686644488174991</v>
      </c>
      <c r="D9442" s="45"/>
    </row>
    <row r="9443" spans="2:4" ht="16" thickBot="1" x14ac:dyDescent="0.25">
      <c r="B9443" s="5">
        <v>9438</v>
      </c>
      <c r="C9443" s="5">
        <v>147.67766387921631</v>
      </c>
      <c r="D9443" s="45"/>
    </row>
    <row r="9444" spans="2:4" ht="16" thickBot="1" x14ac:dyDescent="0.25">
      <c r="B9444" s="4">
        <v>9439</v>
      </c>
      <c r="C9444" s="4">
        <v>163.95377597332373</v>
      </c>
      <c r="D9444" s="45"/>
    </row>
    <row r="9445" spans="2:4" ht="16" thickBot="1" x14ac:dyDescent="0.25">
      <c r="B9445" s="5">
        <v>9440</v>
      </c>
      <c r="C9445" s="5">
        <v>198.87726791701752</v>
      </c>
      <c r="D9445" s="45"/>
    </row>
    <row r="9446" spans="2:4" ht="16" thickBot="1" x14ac:dyDescent="0.25">
      <c r="B9446" s="4">
        <v>9441</v>
      </c>
      <c r="C9446" s="4">
        <v>211.75217982381994</v>
      </c>
      <c r="D9446" s="45"/>
    </row>
    <row r="9447" spans="2:4" ht="16" thickBot="1" x14ac:dyDescent="0.25">
      <c r="B9447" s="5">
        <v>9442</v>
      </c>
      <c r="C9447" s="5">
        <v>230.08514144374243</v>
      </c>
      <c r="D9447" s="45"/>
    </row>
    <row r="9448" spans="2:4" ht="16" thickBot="1" x14ac:dyDescent="0.25">
      <c r="B9448" s="4">
        <v>9443</v>
      </c>
      <c r="C9448" s="4">
        <v>268.1644986219867</v>
      </c>
      <c r="D9448" s="45"/>
    </row>
    <row r="9449" spans="2:4" ht="16" thickBot="1" x14ac:dyDescent="0.25">
      <c r="B9449" s="5">
        <v>9444</v>
      </c>
      <c r="C9449" s="5">
        <v>78.296317210934276</v>
      </c>
      <c r="D9449" s="45"/>
    </row>
    <row r="9450" spans="2:4" ht="16" thickBot="1" x14ac:dyDescent="0.25">
      <c r="B9450" s="4">
        <v>9445</v>
      </c>
      <c r="C9450" s="4">
        <v>346.77931941232242</v>
      </c>
      <c r="D9450" s="45"/>
    </row>
    <row r="9451" spans="2:4" ht="16" thickBot="1" x14ac:dyDescent="0.25">
      <c r="B9451" s="5">
        <v>9446</v>
      </c>
      <c r="C9451" s="5">
        <v>123.136300947577</v>
      </c>
      <c r="D9451" s="45"/>
    </row>
    <row r="9452" spans="2:4" ht="16" thickBot="1" x14ac:dyDescent="0.25">
      <c r="B9452" s="4">
        <v>9447</v>
      </c>
      <c r="C9452" s="4">
        <v>166.27088546141073</v>
      </c>
      <c r="D9452" s="45"/>
    </row>
    <row r="9453" spans="2:4" ht="16" thickBot="1" x14ac:dyDescent="0.25">
      <c r="B9453" s="5">
        <v>9448</v>
      </c>
      <c r="C9453" s="5">
        <v>169.77283743905693</v>
      </c>
      <c r="D9453" s="45"/>
    </row>
    <row r="9454" spans="2:4" ht="16" thickBot="1" x14ac:dyDescent="0.25">
      <c r="B9454" s="4">
        <v>9449</v>
      </c>
      <c r="C9454" s="4">
        <v>312.52017752360177</v>
      </c>
      <c r="D9454" s="45"/>
    </row>
    <row r="9455" spans="2:4" ht="16" thickBot="1" x14ac:dyDescent="0.25">
      <c r="B9455" s="5">
        <v>9450</v>
      </c>
      <c r="C9455" s="5">
        <v>176.31504985318568</v>
      </c>
      <c r="D9455" s="45"/>
    </row>
    <row r="9456" spans="2:4" ht="16" thickBot="1" x14ac:dyDescent="0.25">
      <c r="B9456" s="4">
        <v>9451</v>
      </c>
      <c r="C9456" s="4">
        <v>236.68379302054797</v>
      </c>
      <c r="D9456" s="45"/>
    </row>
    <row r="9457" spans="2:4" ht="16" thickBot="1" x14ac:dyDescent="0.25">
      <c r="B9457" s="5">
        <v>9452</v>
      </c>
      <c r="C9457" s="5">
        <v>249.52815889220176</v>
      </c>
      <c r="D9457" s="45"/>
    </row>
    <row r="9458" spans="2:4" ht="16" thickBot="1" x14ac:dyDescent="0.25">
      <c r="B9458" s="4">
        <v>9453</v>
      </c>
      <c r="C9458" s="4">
        <v>97.549754925356666</v>
      </c>
      <c r="D9458" s="45"/>
    </row>
    <row r="9459" spans="2:4" ht="16" thickBot="1" x14ac:dyDescent="0.25">
      <c r="B9459" s="5">
        <v>9454</v>
      </c>
      <c r="C9459" s="5">
        <v>155.86171013447984</v>
      </c>
      <c r="D9459" s="45"/>
    </row>
    <row r="9460" spans="2:4" ht="16" thickBot="1" x14ac:dyDescent="0.25">
      <c r="B9460" s="4">
        <v>9455</v>
      </c>
      <c r="C9460" s="4">
        <v>170.83895368920599</v>
      </c>
      <c r="D9460" s="45"/>
    </row>
    <row r="9461" spans="2:4" ht="16" thickBot="1" x14ac:dyDescent="0.25">
      <c r="B9461" s="5">
        <v>9456</v>
      </c>
      <c r="C9461" s="5">
        <v>84.291116378618042</v>
      </c>
      <c r="D9461" s="45"/>
    </row>
    <row r="9462" spans="2:4" ht="16" thickBot="1" x14ac:dyDescent="0.25">
      <c r="B9462" s="4">
        <v>9457</v>
      </c>
      <c r="C9462" s="4">
        <v>153.90001298938498</v>
      </c>
      <c r="D9462" s="45"/>
    </row>
    <row r="9463" spans="2:4" ht="16" thickBot="1" x14ac:dyDescent="0.25">
      <c r="B9463" s="5">
        <v>9458</v>
      </c>
      <c r="C9463" s="5">
        <v>68.491718946505685</v>
      </c>
      <c r="D9463" s="45"/>
    </row>
    <row r="9464" spans="2:4" ht="16" thickBot="1" x14ac:dyDescent="0.25">
      <c r="B9464" s="4">
        <v>9459</v>
      </c>
      <c r="C9464" s="4">
        <v>128.30645882497274</v>
      </c>
      <c r="D9464" s="45"/>
    </row>
    <row r="9465" spans="2:4" ht="16" thickBot="1" x14ac:dyDescent="0.25">
      <c r="B9465" s="5">
        <v>9460</v>
      </c>
      <c r="C9465" s="5">
        <v>200.68903012387773</v>
      </c>
      <c r="D9465" s="45"/>
    </row>
    <row r="9466" spans="2:4" ht="16" thickBot="1" x14ac:dyDescent="0.25">
      <c r="B9466" s="4">
        <v>9461</v>
      </c>
      <c r="C9466" s="4">
        <v>44.774894709115792</v>
      </c>
      <c r="D9466" s="45"/>
    </row>
    <row r="9467" spans="2:4" ht="16" thickBot="1" x14ac:dyDescent="0.25">
      <c r="B9467" s="5">
        <v>9462</v>
      </c>
      <c r="C9467" s="5">
        <v>278.29268986128972</v>
      </c>
      <c r="D9467" s="45"/>
    </row>
    <row r="9468" spans="2:4" ht="16" thickBot="1" x14ac:dyDescent="0.25">
      <c r="B9468" s="4">
        <v>9463</v>
      </c>
      <c r="C9468" s="4">
        <v>173.83780636678065</v>
      </c>
      <c r="D9468" s="45"/>
    </row>
    <row r="9469" spans="2:4" ht="16" thickBot="1" x14ac:dyDescent="0.25">
      <c r="B9469" s="5">
        <v>9464</v>
      </c>
      <c r="C9469" s="5">
        <v>105.32443832225189</v>
      </c>
      <c r="D9469" s="45"/>
    </row>
    <row r="9470" spans="2:4" ht="16" thickBot="1" x14ac:dyDescent="0.25">
      <c r="B9470" s="4">
        <v>9465</v>
      </c>
      <c r="C9470" s="4">
        <v>98.664241700042837</v>
      </c>
      <c r="D9470" s="45"/>
    </row>
    <row r="9471" spans="2:4" ht="16" thickBot="1" x14ac:dyDescent="0.25">
      <c r="B9471" s="5">
        <v>9466</v>
      </c>
      <c r="C9471" s="5">
        <v>107.61400244045187</v>
      </c>
      <c r="D9471" s="45"/>
    </row>
    <row r="9472" spans="2:4" ht="16" thickBot="1" x14ac:dyDescent="0.25">
      <c r="B9472" s="4">
        <v>9467</v>
      </c>
      <c r="C9472" s="4">
        <v>62.971023393078397</v>
      </c>
      <c r="D9472" s="45"/>
    </row>
    <row r="9473" spans="2:4" ht="16" thickBot="1" x14ac:dyDescent="0.25">
      <c r="B9473" s="5">
        <v>9468</v>
      </c>
      <c r="C9473" s="5">
        <v>93.468120197588206</v>
      </c>
      <c r="D9473" s="45"/>
    </row>
    <row r="9474" spans="2:4" ht="16" thickBot="1" x14ac:dyDescent="0.25">
      <c r="B9474" s="4">
        <v>9469</v>
      </c>
      <c r="C9474" s="4">
        <v>69.761032310258344</v>
      </c>
      <c r="D9474" s="45"/>
    </row>
    <row r="9475" spans="2:4" ht="16" thickBot="1" x14ac:dyDescent="0.25">
      <c r="B9475" s="5">
        <v>9470</v>
      </c>
      <c r="C9475" s="5">
        <v>105.69502575931234</v>
      </c>
      <c r="D9475" s="45"/>
    </row>
    <row r="9476" spans="2:4" ht="16" thickBot="1" x14ac:dyDescent="0.25">
      <c r="B9476" s="4">
        <v>9471</v>
      </c>
      <c r="C9476" s="4">
        <v>208.18441482043139</v>
      </c>
      <c r="D9476" s="45"/>
    </row>
    <row r="9477" spans="2:4" ht="16" thickBot="1" x14ac:dyDescent="0.25">
      <c r="B9477" s="5">
        <v>9472</v>
      </c>
      <c r="C9477" s="5">
        <v>62.798401778296153</v>
      </c>
      <c r="D9477" s="45"/>
    </row>
    <row r="9478" spans="2:4" ht="16" thickBot="1" x14ac:dyDescent="0.25">
      <c r="B9478" s="4">
        <v>9473</v>
      </c>
      <c r="C9478" s="4">
        <v>244.28972251404335</v>
      </c>
      <c r="D9478" s="45"/>
    </row>
    <row r="9479" spans="2:4" ht="16" thickBot="1" x14ac:dyDescent="0.25">
      <c r="B9479" s="5">
        <v>9474</v>
      </c>
      <c r="C9479" s="5">
        <v>173.31089081870999</v>
      </c>
      <c r="D9479" s="45"/>
    </row>
    <row r="9480" spans="2:4" ht="16" thickBot="1" x14ac:dyDescent="0.25">
      <c r="B9480" s="4">
        <v>9475</v>
      </c>
      <c r="C9480" s="4">
        <v>210.22452318406363</v>
      </c>
      <c r="D9480" s="45"/>
    </row>
    <row r="9481" spans="2:4" ht="16" thickBot="1" x14ac:dyDescent="0.25">
      <c r="B9481" s="5">
        <v>9476</v>
      </c>
      <c r="C9481" s="5">
        <v>205.08834523313774</v>
      </c>
      <c r="D9481" s="45"/>
    </row>
    <row r="9482" spans="2:4" ht="16" thickBot="1" x14ac:dyDescent="0.25">
      <c r="B9482" s="4">
        <v>9477</v>
      </c>
      <c r="C9482" s="4">
        <v>255.77776346234404</v>
      </c>
      <c r="D9482" s="45"/>
    </row>
    <row r="9483" spans="2:4" ht="16" thickBot="1" x14ac:dyDescent="0.25">
      <c r="B9483" s="5">
        <v>9478</v>
      </c>
      <c r="C9483" s="5">
        <v>93.92903704924359</v>
      </c>
      <c r="D9483" s="45"/>
    </row>
    <row r="9484" spans="2:4" ht="16" thickBot="1" x14ac:dyDescent="0.25">
      <c r="B9484" s="4">
        <v>9479</v>
      </c>
      <c r="C9484" s="4">
        <v>39.100987647915666</v>
      </c>
      <c r="D9484" s="45"/>
    </row>
    <row r="9485" spans="2:4" ht="16" thickBot="1" x14ac:dyDescent="0.25">
      <c r="B9485" s="5">
        <v>9480</v>
      </c>
      <c r="C9485" s="5">
        <v>149.34956698397033</v>
      </c>
      <c r="D9485" s="45"/>
    </row>
    <row r="9486" spans="2:4" ht="16" thickBot="1" x14ac:dyDescent="0.25">
      <c r="B9486" s="4">
        <v>9481</v>
      </c>
      <c r="C9486" s="4">
        <v>58.595119134618507</v>
      </c>
      <c r="D9486" s="45"/>
    </row>
    <row r="9487" spans="2:4" ht="16" thickBot="1" x14ac:dyDescent="0.25">
      <c r="B9487" s="5">
        <v>9482</v>
      </c>
      <c r="C9487" s="5">
        <v>92.631134612061388</v>
      </c>
      <c r="D9487" s="45"/>
    </row>
    <row r="9488" spans="2:4" ht="16" thickBot="1" x14ac:dyDescent="0.25">
      <c r="B9488" s="4">
        <v>9483</v>
      </c>
      <c r="C9488" s="4">
        <v>264.24216551072408</v>
      </c>
      <c r="D9488" s="45"/>
    </row>
    <row r="9489" spans="2:4" ht="16" thickBot="1" x14ac:dyDescent="0.25">
      <c r="B9489" s="5">
        <v>9484</v>
      </c>
      <c r="C9489" s="5">
        <v>186.57014492334349</v>
      </c>
      <c r="D9489" s="45"/>
    </row>
    <row r="9490" spans="2:4" ht="16" thickBot="1" x14ac:dyDescent="0.25">
      <c r="B9490" s="4">
        <v>9485</v>
      </c>
      <c r="C9490" s="4">
        <v>312.50593594950493</v>
      </c>
      <c r="D9490" s="45"/>
    </row>
    <row r="9491" spans="2:4" ht="16" thickBot="1" x14ac:dyDescent="0.25">
      <c r="B9491" s="5">
        <v>9486</v>
      </c>
      <c r="C9491" s="5">
        <v>77.782077084654418</v>
      </c>
      <c r="D9491" s="45"/>
    </row>
    <row r="9492" spans="2:4" ht="16" thickBot="1" x14ac:dyDescent="0.25">
      <c r="B9492" s="4">
        <v>9487</v>
      </c>
      <c r="C9492" s="4">
        <v>129.12930136167097</v>
      </c>
      <c r="D9492" s="45"/>
    </row>
    <row r="9493" spans="2:4" ht="16" thickBot="1" x14ac:dyDescent="0.25">
      <c r="B9493" s="5">
        <v>9488</v>
      </c>
      <c r="C9493" s="5">
        <v>229.49164587517265</v>
      </c>
      <c r="D9493" s="45"/>
    </row>
    <row r="9494" spans="2:4" ht="16" thickBot="1" x14ac:dyDescent="0.25">
      <c r="B9494" s="4">
        <v>9489</v>
      </c>
      <c r="C9494" s="4">
        <v>470.95785843528296</v>
      </c>
      <c r="D9494" s="45"/>
    </row>
    <row r="9495" spans="2:4" ht="16" thickBot="1" x14ac:dyDescent="0.25">
      <c r="B9495" s="5">
        <v>9490</v>
      </c>
      <c r="C9495" s="5">
        <v>158.16129778514562</v>
      </c>
      <c r="D9495" s="45"/>
    </row>
    <row r="9496" spans="2:4" ht="16" thickBot="1" x14ac:dyDescent="0.25">
      <c r="B9496" s="4">
        <v>9491</v>
      </c>
      <c r="C9496" s="4">
        <v>206.59942863820598</v>
      </c>
      <c r="D9496" s="45"/>
    </row>
    <row r="9497" spans="2:4" ht="16" thickBot="1" x14ac:dyDescent="0.25">
      <c r="B9497" s="5">
        <v>9492</v>
      </c>
      <c r="C9497" s="5">
        <v>567.59218407775586</v>
      </c>
      <c r="D9497" s="45"/>
    </row>
    <row r="9498" spans="2:4" ht="16" thickBot="1" x14ac:dyDescent="0.25">
      <c r="B9498" s="4">
        <v>9493</v>
      </c>
      <c r="C9498" s="4">
        <v>159.80737101771086</v>
      </c>
      <c r="D9498" s="45"/>
    </row>
    <row r="9499" spans="2:4" ht="16" thickBot="1" x14ac:dyDescent="0.25">
      <c r="B9499" s="5">
        <v>9494</v>
      </c>
      <c r="C9499" s="5">
        <v>96.717970733557465</v>
      </c>
      <c r="D9499" s="45"/>
    </row>
    <row r="9500" spans="2:4" ht="16" thickBot="1" x14ac:dyDescent="0.25">
      <c r="B9500" s="4">
        <v>9495</v>
      </c>
      <c r="C9500" s="4">
        <v>114.52005149084196</v>
      </c>
      <c r="D9500" s="45"/>
    </row>
    <row r="9501" spans="2:4" ht="16" thickBot="1" x14ac:dyDescent="0.25">
      <c r="B9501" s="5">
        <v>9496</v>
      </c>
      <c r="C9501" s="5">
        <v>77.446921342770139</v>
      </c>
      <c r="D9501" s="45"/>
    </row>
    <row r="9502" spans="2:4" ht="16" thickBot="1" x14ac:dyDescent="0.25">
      <c r="B9502" s="4">
        <v>9497</v>
      </c>
      <c r="C9502" s="4">
        <v>142.41522429058398</v>
      </c>
      <c r="D9502" s="45"/>
    </row>
    <row r="9503" spans="2:4" ht="16" thickBot="1" x14ac:dyDescent="0.25">
      <c r="B9503" s="5">
        <v>9498</v>
      </c>
      <c r="C9503" s="5">
        <v>291.23224375383649</v>
      </c>
      <c r="D9503" s="45"/>
    </row>
    <row r="9504" spans="2:4" ht="16" thickBot="1" x14ac:dyDescent="0.25">
      <c r="B9504" s="4">
        <v>9499</v>
      </c>
      <c r="C9504" s="4">
        <v>244.37852750352107</v>
      </c>
      <c r="D9504" s="45"/>
    </row>
    <row r="9505" spans="2:4" ht="16" thickBot="1" x14ac:dyDescent="0.25">
      <c r="B9505" s="5">
        <v>9500</v>
      </c>
      <c r="C9505" s="5">
        <v>139.15694246231433</v>
      </c>
      <c r="D9505" s="45"/>
    </row>
    <row r="9506" spans="2:4" ht="16" thickBot="1" x14ac:dyDescent="0.25">
      <c r="B9506" s="4">
        <v>9501</v>
      </c>
      <c r="C9506" s="4">
        <v>115.42045136176451</v>
      </c>
      <c r="D9506" s="45"/>
    </row>
    <row r="9507" spans="2:4" ht="16" thickBot="1" x14ac:dyDescent="0.25">
      <c r="B9507" s="5">
        <v>9502</v>
      </c>
      <c r="C9507" s="5">
        <v>147.03391085003787</v>
      </c>
      <c r="D9507" s="45"/>
    </row>
    <row r="9508" spans="2:4" ht="16" thickBot="1" x14ac:dyDescent="0.25">
      <c r="B9508" s="4">
        <v>9503</v>
      </c>
      <c r="C9508" s="4">
        <v>307.83968973998907</v>
      </c>
      <c r="D9508" s="45"/>
    </row>
    <row r="9509" spans="2:4" ht="16" thickBot="1" x14ac:dyDescent="0.25">
      <c r="B9509" s="5">
        <v>9504</v>
      </c>
      <c r="C9509" s="5">
        <v>132.00686345604277</v>
      </c>
      <c r="D9509" s="45"/>
    </row>
    <row r="9510" spans="2:4" ht="16" thickBot="1" x14ac:dyDescent="0.25">
      <c r="B9510" s="4">
        <v>9505</v>
      </c>
      <c r="C9510" s="4">
        <v>220.49058419287874</v>
      </c>
      <c r="D9510" s="45"/>
    </row>
    <row r="9511" spans="2:4" ht="16" thickBot="1" x14ac:dyDescent="0.25">
      <c r="B9511" s="5">
        <v>9506</v>
      </c>
      <c r="C9511" s="5">
        <v>159.20415417144659</v>
      </c>
      <c r="D9511" s="45"/>
    </row>
    <row r="9512" spans="2:4" ht="16" thickBot="1" x14ac:dyDescent="0.25">
      <c r="B9512" s="4">
        <v>9507</v>
      </c>
      <c r="C9512" s="4">
        <v>222.73269252897583</v>
      </c>
      <c r="D9512" s="45"/>
    </row>
    <row r="9513" spans="2:4" ht="16" thickBot="1" x14ac:dyDescent="0.25">
      <c r="B9513" s="5">
        <v>9508</v>
      </c>
      <c r="C9513" s="5">
        <v>393.46646065010952</v>
      </c>
      <c r="D9513" s="45"/>
    </row>
    <row r="9514" spans="2:4" ht="16" thickBot="1" x14ac:dyDescent="0.25">
      <c r="B9514" s="4">
        <v>9509</v>
      </c>
      <c r="C9514" s="4">
        <v>155.75238624786689</v>
      </c>
      <c r="D9514" s="45"/>
    </row>
    <row r="9515" spans="2:4" ht="16" thickBot="1" x14ac:dyDescent="0.25">
      <c r="B9515" s="5">
        <v>9510</v>
      </c>
      <c r="C9515" s="5">
        <v>143.99133125525807</v>
      </c>
      <c r="D9515" s="45"/>
    </row>
    <row r="9516" spans="2:4" ht="16" thickBot="1" x14ac:dyDescent="0.25">
      <c r="B9516" s="4">
        <v>9511</v>
      </c>
      <c r="C9516" s="4">
        <v>90.272093467371306</v>
      </c>
      <c r="D9516" s="45"/>
    </row>
    <row r="9517" spans="2:4" ht="16" thickBot="1" x14ac:dyDescent="0.25">
      <c r="B9517" s="5">
        <v>9512</v>
      </c>
      <c r="C9517" s="5">
        <v>112.73313747791664</v>
      </c>
      <c r="D9517" s="45"/>
    </row>
    <row r="9518" spans="2:4" ht="16" thickBot="1" x14ac:dyDescent="0.25">
      <c r="B9518" s="4">
        <v>9513</v>
      </c>
      <c r="C9518" s="4">
        <v>265.57690005962803</v>
      </c>
      <c r="D9518" s="45"/>
    </row>
    <row r="9519" spans="2:4" ht="16" thickBot="1" x14ac:dyDescent="0.25">
      <c r="B9519" s="5">
        <v>9514</v>
      </c>
      <c r="C9519" s="5">
        <v>158.12678204626258</v>
      </c>
      <c r="D9519" s="45"/>
    </row>
    <row r="9520" spans="2:4" ht="16" thickBot="1" x14ac:dyDescent="0.25">
      <c r="B9520" s="4">
        <v>9515</v>
      </c>
      <c r="C9520" s="4">
        <v>143.82071921615625</v>
      </c>
      <c r="D9520" s="45"/>
    </row>
    <row r="9521" spans="2:4" ht="16" thickBot="1" x14ac:dyDescent="0.25">
      <c r="B9521" s="5">
        <v>9516</v>
      </c>
      <c r="C9521" s="5">
        <v>143.49351530476426</v>
      </c>
      <c r="D9521" s="45"/>
    </row>
    <row r="9522" spans="2:4" ht="16" thickBot="1" x14ac:dyDescent="0.25">
      <c r="B9522" s="4">
        <v>9517</v>
      </c>
      <c r="C9522" s="4">
        <v>232.41737065308808</v>
      </c>
      <c r="D9522" s="45"/>
    </row>
    <row r="9523" spans="2:4" ht="16" thickBot="1" x14ac:dyDescent="0.25">
      <c r="B9523" s="5">
        <v>9518</v>
      </c>
      <c r="C9523" s="5">
        <v>141.78629185329586</v>
      </c>
      <c r="D9523" s="45"/>
    </row>
    <row r="9524" spans="2:4" ht="16" thickBot="1" x14ac:dyDescent="0.25">
      <c r="B9524" s="4">
        <v>9519</v>
      </c>
      <c r="C9524" s="4">
        <v>177.21949663728776</v>
      </c>
      <c r="D9524" s="45"/>
    </row>
    <row r="9525" spans="2:4" ht="16" thickBot="1" x14ac:dyDescent="0.25">
      <c r="B9525" s="5">
        <v>9520</v>
      </c>
      <c r="C9525" s="5">
        <v>258.49396431321827</v>
      </c>
      <c r="D9525" s="45"/>
    </row>
    <row r="9526" spans="2:4" ht="16" thickBot="1" x14ac:dyDescent="0.25">
      <c r="B9526" s="4">
        <v>9521</v>
      </c>
      <c r="C9526" s="4">
        <v>161.75873311366126</v>
      </c>
      <c r="D9526" s="45"/>
    </row>
    <row r="9527" spans="2:4" ht="16" thickBot="1" x14ac:dyDescent="0.25">
      <c r="B9527" s="5">
        <v>9522</v>
      </c>
      <c r="C9527" s="5">
        <v>210.72629631630707</v>
      </c>
      <c r="D9527" s="45"/>
    </row>
    <row r="9528" spans="2:4" ht="16" thickBot="1" x14ac:dyDescent="0.25">
      <c r="B9528" s="4">
        <v>9523</v>
      </c>
      <c r="C9528" s="4">
        <v>134.91446992111904</v>
      </c>
      <c r="D9528" s="45"/>
    </row>
    <row r="9529" spans="2:4" ht="16" thickBot="1" x14ac:dyDescent="0.25">
      <c r="B9529" s="5">
        <v>9524</v>
      </c>
      <c r="C9529" s="5">
        <v>145.38154239726316</v>
      </c>
      <c r="D9529" s="45"/>
    </row>
    <row r="9530" spans="2:4" ht="16" thickBot="1" x14ac:dyDescent="0.25">
      <c r="B9530" s="4">
        <v>9525</v>
      </c>
      <c r="C9530" s="4">
        <v>213.71821258364511</v>
      </c>
      <c r="D9530" s="45"/>
    </row>
    <row r="9531" spans="2:4" ht="16" thickBot="1" x14ac:dyDescent="0.25">
      <c r="B9531" s="5">
        <v>9526</v>
      </c>
      <c r="C9531" s="5">
        <v>84.383074497193093</v>
      </c>
      <c r="D9531" s="45"/>
    </row>
    <row r="9532" spans="2:4" ht="16" thickBot="1" x14ac:dyDescent="0.25">
      <c r="B9532" s="4">
        <v>9527</v>
      </c>
      <c r="C9532" s="4">
        <v>78.59121227501366</v>
      </c>
      <c r="D9532" s="45"/>
    </row>
    <row r="9533" spans="2:4" ht="16" thickBot="1" x14ac:dyDescent="0.25">
      <c r="B9533" s="5">
        <v>9528</v>
      </c>
      <c r="C9533" s="5">
        <v>178.09973342388224</v>
      </c>
      <c r="D9533" s="45"/>
    </row>
    <row r="9534" spans="2:4" ht="16" thickBot="1" x14ac:dyDescent="0.25">
      <c r="B9534" s="4">
        <v>9529</v>
      </c>
      <c r="C9534" s="4">
        <v>230.69331785264995</v>
      </c>
      <c r="D9534" s="45"/>
    </row>
    <row r="9535" spans="2:4" ht="16" thickBot="1" x14ac:dyDescent="0.25">
      <c r="B9535" s="5">
        <v>9530</v>
      </c>
      <c r="C9535" s="5">
        <v>128.97371979387509</v>
      </c>
      <c r="D9535" s="45"/>
    </row>
    <row r="9536" spans="2:4" ht="16" thickBot="1" x14ac:dyDescent="0.25">
      <c r="B9536" s="4">
        <v>9531</v>
      </c>
      <c r="C9536" s="4">
        <v>133.13467753238999</v>
      </c>
      <c r="D9536" s="45"/>
    </row>
    <row r="9537" spans="2:4" ht="16" thickBot="1" x14ac:dyDescent="0.25">
      <c r="B9537" s="5">
        <v>9532</v>
      </c>
      <c r="C9537" s="5">
        <v>141.04570033903346</v>
      </c>
      <c r="D9537" s="45"/>
    </row>
    <row r="9538" spans="2:4" ht="16" thickBot="1" x14ac:dyDescent="0.25">
      <c r="B9538" s="4">
        <v>9533</v>
      </c>
      <c r="C9538" s="4">
        <v>92.87410581926305</v>
      </c>
      <c r="D9538" s="45"/>
    </row>
    <row r="9539" spans="2:4" ht="16" thickBot="1" x14ac:dyDescent="0.25">
      <c r="B9539" s="5">
        <v>9534</v>
      </c>
      <c r="C9539" s="5">
        <v>104.4591676585689</v>
      </c>
      <c r="D9539" s="45"/>
    </row>
    <row r="9540" spans="2:4" ht="16" thickBot="1" x14ac:dyDescent="0.25">
      <c r="B9540" s="4">
        <v>9535</v>
      </c>
      <c r="C9540" s="4">
        <v>177.04222372159407</v>
      </c>
      <c r="D9540" s="45"/>
    </row>
    <row r="9541" spans="2:4" ht="16" thickBot="1" x14ac:dyDescent="0.25">
      <c r="B9541" s="5">
        <v>9536</v>
      </c>
      <c r="C9541" s="5">
        <v>154.56129049986788</v>
      </c>
      <c r="D9541" s="45"/>
    </row>
    <row r="9542" spans="2:4" ht="16" thickBot="1" x14ac:dyDescent="0.25">
      <c r="B9542" s="4">
        <v>9537</v>
      </c>
      <c r="C9542" s="4">
        <v>101.86445731617468</v>
      </c>
      <c r="D9542" s="45"/>
    </row>
    <row r="9543" spans="2:4" ht="16" thickBot="1" x14ac:dyDescent="0.25">
      <c r="B9543" s="5">
        <v>9538</v>
      </c>
      <c r="C9543" s="5">
        <v>196.75471771067674</v>
      </c>
      <c r="D9543" s="45"/>
    </row>
    <row r="9544" spans="2:4" ht="16" thickBot="1" x14ac:dyDescent="0.25">
      <c r="B9544" s="4">
        <v>9539</v>
      </c>
      <c r="C9544" s="4">
        <v>218.50166515087116</v>
      </c>
      <c r="D9544" s="45"/>
    </row>
    <row r="9545" spans="2:4" ht="16" thickBot="1" x14ac:dyDescent="0.25">
      <c r="B9545" s="5">
        <v>9540</v>
      </c>
      <c r="C9545" s="5">
        <v>270.40171289932016</v>
      </c>
      <c r="D9545" s="45"/>
    </row>
    <row r="9546" spans="2:4" ht="16" thickBot="1" x14ac:dyDescent="0.25">
      <c r="B9546" s="4">
        <v>9541</v>
      </c>
      <c r="C9546" s="4">
        <v>174.60913205134767</v>
      </c>
      <c r="D9546" s="45"/>
    </row>
    <row r="9547" spans="2:4" ht="16" thickBot="1" x14ac:dyDescent="0.25">
      <c r="B9547" s="5">
        <v>9542</v>
      </c>
      <c r="C9547" s="5">
        <v>114.98240515284775</v>
      </c>
      <c r="D9547" s="45"/>
    </row>
    <row r="9548" spans="2:4" ht="16" thickBot="1" x14ac:dyDescent="0.25">
      <c r="B9548" s="4">
        <v>9543</v>
      </c>
      <c r="C9548" s="4">
        <v>199.76795977567502</v>
      </c>
      <c r="D9548" s="45"/>
    </row>
    <row r="9549" spans="2:4" ht="16" thickBot="1" x14ac:dyDescent="0.25">
      <c r="B9549" s="5">
        <v>9544</v>
      </c>
      <c r="C9549" s="5">
        <v>244.63702334656975</v>
      </c>
      <c r="D9549" s="45"/>
    </row>
    <row r="9550" spans="2:4" ht="16" thickBot="1" x14ac:dyDescent="0.25">
      <c r="B9550" s="4">
        <v>9545</v>
      </c>
      <c r="C9550" s="4">
        <v>90.010269337576375</v>
      </c>
      <c r="D9550" s="45"/>
    </row>
    <row r="9551" spans="2:4" ht="16" thickBot="1" x14ac:dyDescent="0.25">
      <c r="B9551" s="5">
        <v>9546</v>
      </c>
      <c r="C9551" s="5">
        <v>149.65956074960113</v>
      </c>
      <c r="D9551" s="45"/>
    </row>
    <row r="9552" spans="2:4" ht="16" thickBot="1" x14ac:dyDescent="0.25">
      <c r="B9552" s="4">
        <v>9547</v>
      </c>
      <c r="C9552" s="4">
        <v>170.17569427798523</v>
      </c>
      <c r="D9552" s="45"/>
    </row>
    <row r="9553" spans="2:4" ht="16" thickBot="1" x14ac:dyDescent="0.25">
      <c r="B9553" s="5">
        <v>9548</v>
      </c>
      <c r="C9553" s="5">
        <v>207.03021575351107</v>
      </c>
      <c r="D9553" s="45"/>
    </row>
    <row r="9554" spans="2:4" ht="16" thickBot="1" x14ac:dyDescent="0.25">
      <c r="B9554" s="4">
        <v>9549</v>
      </c>
      <c r="C9554" s="4">
        <v>139.55506570232328</v>
      </c>
      <c r="D9554" s="45"/>
    </row>
    <row r="9555" spans="2:4" ht="16" thickBot="1" x14ac:dyDescent="0.25">
      <c r="B9555" s="5">
        <v>9550</v>
      </c>
      <c r="C9555" s="5">
        <v>185.65717093900264</v>
      </c>
      <c r="D9555" s="45"/>
    </row>
    <row r="9556" spans="2:4" ht="16" thickBot="1" x14ac:dyDescent="0.25">
      <c r="B9556" s="4">
        <v>9551</v>
      </c>
      <c r="C9556" s="4">
        <v>98.614693597126731</v>
      </c>
      <c r="D9556" s="45"/>
    </row>
    <row r="9557" spans="2:4" ht="16" thickBot="1" x14ac:dyDescent="0.25">
      <c r="B9557" s="5">
        <v>9552</v>
      </c>
      <c r="C9557" s="5">
        <v>72.957318669025355</v>
      </c>
      <c r="D9557" s="45"/>
    </row>
    <row r="9558" spans="2:4" ht="16" thickBot="1" x14ac:dyDescent="0.25">
      <c r="B9558" s="4">
        <v>9553</v>
      </c>
      <c r="C9558" s="4">
        <v>192.02720298642456</v>
      </c>
      <c r="D9558" s="45"/>
    </row>
    <row r="9559" spans="2:4" ht="16" thickBot="1" x14ac:dyDescent="0.25">
      <c r="B9559" s="5">
        <v>9554</v>
      </c>
      <c r="C9559" s="5">
        <v>120.40457720105404</v>
      </c>
      <c r="D9559" s="45"/>
    </row>
    <row r="9560" spans="2:4" ht="16" thickBot="1" x14ac:dyDescent="0.25">
      <c r="B9560" s="4">
        <v>9555</v>
      </c>
      <c r="C9560" s="4">
        <v>147.25986718369737</v>
      </c>
      <c r="D9560" s="45"/>
    </row>
    <row r="9561" spans="2:4" ht="16" thickBot="1" x14ac:dyDescent="0.25">
      <c r="B9561" s="5">
        <v>9556</v>
      </c>
      <c r="C9561" s="5">
        <v>637.71995634278062</v>
      </c>
      <c r="D9561" s="45"/>
    </row>
    <row r="9562" spans="2:4" ht="16" thickBot="1" x14ac:dyDescent="0.25">
      <c r="B9562" s="4">
        <v>9557</v>
      </c>
      <c r="C9562" s="4">
        <v>169.95847868821468</v>
      </c>
      <c r="D9562" s="45"/>
    </row>
    <row r="9563" spans="2:4" ht="16" thickBot="1" x14ac:dyDescent="0.25">
      <c r="B9563" s="5">
        <v>9558</v>
      </c>
      <c r="C9563" s="5">
        <v>101.5383553062035</v>
      </c>
      <c r="D9563" s="45"/>
    </row>
    <row r="9564" spans="2:4" ht="16" thickBot="1" x14ac:dyDescent="0.25">
      <c r="B9564" s="4">
        <v>9559</v>
      </c>
      <c r="C9564" s="4">
        <v>176.36922737646046</v>
      </c>
      <c r="D9564" s="45"/>
    </row>
    <row r="9565" spans="2:4" ht="16" thickBot="1" x14ac:dyDescent="0.25">
      <c r="B9565" s="5">
        <v>9560</v>
      </c>
      <c r="C9565" s="5">
        <v>122.96227141448948</v>
      </c>
      <c r="D9565" s="45"/>
    </row>
    <row r="9566" spans="2:4" ht="16" thickBot="1" x14ac:dyDescent="0.25">
      <c r="B9566" s="4">
        <v>9561</v>
      </c>
      <c r="C9566" s="4">
        <v>63.766446594667634</v>
      </c>
      <c r="D9566" s="45"/>
    </row>
    <row r="9567" spans="2:4" ht="16" thickBot="1" x14ac:dyDescent="0.25">
      <c r="B9567" s="5">
        <v>9562</v>
      </c>
      <c r="C9567" s="5">
        <v>88.71641077472654</v>
      </c>
      <c r="D9567" s="45"/>
    </row>
    <row r="9568" spans="2:4" ht="16" thickBot="1" x14ac:dyDescent="0.25">
      <c r="B9568" s="4">
        <v>9563</v>
      </c>
      <c r="C9568" s="4">
        <v>134.14077425224698</v>
      </c>
      <c r="D9568" s="45"/>
    </row>
    <row r="9569" spans="2:4" ht="16" thickBot="1" x14ac:dyDescent="0.25">
      <c r="B9569" s="5">
        <v>9564</v>
      </c>
      <c r="C9569" s="5">
        <v>108.50782689870694</v>
      </c>
      <c r="D9569" s="45"/>
    </row>
    <row r="9570" spans="2:4" ht="16" thickBot="1" x14ac:dyDescent="0.25">
      <c r="B9570" s="4">
        <v>9565</v>
      </c>
      <c r="C9570" s="4">
        <v>130.76609735878148</v>
      </c>
      <c r="D9570" s="45"/>
    </row>
    <row r="9571" spans="2:4" ht="16" thickBot="1" x14ac:dyDescent="0.25">
      <c r="B9571" s="5">
        <v>9566</v>
      </c>
      <c r="C9571" s="5">
        <v>174.73031043491932</v>
      </c>
      <c r="D9571" s="45"/>
    </row>
    <row r="9572" spans="2:4" ht="16" thickBot="1" x14ac:dyDescent="0.25">
      <c r="B9572" s="4">
        <v>9567</v>
      </c>
      <c r="C9572" s="4">
        <v>177.44995451295546</v>
      </c>
      <c r="D9572" s="45"/>
    </row>
    <row r="9573" spans="2:4" ht="16" thickBot="1" x14ac:dyDescent="0.25">
      <c r="B9573" s="5">
        <v>9568</v>
      </c>
      <c r="C9573" s="5">
        <v>237.44906240097453</v>
      </c>
      <c r="D9573" s="45"/>
    </row>
    <row r="9574" spans="2:4" ht="16" thickBot="1" x14ac:dyDescent="0.25">
      <c r="B9574" s="4">
        <v>9569</v>
      </c>
      <c r="C9574" s="4">
        <v>110.93110511134063</v>
      </c>
      <c r="D9574" s="45"/>
    </row>
    <row r="9575" spans="2:4" ht="16" thickBot="1" x14ac:dyDescent="0.25">
      <c r="B9575" s="5">
        <v>9570</v>
      </c>
      <c r="C9575" s="5">
        <v>137.33686001977921</v>
      </c>
      <c r="D9575" s="45"/>
    </row>
    <row r="9576" spans="2:4" ht="16" thickBot="1" x14ac:dyDescent="0.25">
      <c r="B9576" s="4">
        <v>9571</v>
      </c>
      <c r="C9576" s="4">
        <v>159.47187139614041</v>
      </c>
      <c r="D9576" s="45"/>
    </row>
    <row r="9577" spans="2:4" ht="16" thickBot="1" x14ac:dyDescent="0.25">
      <c r="B9577" s="5">
        <v>9572</v>
      </c>
      <c r="C9577" s="5">
        <v>271.60549767158324</v>
      </c>
      <c r="D9577" s="45"/>
    </row>
    <row r="9578" spans="2:4" ht="16" thickBot="1" x14ac:dyDescent="0.25">
      <c r="B9578" s="4">
        <v>9573</v>
      </c>
      <c r="C9578" s="4">
        <v>186.35233213271087</v>
      </c>
      <c r="D9578" s="45"/>
    </row>
    <row r="9579" spans="2:4" ht="16" thickBot="1" x14ac:dyDescent="0.25">
      <c r="B9579" s="5">
        <v>9574</v>
      </c>
      <c r="C9579" s="5">
        <v>173.45771705072565</v>
      </c>
      <c r="D9579" s="45"/>
    </row>
    <row r="9580" spans="2:4" ht="16" thickBot="1" x14ac:dyDescent="0.25">
      <c r="B9580" s="4">
        <v>9575</v>
      </c>
      <c r="C9580" s="4">
        <v>135.96559236640962</v>
      </c>
      <c r="D9580" s="45"/>
    </row>
    <row r="9581" spans="2:4" ht="16" thickBot="1" x14ac:dyDescent="0.25">
      <c r="B9581" s="5">
        <v>9576</v>
      </c>
      <c r="C9581" s="5">
        <v>174.00987862216954</v>
      </c>
      <c r="D9581" s="45"/>
    </row>
    <row r="9582" spans="2:4" ht="16" thickBot="1" x14ac:dyDescent="0.25">
      <c r="B9582" s="4">
        <v>9577</v>
      </c>
      <c r="C9582" s="4">
        <v>122.29908818276905</v>
      </c>
      <c r="D9582" s="45"/>
    </row>
    <row r="9583" spans="2:4" ht="16" thickBot="1" x14ac:dyDescent="0.25">
      <c r="B9583" s="5">
        <v>9578</v>
      </c>
      <c r="C9583" s="5">
        <v>140.15293392946381</v>
      </c>
      <c r="D9583" s="45"/>
    </row>
    <row r="9584" spans="2:4" ht="16" thickBot="1" x14ac:dyDescent="0.25">
      <c r="B9584" s="4">
        <v>9579</v>
      </c>
      <c r="C9584" s="4">
        <v>108.39652865691313</v>
      </c>
      <c r="D9584" s="45"/>
    </row>
    <row r="9585" spans="2:4" ht="16" thickBot="1" x14ac:dyDescent="0.25">
      <c r="B9585" s="5">
        <v>9580</v>
      </c>
      <c r="C9585" s="5">
        <v>119.14096927137849</v>
      </c>
      <c r="D9585" s="45"/>
    </row>
    <row r="9586" spans="2:4" ht="16" thickBot="1" x14ac:dyDescent="0.25">
      <c r="B9586" s="4">
        <v>9581</v>
      </c>
      <c r="C9586" s="4">
        <v>137.24553334071368</v>
      </c>
      <c r="D9586" s="45"/>
    </row>
    <row r="9587" spans="2:4" ht="16" thickBot="1" x14ac:dyDescent="0.25">
      <c r="B9587" s="5">
        <v>9582</v>
      </c>
      <c r="C9587" s="5">
        <v>151.65079458350212</v>
      </c>
      <c r="D9587" s="45"/>
    </row>
    <row r="9588" spans="2:4" ht="16" thickBot="1" x14ac:dyDescent="0.25">
      <c r="B9588" s="4">
        <v>9583</v>
      </c>
      <c r="C9588" s="4">
        <v>160.78492869464117</v>
      </c>
      <c r="D9588" s="45"/>
    </row>
    <row r="9589" spans="2:4" ht="16" thickBot="1" x14ac:dyDescent="0.25">
      <c r="B9589" s="5">
        <v>9584</v>
      </c>
      <c r="C9589" s="5">
        <v>118.21907186341883</v>
      </c>
      <c r="D9589" s="45"/>
    </row>
    <row r="9590" spans="2:4" ht="16" thickBot="1" x14ac:dyDescent="0.25">
      <c r="B9590" s="4">
        <v>9585</v>
      </c>
      <c r="C9590" s="4">
        <v>105.75716111133168</v>
      </c>
      <c r="D9590" s="45"/>
    </row>
    <row r="9591" spans="2:4" ht="16" thickBot="1" x14ac:dyDescent="0.25">
      <c r="B9591" s="5">
        <v>9586</v>
      </c>
      <c r="C9591" s="5">
        <v>253.00005318097405</v>
      </c>
      <c r="D9591" s="45"/>
    </row>
    <row r="9592" spans="2:4" ht="16" thickBot="1" x14ac:dyDescent="0.25">
      <c r="B9592" s="4">
        <v>9587</v>
      </c>
      <c r="C9592" s="4">
        <v>209.93925771622884</v>
      </c>
      <c r="D9592" s="45"/>
    </row>
    <row r="9593" spans="2:4" ht="16" thickBot="1" x14ac:dyDescent="0.25">
      <c r="B9593" s="5">
        <v>9588</v>
      </c>
      <c r="C9593" s="5">
        <v>82.660345657131998</v>
      </c>
      <c r="D9593" s="45"/>
    </row>
    <row r="9594" spans="2:4" ht="16" thickBot="1" x14ac:dyDescent="0.25">
      <c r="B9594" s="4">
        <v>9589</v>
      </c>
      <c r="C9594" s="4">
        <v>229.93610592265586</v>
      </c>
      <c r="D9594" s="45"/>
    </row>
    <row r="9595" spans="2:4" ht="16" thickBot="1" x14ac:dyDescent="0.25">
      <c r="B9595" s="5">
        <v>9590</v>
      </c>
      <c r="C9595" s="5">
        <v>186.5533490139189</v>
      </c>
      <c r="D9595" s="45"/>
    </row>
    <row r="9596" spans="2:4" ht="16" thickBot="1" x14ac:dyDescent="0.25">
      <c r="B9596" s="4">
        <v>9591</v>
      </c>
      <c r="C9596" s="4">
        <v>265.72871622305377</v>
      </c>
      <c r="D9596" s="45"/>
    </row>
    <row r="9597" spans="2:4" ht="16" thickBot="1" x14ac:dyDescent="0.25">
      <c r="B9597" s="5">
        <v>9592</v>
      </c>
      <c r="C9597" s="5">
        <v>267.66898907089518</v>
      </c>
      <c r="D9597" s="45"/>
    </row>
    <row r="9598" spans="2:4" ht="16" thickBot="1" x14ac:dyDescent="0.25">
      <c r="B9598" s="4">
        <v>9593</v>
      </c>
      <c r="C9598" s="4">
        <v>156.15143117372975</v>
      </c>
      <c r="D9598" s="45"/>
    </row>
    <row r="9599" spans="2:4" ht="16" thickBot="1" x14ac:dyDescent="0.25">
      <c r="B9599" s="5">
        <v>9594</v>
      </c>
      <c r="C9599" s="5">
        <v>182.13956568384768</v>
      </c>
      <c r="D9599" s="45"/>
    </row>
    <row r="9600" spans="2:4" ht="16" thickBot="1" x14ac:dyDescent="0.25">
      <c r="B9600" s="4">
        <v>9595</v>
      </c>
      <c r="C9600" s="4">
        <v>72.092875394018563</v>
      </c>
      <c r="D9600" s="45"/>
    </row>
    <row r="9601" spans="2:4" ht="16" thickBot="1" x14ac:dyDescent="0.25">
      <c r="B9601" s="5">
        <v>9596</v>
      </c>
      <c r="C9601" s="5">
        <v>231.79683682499018</v>
      </c>
      <c r="D9601" s="45"/>
    </row>
    <row r="9602" spans="2:4" ht="16" thickBot="1" x14ac:dyDescent="0.25">
      <c r="B9602" s="4">
        <v>9597</v>
      </c>
      <c r="C9602" s="4">
        <v>168.15629240032803</v>
      </c>
      <c r="D9602" s="45"/>
    </row>
    <row r="9603" spans="2:4" ht="16" thickBot="1" x14ac:dyDescent="0.25">
      <c r="B9603" s="5">
        <v>9598</v>
      </c>
      <c r="C9603" s="5">
        <v>101.08378320014789</v>
      </c>
      <c r="D9603" s="45"/>
    </row>
    <row r="9604" spans="2:4" ht="16" thickBot="1" x14ac:dyDescent="0.25">
      <c r="B9604" s="4">
        <v>9599</v>
      </c>
      <c r="C9604" s="4">
        <v>57.973812354356262</v>
      </c>
      <c r="D9604" s="45"/>
    </row>
    <row r="9605" spans="2:4" ht="16" thickBot="1" x14ac:dyDescent="0.25">
      <c r="B9605" s="5">
        <v>9600</v>
      </c>
      <c r="C9605" s="5">
        <v>136.21087333118152</v>
      </c>
      <c r="D9605" s="45"/>
    </row>
    <row r="9606" spans="2:4" ht="16" thickBot="1" x14ac:dyDescent="0.25">
      <c r="B9606" s="4">
        <v>9601</v>
      </c>
      <c r="C9606" s="4">
        <v>135.97862726642933</v>
      </c>
      <c r="D9606" s="45"/>
    </row>
    <row r="9607" spans="2:4" ht="16" thickBot="1" x14ac:dyDescent="0.25">
      <c r="B9607" s="5">
        <v>9602</v>
      </c>
      <c r="C9607" s="5">
        <v>92.34395405534363</v>
      </c>
      <c r="D9607" s="45"/>
    </row>
    <row r="9608" spans="2:4" ht="16" thickBot="1" x14ac:dyDescent="0.25">
      <c r="B9608" s="4">
        <v>9603</v>
      </c>
      <c r="C9608" s="4">
        <v>83.79570511812382</v>
      </c>
      <c r="D9608" s="45"/>
    </row>
    <row r="9609" spans="2:4" ht="16" thickBot="1" x14ac:dyDescent="0.25">
      <c r="B9609" s="5">
        <v>9604</v>
      </c>
      <c r="C9609" s="5">
        <v>68.392572951577876</v>
      </c>
      <c r="D9609" s="45"/>
    </row>
    <row r="9610" spans="2:4" ht="16" thickBot="1" x14ac:dyDescent="0.25">
      <c r="B9610" s="4">
        <v>9605</v>
      </c>
      <c r="C9610" s="4">
        <v>99.970977775167313</v>
      </c>
      <c r="D9610" s="45"/>
    </row>
    <row r="9611" spans="2:4" ht="16" thickBot="1" x14ac:dyDescent="0.25">
      <c r="B9611" s="5">
        <v>9606</v>
      </c>
      <c r="C9611" s="5">
        <v>185.56818288825497</v>
      </c>
      <c r="D9611" s="45"/>
    </row>
    <row r="9612" spans="2:4" ht="16" thickBot="1" x14ac:dyDescent="0.25">
      <c r="B9612" s="4">
        <v>9607</v>
      </c>
      <c r="C9612" s="4">
        <v>73.234589116777357</v>
      </c>
      <c r="D9612" s="45"/>
    </row>
    <row r="9613" spans="2:4" ht="16" thickBot="1" x14ac:dyDescent="0.25">
      <c r="B9613" s="5">
        <v>9608</v>
      </c>
      <c r="C9613" s="5">
        <v>86.515414796971768</v>
      </c>
      <c r="D9613" s="45"/>
    </row>
    <row r="9614" spans="2:4" ht="16" thickBot="1" x14ac:dyDescent="0.25">
      <c r="B9614" s="4">
        <v>9609</v>
      </c>
      <c r="C9614" s="4">
        <v>142.7475381936986</v>
      </c>
      <c r="D9614" s="45"/>
    </row>
    <row r="9615" spans="2:4" ht="16" thickBot="1" x14ac:dyDescent="0.25">
      <c r="B9615" s="5">
        <v>9610</v>
      </c>
      <c r="C9615" s="5">
        <v>278.74329338916158</v>
      </c>
      <c r="D9615" s="45"/>
    </row>
    <row r="9616" spans="2:4" ht="16" thickBot="1" x14ac:dyDescent="0.25">
      <c r="B9616" s="4">
        <v>9611</v>
      </c>
      <c r="C9616" s="4">
        <v>129.84809899830307</v>
      </c>
      <c r="D9616" s="45"/>
    </row>
    <row r="9617" spans="2:4" ht="16" thickBot="1" x14ac:dyDescent="0.25">
      <c r="B9617" s="5">
        <v>9612</v>
      </c>
      <c r="C9617" s="5">
        <v>191.96084261620373</v>
      </c>
      <c r="D9617" s="45"/>
    </row>
    <row r="9618" spans="2:4" ht="16" thickBot="1" x14ac:dyDescent="0.25">
      <c r="B9618" s="4">
        <v>9613</v>
      </c>
      <c r="C9618" s="4">
        <v>145.94709988609881</v>
      </c>
      <c r="D9618" s="45"/>
    </row>
    <row r="9619" spans="2:4" ht="16" thickBot="1" x14ac:dyDescent="0.25">
      <c r="B9619" s="5">
        <v>9614</v>
      </c>
      <c r="C9619" s="5">
        <v>102.21274308196168</v>
      </c>
      <c r="D9619" s="45"/>
    </row>
    <row r="9620" spans="2:4" ht="16" thickBot="1" x14ac:dyDescent="0.25">
      <c r="B9620" s="4">
        <v>9615</v>
      </c>
      <c r="C9620" s="4">
        <v>110.62959952022364</v>
      </c>
      <c r="D9620" s="45"/>
    </row>
    <row r="9621" spans="2:4" ht="16" thickBot="1" x14ac:dyDescent="0.25">
      <c r="B9621" s="5">
        <v>9616</v>
      </c>
      <c r="C9621" s="5">
        <v>319.30704019344375</v>
      </c>
      <c r="D9621" s="45"/>
    </row>
    <row r="9622" spans="2:4" ht="16" thickBot="1" x14ac:dyDescent="0.25">
      <c r="B9622" s="4">
        <v>9617</v>
      </c>
      <c r="C9622" s="4">
        <v>295.71747272080597</v>
      </c>
      <c r="D9622" s="45"/>
    </row>
    <row r="9623" spans="2:4" ht="16" thickBot="1" x14ac:dyDescent="0.25">
      <c r="B9623" s="5">
        <v>9618</v>
      </c>
      <c r="C9623" s="5">
        <v>257.21134386742074</v>
      </c>
      <c r="D9623" s="45"/>
    </row>
    <row r="9624" spans="2:4" ht="16" thickBot="1" x14ac:dyDescent="0.25">
      <c r="B9624" s="4">
        <v>9619</v>
      </c>
      <c r="C9624" s="4">
        <v>358.88531712043562</v>
      </c>
      <c r="D9624" s="45"/>
    </row>
    <row r="9625" spans="2:4" ht="16" thickBot="1" x14ac:dyDescent="0.25">
      <c r="B9625" s="5">
        <v>9620</v>
      </c>
      <c r="C9625" s="5">
        <v>216.98603645436893</v>
      </c>
      <c r="D9625" s="45"/>
    </row>
    <row r="9626" spans="2:4" ht="16" thickBot="1" x14ac:dyDescent="0.25">
      <c r="B9626" s="4">
        <v>9621</v>
      </c>
      <c r="C9626" s="4">
        <v>78.467349749807553</v>
      </c>
      <c r="D9626" s="45"/>
    </row>
    <row r="9627" spans="2:4" ht="16" thickBot="1" x14ac:dyDescent="0.25">
      <c r="B9627" s="5">
        <v>9622</v>
      </c>
      <c r="C9627" s="5">
        <v>52.868477754149289</v>
      </c>
      <c r="D9627" s="45"/>
    </row>
    <row r="9628" spans="2:4" ht="16" thickBot="1" x14ac:dyDescent="0.25">
      <c r="B9628" s="4">
        <v>9623</v>
      </c>
      <c r="C9628" s="4">
        <v>233.78816104846436</v>
      </c>
      <c r="D9628" s="45"/>
    </row>
    <row r="9629" spans="2:4" ht="16" thickBot="1" x14ac:dyDescent="0.25">
      <c r="B9629" s="5">
        <v>9624</v>
      </c>
      <c r="C9629" s="5">
        <v>86.87579144857078</v>
      </c>
      <c r="D9629" s="45"/>
    </row>
    <row r="9630" spans="2:4" ht="16" thickBot="1" x14ac:dyDescent="0.25">
      <c r="B9630" s="4">
        <v>9625</v>
      </c>
      <c r="C9630" s="4">
        <v>91.061160274892799</v>
      </c>
      <c r="D9630" s="45"/>
    </row>
    <row r="9631" spans="2:4" ht="16" thickBot="1" x14ac:dyDescent="0.25">
      <c r="B9631" s="5">
        <v>9626</v>
      </c>
      <c r="C9631" s="5">
        <v>252.93193339120117</v>
      </c>
      <c r="D9631" s="45"/>
    </row>
    <row r="9632" spans="2:4" ht="16" thickBot="1" x14ac:dyDescent="0.25">
      <c r="B9632" s="4">
        <v>9627</v>
      </c>
      <c r="C9632" s="4">
        <v>130.42206950462185</v>
      </c>
      <c r="D9632" s="45"/>
    </row>
    <row r="9633" spans="2:4" ht="16" thickBot="1" x14ac:dyDescent="0.25">
      <c r="B9633" s="5">
        <v>9628</v>
      </c>
      <c r="C9633" s="5">
        <v>219.38937729197511</v>
      </c>
      <c r="D9633" s="45"/>
    </row>
    <row r="9634" spans="2:4" ht="16" thickBot="1" x14ac:dyDescent="0.25">
      <c r="B9634" s="4">
        <v>9629</v>
      </c>
      <c r="C9634" s="4">
        <v>143.56632134778803</v>
      </c>
      <c r="D9634" s="45"/>
    </row>
    <row r="9635" spans="2:4" ht="16" thickBot="1" x14ac:dyDescent="0.25">
      <c r="B9635" s="5">
        <v>9630</v>
      </c>
      <c r="C9635" s="5">
        <v>172.11297682760539</v>
      </c>
      <c r="D9635" s="45"/>
    </row>
    <row r="9636" spans="2:4" ht="16" thickBot="1" x14ac:dyDescent="0.25">
      <c r="B9636" s="4">
        <v>9631</v>
      </c>
      <c r="C9636" s="4">
        <v>113.34344670900347</v>
      </c>
      <c r="D9636" s="45"/>
    </row>
    <row r="9637" spans="2:4" ht="16" thickBot="1" x14ac:dyDescent="0.25">
      <c r="B9637" s="5">
        <v>9632</v>
      </c>
      <c r="C9637" s="5">
        <v>114.7555597088371</v>
      </c>
      <c r="D9637" s="45"/>
    </row>
    <row r="9638" spans="2:4" ht="16" thickBot="1" x14ac:dyDescent="0.25">
      <c r="B9638" s="4">
        <v>9633</v>
      </c>
      <c r="C9638" s="4">
        <v>166.32298491440093</v>
      </c>
      <c r="D9638" s="45"/>
    </row>
    <row r="9639" spans="2:4" ht="16" thickBot="1" x14ac:dyDescent="0.25">
      <c r="B9639" s="5">
        <v>9634</v>
      </c>
      <c r="C9639" s="5">
        <v>167.22981977914236</v>
      </c>
      <c r="D9639" s="45"/>
    </row>
    <row r="9640" spans="2:4" ht="16" thickBot="1" x14ac:dyDescent="0.25">
      <c r="B9640" s="4">
        <v>9635</v>
      </c>
      <c r="C9640" s="4">
        <v>203.07606375531569</v>
      </c>
      <c r="D9640" s="45"/>
    </row>
    <row r="9641" spans="2:4" ht="16" thickBot="1" x14ac:dyDescent="0.25">
      <c r="B9641" s="5">
        <v>9636</v>
      </c>
      <c r="C9641" s="5">
        <v>98.842266425471692</v>
      </c>
      <c r="D9641" s="45"/>
    </row>
    <row r="9642" spans="2:4" ht="16" thickBot="1" x14ac:dyDescent="0.25">
      <c r="B9642" s="4">
        <v>9637</v>
      </c>
      <c r="C9642" s="4">
        <v>81.421664699347332</v>
      </c>
      <c r="D9642" s="45"/>
    </row>
    <row r="9643" spans="2:4" ht="16" thickBot="1" x14ac:dyDescent="0.25">
      <c r="B9643" s="5">
        <v>9638</v>
      </c>
      <c r="C9643" s="5">
        <v>287.03593843727668</v>
      </c>
      <c r="D9643" s="45"/>
    </row>
    <row r="9644" spans="2:4" ht="16" thickBot="1" x14ac:dyDescent="0.25">
      <c r="B9644" s="4">
        <v>9639</v>
      </c>
      <c r="C9644" s="4">
        <v>117.94865914927907</v>
      </c>
      <c r="D9644" s="45"/>
    </row>
    <row r="9645" spans="2:4" ht="16" thickBot="1" x14ac:dyDescent="0.25">
      <c r="B9645" s="5">
        <v>9640</v>
      </c>
      <c r="C9645" s="5">
        <v>118.75567997757548</v>
      </c>
      <c r="D9645" s="45"/>
    </row>
    <row r="9646" spans="2:4" ht="16" thickBot="1" x14ac:dyDescent="0.25">
      <c r="B9646" s="4">
        <v>9641</v>
      </c>
      <c r="C9646" s="4">
        <v>156.58683236712616</v>
      </c>
      <c r="D9646" s="45"/>
    </row>
    <row r="9647" spans="2:4" ht="16" thickBot="1" x14ac:dyDescent="0.25">
      <c r="B9647" s="5">
        <v>9642</v>
      </c>
      <c r="C9647" s="5">
        <v>77.550865149606722</v>
      </c>
      <c r="D9647" s="45"/>
    </row>
    <row r="9648" spans="2:4" ht="16" thickBot="1" x14ac:dyDescent="0.25">
      <c r="B9648" s="4">
        <v>9643</v>
      </c>
      <c r="C9648" s="4">
        <v>166.0886315166932</v>
      </c>
      <c r="D9648" s="45"/>
    </row>
    <row r="9649" spans="2:4" ht="16" thickBot="1" x14ac:dyDescent="0.25">
      <c r="B9649" s="5">
        <v>9644</v>
      </c>
      <c r="C9649" s="5">
        <v>76.549166253738164</v>
      </c>
      <c r="D9649" s="45"/>
    </row>
    <row r="9650" spans="2:4" ht="16" thickBot="1" x14ac:dyDescent="0.25">
      <c r="B9650" s="4">
        <v>9645</v>
      </c>
      <c r="C9650" s="4">
        <v>140.2367563513663</v>
      </c>
      <c r="D9650" s="45"/>
    </row>
    <row r="9651" spans="2:4" ht="16" thickBot="1" x14ac:dyDescent="0.25">
      <c r="B9651" s="5">
        <v>9646</v>
      </c>
      <c r="C9651" s="5">
        <v>298.97212167885505</v>
      </c>
      <c r="D9651" s="45"/>
    </row>
    <row r="9652" spans="2:4" ht="16" thickBot="1" x14ac:dyDescent="0.25">
      <c r="B9652" s="4">
        <v>9647</v>
      </c>
      <c r="C9652" s="4">
        <v>112.69031477766376</v>
      </c>
      <c r="D9652" s="45"/>
    </row>
    <row r="9653" spans="2:4" ht="16" thickBot="1" x14ac:dyDescent="0.25">
      <c r="B9653" s="5">
        <v>9648</v>
      </c>
      <c r="C9653" s="5">
        <v>157.56864430631418</v>
      </c>
      <c r="D9653" s="45"/>
    </row>
    <row r="9654" spans="2:4" ht="16" thickBot="1" x14ac:dyDescent="0.25">
      <c r="B9654" s="4">
        <v>9649</v>
      </c>
      <c r="C9654" s="4">
        <v>192.3728285199515</v>
      </c>
      <c r="D9654" s="45"/>
    </row>
    <row r="9655" spans="2:4" ht="16" thickBot="1" x14ac:dyDescent="0.25">
      <c r="B9655" s="5">
        <v>9650</v>
      </c>
      <c r="C9655" s="5">
        <v>135.29465915340472</v>
      </c>
      <c r="D9655" s="45"/>
    </row>
    <row r="9656" spans="2:4" ht="16" thickBot="1" x14ac:dyDescent="0.25">
      <c r="B9656" s="4">
        <v>9651</v>
      </c>
      <c r="C9656" s="4">
        <v>97.708542488180299</v>
      </c>
      <c r="D9656" s="45"/>
    </row>
    <row r="9657" spans="2:4" ht="16" thickBot="1" x14ac:dyDescent="0.25">
      <c r="B9657" s="5">
        <v>9652</v>
      </c>
      <c r="C9657" s="5">
        <v>91.528640265382649</v>
      </c>
      <c r="D9657" s="45"/>
    </row>
    <row r="9658" spans="2:4" ht="16" thickBot="1" x14ac:dyDescent="0.25">
      <c r="B9658" s="4">
        <v>9653</v>
      </c>
      <c r="C9658" s="4">
        <v>104.36083328992643</v>
      </c>
      <c r="D9658" s="45"/>
    </row>
    <row r="9659" spans="2:4" ht="16" thickBot="1" x14ac:dyDescent="0.25">
      <c r="B9659" s="5">
        <v>9654</v>
      </c>
      <c r="C9659" s="5">
        <v>185.54078338363354</v>
      </c>
      <c r="D9659" s="45"/>
    </row>
    <row r="9660" spans="2:4" ht="16" thickBot="1" x14ac:dyDescent="0.25">
      <c r="B9660" s="4">
        <v>9655</v>
      </c>
      <c r="C9660" s="4">
        <v>153.45440845340752</v>
      </c>
      <c r="D9660" s="45"/>
    </row>
    <row r="9661" spans="2:4" ht="16" thickBot="1" x14ac:dyDescent="0.25">
      <c r="B9661" s="5">
        <v>9656</v>
      </c>
      <c r="C9661" s="5">
        <v>192.15685735847597</v>
      </c>
      <c r="D9661" s="45"/>
    </row>
    <row r="9662" spans="2:4" ht="16" thickBot="1" x14ac:dyDescent="0.25">
      <c r="B9662" s="4">
        <v>9657</v>
      </c>
      <c r="C9662" s="4">
        <v>201.84008507932461</v>
      </c>
      <c r="D9662" s="45"/>
    </row>
    <row r="9663" spans="2:4" ht="16" thickBot="1" x14ac:dyDescent="0.25">
      <c r="B9663" s="5">
        <v>9658</v>
      </c>
      <c r="C9663" s="5">
        <v>188.49072928601746</v>
      </c>
      <c r="D9663" s="45"/>
    </row>
    <row r="9664" spans="2:4" ht="16" thickBot="1" x14ac:dyDescent="0.25">
      <c r="B9664" s="4">
        <v>9659</v>
      </c>
      <c r="C9664" s="4">
        <v>181.9553873912443</v>
      </c>
      <c r="D9664" s="45"/>
    </row>
    <row r="9665" spans="2:4" ht="16" thickBot="1" x14ac:dyDescent="0.25">
      <c r="B9665" s="5">
        <v>9660</v>
      </c>
      <c r="C9665" s="5">
        <v>78.740190274273772</v>
      </c>
      <c r="D9665" s="45"/>
    </row>
    <row r="9666" spans="2:4" ht="16" thickBot="1" x14ac:dyDescent="0.25">
      <c r="B9666" s="4">
        <v>9661</v>
      </c>
      <c r="C9666" s="4">
        <v>226.62429059983526</v>
      </c>
      <c r="D9666" s="45"/>
    </row>
    <row r="9667" spans="2:4" ht="16" thickBot="1" x14ac:dyDescent="0.25">
      <c r="B9667" s="5">
        <v>9662</v>
      </c>
      <c r="C9667" s="5">
        <v>289.31740429409359</v>
      </c>
      <c r="D9667" s="45"/>
    </row>
    <row r="9668" spans="2:4" ht="16" thickBot="1" x14ac:dyDescent="0.25">
      <c r="B9668" s="4">
        <v>9663</v>
      </c>
      <c r="C9668" s="4">
        <v>190.54666835429805</v>
      </c>
      <c r="D9668" s="45"/>
    </row>
    <row r="9669" spans="2:4" ht="16" thickBot="1" x14ac:dyDescent="0.25">
      <c r="B9669" s="5">
        <v>9664</v>
      </c>
      <c r="C9669" s="5">
        <v>293.964274396598</v>
      </c>
      <c r="D9669" s="45"/>
    </row>
    <row r="9670" spans="2:4" ht="16" thickBot="1" x14ac:dyDescent="0.25">
      <c r="B9670" s="4">
        <v>9665</v>
      </c>
      <c r="C9670" s="4">
        <v>151.71076157812524</v>
      </c>
      <c r="D9670" s="45"/>
    </row>
    <row r="9671" spans="2:4" ht="16" thickBot="1" x14ac:dyDescent="0.25">
      <c r="B9671" s="5">
        <v>9666</v>
      </c>
      <c r="C9671" s="5">
        <v>168.44161345295367</v>
      </c>
      <c r="D9671" s="45"/>
    </row>
    <row r="9672" spans="2:4" ht="16" thickBot="1" x14ac:dyDescent="0.25">
      <c r="B9672" s="4">
        <v>9667</v>
      </c>
      <c r="C9672" s="4">
        <v>236.49379545951118</v>
      </c>
      <c r="D9672" s="45"/>
    </row>
    <row r="9673" spans="2:4" ht="16" thickBot="1" x14ac:dyDescent="0.25">
      <c r="B9673" s="5">
        <v>9668</v>
      </c>
      <c r="C9673" s="5">
        <v>71.26961929361444</v>
      </c>
      <c r="D9673" s="45"/>
    </row>
    <row r="9674" spans="2:4" ht="16" thickBot="1" x14ac:dyDescent="0.25">
      <c r="B9674" s="4">
        <v>9669</v>
      </c>
      <c r="C9674" s="4">
        <v>206.89189211463008</v>
      </c>
      <c r="D9674" s="45"/>
    </row>
    <row r="9675" spans="2:4" ht="16" thickBot="1" x14ac:dyDescent="0.25">
      <c r="B9675" s="5">
        <v>9670</v>
      </c>
      <c r="C9675" s="5">
        <v>160.61894598807061</v>
      </c>
      <c r="D9675" s="45"/>
    </row>
    <row r="9676" spans="2:4" ht="16" thickBot="1" x14ac:dyDescent="0.25">
      <c r="B9676" s="4">
        <v>9671</v>
      </c>
      <c r="C9676" s="4">
        <v>317.99086029712822</v>
      </c>
      <c r="D9676" s="45"/>
    </row>
    <row r="9677" spans="2:4" ht="16" thickBot="1" x14ac:dyDescent="0.25">
      <c r="B9677" s="5">
        <v>9672</v>
      </c>
      <c r="C9677" s="5">
        <v>222.60407824704279</v>
      </c>
      <c r="D9677" s="45"/>
    </row>
    <row r="9678" spans="2:4" ht="16" thickBot="1" x14ac:dyDescent="0.25">
      <c r="B9678" s="4">
        <v>9673</v>
      </c>
      <c r="C9678" s="4">
        <v>116.01746242720449</v>
      </c>
      <c r="D9678" s="45"/>
    </row>
    <row r="9679" spans="2:4" ht="16" thickBot="1" x14ac:dyDescent="0.25">
      <c r="B9679" s="5">
        <v>9674</v>
      </c>
      <c r="C9679" s="5">
        <v>172.97611500895997</v>
      </c>
      <c r="D9679" s="45"/>
    </row>
    <row r="9680" spans="2:4" ht="16" thickBot="1" x14ac:dyDescent="0.25">
      <c r="B9680" s="4">
        <v>9675</v>
      </c>
      <c r="C9680" s="4">
        <v>139.86953247445842</v>
      </c>
      <c r="D9680" s="45"/>
    </row>
    <row r="9681" spans="2:4" ht="16" thickBot="1" x14ac:dyDescent="0.25">
      <c r="B9681" s="5">
        <v>9676</v>
      </c>
      <c r="C9681" s="5">
        <v>117.24960540728915</v>
      </c>
      <c r="D9681" s="45"/>
    </row>
    <row r="9682" spans="2:4" ht="16" thickBot="1" x14ac:dyDescent="0.25">
      <c r="B9682" s="4">
        <v>9677</v>
      </c>
      <c r="C9682" s="4">
        <v>100.01262467810473</v>
      </c>
      <c r="D9682" s="45"/>
    </row>
    <row r="9683" spans="2:4" ht="16" thickBot="1" x14ac:dyDescent="0.25">
      <c r="B9683" s="5">
        <v>9678</v>
      </c>
      <c r="C9683" s="5">
        <v>138.54281373174817</v>
      </c>
      <c r="D9683" s="45"/>
    </row>
    <row r="9684" spans="2:4" ht="16" thickBot="1" x14ac:dyDescent="0.25">
      <c r="B9684" s="4">
        <v>9679</v>
      </c>
      <c r="C9684" s="4">
        <v>342.97497224699003</v>
      </c>
      <c r="D9684" s="45"/>
    </row>
    <row r="9685" spans="2:4" ht="16" thickBot="1" x14ac:dyDescent="0.25">
      <c r="B9685" s="5">
        <v>9680</v>
      </c>
      <c r="C9685" s="5">
        <v>143.36288334577168</v>
      </c>
      <c r="D9685" s="45"/>
    </row>
    <row r="9686" spans="2:4" ht="16" thickBot="1" x14ac:dyDescent="0.25">
      <c r="B9686" s="4">
        <v>9681</v>
      </c>
      <c r="C9686" s="4">
        <v>120.01531409169846</v>
      </c>
      <c r="D9686" s="45"/>
    </row>
    <row r="9687" spans="2:4" ht="16" thickBot="1" x14ac:dyDescent="0.25">
      <c r="B9687" s="5">
        <v>9682</v>
      </c>
      <c r="C9687" s="5">
        <v>109.01851626517299</v>
      </c>
      <c r="D9687" s="45"/>
    </row>
    <row r="9688" spans="2:4" ht="16" thickBot="1" x14ac:dyDescent="0.25">
      <c r="B9688" s="4">
        <v>9683</v>
      </c>
      <c r="C9688" s="4">
        <v>74.803549155758404</v>
      </c>
      <c r="D9688" s="45"/>
    </row>
    <row r="9689" spans="2:4" ht="16" thickBot="1" x14ac:dyDescent="0.25">
      <c r="B9689" s="5">
        <v>9684</v>
      </c>
      <c r="C9689" s="5">
        <v>115.55588420621223</v>
      </c>
      <c r="D9689" s="45"/>
    </row>
    <row r="9690" spans="2:4" ht="16" thickBot="1" x14ac:dyDescent="0.25">
      <c r="B9690" s="4">
        <v>9685</v>
      </c>
      <c r="C9690" s="4">
        <v>181.89146492286866</v>
      </c>
      <c r="D9690" s="45"/>
    </row>
    <row r="9691" spans="2:4" ht="16" thickBot="1" x14ac:dyDescent="0.25">
      <c r="B9691" s="5">
        <v>9686</v>
      </c>
      <c r="C9691" s="5">
        <v>102.97066866988183</v>
      </c>
      <c r="D9691" s="45"/>
    </row>
    <row r="9692" spans="2:4" ht="16" thickBot="1" x14ac:dyDescent="0.25">
      <c r="B9692" s="4">
        <v>9687</v>
      </c>
      <c r="C9692" s="4">
        <v>72.271875576191349</v>
      </c>
      <c r="D9692" s="45"/>
    </row>
    <row r="9693" spans="2:4" ht="16" thickBot="1" x14ac:dyDescent="0.25">
      <c r="B9693" s="5">
        <v>9688</v>
      </c>
      <c r="C9693" s="5">
        <v>130.11919569396167</v>
      </c>
      <c r="D9693" s="45"/>
    </row>
    <row r="9694" spans="2:4" ht="16" thickBot="1" x14ac:dyDescent="0.25">
      <c r="B9694" s="4">
        <v>9689</v>
      </c>
      <c r="C9694" s="4">
        <v>166.72232954480071</v>
      </c>
      <c r="D9694" s="45"/>
    </row>
    <row r="9695" spans="2:4" ht="16" thickBot="1" x14ac:dyDescent="0.25">
      <c r="B9695" s="5">
        <v>9690</v>
      </c>
      <c r="C9695" s="5">
        <v>60.73687147172889</v>
      </c>
      <c r="D9695" s="45"/>
    </row>
    <row r="9696" spans="2:4" ht="16" thickBot="1" x14ac:dyDescent="0.25">
      <c r="B9696" s="4">
        <v>9691</v>
      </c>
      <c r="C9696" s="4">
        <v>129.68036944950092</v>
      </c>
      <c r="D9696" s="45"/>
    </row>
    <row r="9697" spans="2:4" ht="16" thickBot="1" x14ac:dyDescent="0.25">
      <c r="B9697" s="5">
        <v>9692</v>
      </c>
      <c r="C9697" s="5">
        <v>363.56084235294941</v>
      </c>
      <c r="D9697" s="45"/>
    </row>
    <row r="9698" spans="2:4" ht="16" thickBot="1" x14ac:dyDescent="0.25">
      <c r="B9698" s="4">
        <v>9693</v>
      </c>
      <c r="C9698" s="4">
        <v>219.63068513656526</v>
      </c>
      <c r="D9698" s="45"/>
    </row>
    <row r="9699" spans="2:4" ht="16" thickBot="1" x14ac:dyDescent="0.25">
      <c r="B9699" s="5">
        <v>9694</v>
      </c>
      <c r="C9699" s="5">
        <v>153.42782059260477</v>
      </c>
      <c r="D9699" s="45"/>
    </row>
    <row r="9700" spans="2:4" ht="16" thickBot="1" x14ac:dyDescent="0.25">
      <c r="B9700" s="4">
        <v>9695</v>
      </c>
      <c r="C9700" s="4">
        <v>223.08593731671883</v>
      </c>
      <c r="D9700" s="45"/>
    </row>
    <row r="9701" spans="2:4" ht="16" thickBot="1" x14ac:dyDescent="0.25">
      <c r="B9701" s="5">
        <v>9696</v>
      </c>
      <c r="C9701" s="5">
        <v>149.65365819054563</v>
      </c>
      <c r="D9701" s="45"/>
    </row>
    <row r="9702" spans="2:4" ht="16" thickBot="1" x14ac:dyDescent="0.25">
      <c r="B9702" s="4">
        <v>9697</v>
      </c>
      <c r="C9702" s="4">
        <v>176.49018926714641</v>
      </c>
      <c r="D9702" s="45"/>
    </row>
    <row r="9703" spans="2:4" ht="16" thickBot="1" x14ac:dyDescent="0.25">
      <c r="B9703" s="5">
        <v>9698</v>
      </c>
      <c r="C9703" s="5">
        <v>239.19664336969018</v>
      </c>
      <c r="D9703" s="45"/>
    </row>
    <row r="9704" spans="2:4" ht="16" thickBot="1" x14ac:dyDescent="0.25">
      <c r="B9704" s="4">
        <v>9699</v>
      </c>
      <c r="C9704" s="4">
        <v>147.34077645442432</v>
      </c>
      <c r="D9704" s="45"/>
    </row>
    <row r="9705" spans="2:4" ht="16" thickBot="1" x14ac:dyDescent="0.25">
      <c r="B9705" s="5">
        <v>9700</v>
      </c>
      <c r="C9705" s="5">
        <v>121.33904247926699</v>
      </c>
      <c r="D9705" s="45"/>
    </row>
    <row r="9706" spans="2:4" ht="16" thickBot="1" x14ac:dyDescent="0.25">
      <c r="B9706" s="4">
        <v>9701</v>
      </c>
      <c r="C9706" s="4">
        <v>151.92093409890026</v>
      </c>
      <c r="D9706" s="45"/>
    </row>
    <row r="9707" spans="2:4" ht="16" thickBot="1" x14ac:dyDescent="0.25">
      <c r="B9707" s="5">
        <v>9702</v>
      </c>
      <c r="C9707" s="5">
        <v>112.96691561997754</v>
      </c>
      <c r="D9707" s="45"/>
    </row>
    <row r="9708" spans="2:4" ht="16" thickBot="1" x14ac:dyDescent="0.25">
      <c r="B9708" s="4">
        <v>9703</v>
      </c>
      <c r="C9708" s="4">
        <v>142.3267176151848</v>
      </c>
      <c r="D9708" s="45"/>
    </row>
    <row r="9709" spans="2:4" ht="16" thickBot="1" x14ac:dyDescent="0.25">
      <c r="B9709" s="5">
        <v>9704</v>
      </c>
      <c r="C9709" s="5">
        <v>129.59076090758401</v>
      </c>
      <c r="D9709" s="45"/>
    </row>
    <row r="9710" spans="2:4" ht="16" thickBot="1" x14ac:dyDescent="0.25">
      <c r="B9710" s="4">
        <v>9705</v>
      </c>
      <c r="C9710" s="4">
        <v>128.31507647941703</v>
      </c>
      <c r="D9710" s="45"/>
    </row>
    <row r="9711" spans="2:4" ht="16" thickBot="1" x14ac:dyDescent="0.25">
      <c r="B9711" s="5">
        <v>9706</v>
      </c>
      <c r="C9711" s="5">
        <v>173.13948232989836</v>
      </c>
      <c r="D9711" s="45"/>
    </row>
    <row r="9712" spans="2:4" ht="16" thickBot="1" x14ac:dyDescent="0.25">
      <c r="B9712" s="4">
        <v>9707</v>
      </c>
      <c r="C9712" s="4">
        <v>112.02005911105653</v>
      </c>
      <c r="D9712" s="45"/>
    </row>
    <row r="9713" spans="2:4" ht="16" thickBot="1" x14ac:dyDescent="0.25">
      <c r="B9713" s="5">
        <v>9708</v>
      </c>
      <c r="C9713" s="5">
        <v>109.4204814752468</v>
      </c>
      <c r="D9713" s="45"/>
    </row>
    <row r="9714" spans="2:4" ht="16" thickBot="1" x14ac:dyDescent="0.25">
      <c r="B9714" s="4">
        <v>9709</v>
      </c>
      <c r="C9714" s="4">
        <v>262.04129629945743</v>
      </c>
      <c r="D9714" s="45"/>
    </row>
    <row r="9715" spans="2:4" ht="16" thickBot="1" x14ac:dyDescent="0.25">
      <c r="B9715" s="5">
        <v>9710</v>
      </c>
      <c r="C9715" s="5">
        <v>169.68553437273573</v>
      </c>
      <c r="D9715" s="45"/>
    </row>
    <row r="9716" spans="2:4" ht="16" thickBot="1" x14ac:dyDescent="0.25">
      <c r="B9716" s="4">
        <v>9711</v>
      </c>
      <c r="C9716" s="4">
        <v>95.548674753624553</v>
      </c>
      <c r="D9716" s="45"/>
    </row>
    <row r="9717" spans="2:4" ht="16" thickBot="1" x14ac:dyDescent="0.25">
      <c r="B9717" s="5">
        <v>9712</v>
      </c>
      <c r="C9717" s="5">
        <v>350.06930361389078</v>
      </c>
      <c r="D9717" s="45"/>
    </row>
    <row r="9718" spans="2:4" ht="16" thickBot="1" x14ac:dyDescent="0.25">
      <c r="B9718" s="4">
        <v>9713</v>
      </c>
      <c r="C9718" s="4">
        <v>112.77022805910302</v>
      </c>
      <c r="D9718" s="45"/>
    </row>
    <row r="9719" spans="2:4" ht="16" thickBot="1" x14ac:dyDescent="0.25">
      <c r="B9719" s="5">
        <v>9714</v>
      </c>
      <c r="C9719" s="5">
        <v>152.02460540366027</v>
      </c>
      <c r="D9719" s="45"/>
    </row>
    <row r="9720" spans="2:4" ht="16" thickBot="1" x14ac:dyDescent="0.25">
      <c r="B9720" s="4">
        <v>9715</v>
      </c>
      <c r="C9720" s="4">
        <v>658.30705243170132</v>
      </c>
      <c r="D9720" s="45"/>
    </row>
    <row r="9721" spans="2:4" ht="16" thickBot="1" x14ac:dyDescent="0.25">
      <c r="B9721" s="5">
        <v>9716</v>
      </c>
      <c r="C9721" s="5">
        <v>482.68560265657914</v>
      </c>
      <c r="D9721" s="45"/>
    </row>
    <row r="9722" spans="2:4" ht="16" thickBot="1" x14ac:dyDescent="0.25">
      <c r="B9722" s="4">
        <v>9717</v>
      </c>
      <c r="C9722" s="4">
        <v>194.29040836139279</v>
      </c>
      <c r="D9722" s="45"/>
    </row>
    <row r="9723" spans="2:4" ht="16" thickBot="1" x14ac:dyDescent="0.25">
      <c r="B9723" s="5">
        <v>9718</v>
      </c>
      <c r="C9723" s="5">
        <v>314.2947350017979</v>
      </c>
      <c r="D9723" s="45"/>
    </row>
    <row r="9724" spans="2:4" ht="16" thickBot="1" x14ac:dyDescent="0.25">
      <c r="B9724" s="4">
        <v>9719</v>
      </c>
      <c r="C9724" s="4">
        <v>166.50023088788043</v>
      </c>
      <c r="D9724" s="45"/>
    </row>
    <row r="9725" spans="2:4" ht="16" thickBot="1" x14ac:dyDescent="0.25">
      <c r="B9725" s="5">
        <v>9720</v>
      </c>
      <c r="C9725" s="5">
        <v>110.76887218527285</v>
      </c>
      <c r="D9725" s="45"/>
    </row>
    <row r="9726" spans="2:4" ht="16" thickBot="1" x14ac:dyDescent="0.25">
      <c r="B9726" s="4">
        <v>9721</v>
      </c>
      <c r="C9726" s="4">
        <v>143.45676855011484</v>
      </c>
      <c r="D9726" s="45"/>
    </row>
    <row r="9727" spans="2:4" ht="16" thickBot="1" x14ac:dyDescent="0.25">
      <c r="B9727" s="5">
        <v>9722</v>
      </c>
      <c r="C9727" s="5">
        <v>167.45943275078957</v>
      </c>
      <c r="D9727" s="45"/>
    </row>
    <row r="9728" spans="2:4" ht="16" thickBot="1" x14ac:dyDescent="0.25">
      <c r="B9728" s="4">
        <v>9723</v>
      </c>
      <c r="C9728" s="4">
        <v>108.99205515112762</v>
      </c>
      <c r="D9728" s="45"/>
    </row>
    <row r="9729" spans="2:4" ht="16" thickBot="1" x14ac:dyDescent="0.25">
      <c r="B9729" s="5">
        <v>9724</v>
      </c>
      <c r="C9729" s="5">
        <v>55.20839748518501</v>
      </c>
      <c r="D9729" s="45"/>
    </row>
    <row r="9730" spans="2:4" ht="16" thickBot="1" x14ac:dyDescent="0.25">
      <c r="B9730" s="4">
        <v>9725</v>
      </c>
      <c r="C9730" s="4">
        <v>179.30409083270916</v>
      </c>
      <c r="D9730" s="45"/>
    </row>
    <row r="9731" spans="2:4" ht="16" thickBot="1" x14ac:dyDescent="0.25">
      <c r="B9731" s="5">
        <v>9726</v>
      </c>
      <c r="C9731" s="5">
        <v>277.89377756912916</v>
      </c>
      <c r="D9731" s="45"/>
    </row>
    <row r="9732" spans="2:4" ht="16" thickBot="1" x14ac:dyDescent="0.25">
      <c r="B9732" s="4">
        <v>9727</v>
      </c>
      <c r="C9732" s="4">
        <v>226.45194487341695</v>
      </c>
      <c r="D9732" s="45"/>
    </row>
    <row r="9733" spans="2:4" ht="16" thickBot="1" x14ac:dyDescent="0.25">
      <c r="B9733" s="5">
        <v>9728</v>
      </c>
      <c r="C9733" s="5">
        <v>215.02036222508923</v>
      </c>
      <c r="D9733" s="45"/>
    </row>
    <row r="9734" spans="2:4" ht="16" thickBot="1" x14ac:dyDescent="0.25">
      <c r="B9734" s="4">
        <v>9729</v>
      </c>
      <c r="C9734" s="4">
        <v>86.423882906543156</v>
      </c>
      <c r="D9734" s="45"/>
    </row>
    <row r="9735" spans="2:4" ht="16" thickBot="1" x14ac:dyDescent="0.25">
      <c r="B9735" s="5">
        <v>9730</v>
      </c>
      <c r="C9735" s="5">
        <v>102.91748396569547</v>
      </c>
      <c r="D9735" s="45"/>
    </row>
    <row r="9736" spans="2:4" ht="16" thickBot="1" x14ac:dyDescent="0.25">
      <c r="B9736" s="4">
        <v>9731</v>
      </c>
      <c r="C9736" s="4">
        <v>328.85129630590694</v>
      </c>
      <c r="D9736" s="45"/>
    </row>
    <row r="9737" spans="2:4" ht="16" thickBot="1" x14ac:dyDescent="0.25">
      <c r="B9737" s="5">
        <v>9732</v>
      </c>
      <c r="C9737" s="5">
        <v>195.82134730312143</v>
      </c>
      <c r="D9737" s="45"/>
    </row>
    <row r="9738" spans="2:4" ht="16" thickBot="1" x14ac:dyDescent="0.25">
      <c r="B9738" s="4">
        <v>9733</v>
      </c>
      <c r="C9738" s="4">
        <v>75.091818113260643</v>
      </c>
      <c r="D9738" s="45"/>
    </row>
    <row r="9739" spans="2:4" ht="16" thickBot="1" x14ac:dyDescent="0.25">
      <c r="B9739" s="5">
        <v>9734</v>
      </c>
      <c r="C9739" s="5">
        <v>123.86451721709624</v>
      </c>
      <c r="D9739" s="45"/>
    </row>
    <row r="9740" spans="2:4" ht="16" thickBot="1" x14ac:dyDescent="0.25">
      <c r="B9740" s="4">
        <v>9735</v>
      </c>
      <c r="C9740" s="4">
        <v>132.2909960562088</v>
      </c>
      <c r="D9740" s="45"/>
    </row>
    <row r="9741" spans="2:4" ht="16" thickBot="1" x14ac:dyDescent="0.25">
      <c r="B9741" s="5">
        <v>9736</v>
      </c>
      <c r="C9741" s="5">
        <v>79.903987629061547</v>
      </c>
      <c r="D9741" s="45"/>
    </row>
    <row r="9742" spans="2:4" ht="16" thickBot="1" x14ac:dyDescent="0.25">
      <c r="B9742" s="4">
        <v>9737</v>
      </c>
      <c r="C9742" s="4">
        <v>94.165666531595406</v>
      </c>
      <c r="D9742" s="45"/>
    </row>
    <row r="9743" spans="2:4" ht="16" thickBot="1" x14ac:dyDescent="0.25">
      <c r="B9743" s="5">
        <v>9738</v>
      </c>
      <c r="C9743" s="5">
        <v>158.34793059455336</v>
      </c>
      <c r="D9743" s="45"/>
    </row>
    <row r="9744" spans="2:4" ht="16" thickBot="1" x14ac:dyDescent="0.25">
      <c r="B9744" s="4">
        <v>9739</v>
      </c>
      <c r="C9744" s="4">
        <v>109.02792750516625</v>
      </c>
      <c r="D9744" s="45"/>
    </row>
    <row r="9745" spans="2:4" ht="16" thickBot="1" x14ac:dyDescent="0.25">
      <c r="B9745" s="5">
        <v>9740</v>
      </c>
      <c r="C9745" s="5">
        <v>119.79474076233431</v>
      </c>
      <c r="D9745" s="45"/>
    </row>
    <row r="9746" spans="2:4" ht="16" thickBot="1" x14ac:dyDescent="0.25">
      <c r="B9746" s="4">
        <v>9741</v>
      </c>
      <c r="C9746" s="4">
        <v>116.74641558211006</v>
      </c>
      <c r="D9746" s="45"/>
    </row>
    <row r="9747" spans="2:4" ht="16" thickBot="1" x14ac:dyDescent="0.25">
      <c r="B9747" s="5">
        <v>9742</v>
      </c>
      <c r="C9747" s="5">
        <v>102.9880448733004</v>
      </c>
      <c r="D9747" s="45"/>
    </row>
    <row r="9748" spans="2:4" ht="16" thickBot="1" x14ac:dyDescent="0.25">
      <c r="B9748" s="4">
        <v>9743</v>
      </c>
      <c r="C9748" s="4">
        <v>57.41607693165097</v>
      </c>
      <c r="D9748" s="45"/>
    </row>
    <row r="9749" spans="2:4" ht="16" thickBot="1" x14ac:dyDescent="0.25">
      <c r="B9749" s="5">
        <v>9744</v>
      </c>
      <c r="C9749" s="5">
        <v>109.28735095708092</v>
      </c>
      <c r="D9749" s="45"/>
    </row>
    <row r="9750" spans="2:4" ht="16" thickBot="1" x14ac:dyDescent="0.25">
      <c r="B9750" s="4">
        <v>9745</v>
      </c>
      <c r="C9750" s="4">
        <v>118.77754421004425</v>
      </c>
      <c r="D9750" s="45"/>
    </row>
    <row r="9751" spans="2:4" ht="16" thickBot="1" x14ac:dyDescent="0.25">
      <c r="B9751" s="5">
        <v>9746</v>
      </c>
      <c r="C9751" s="5">
        <v>161.6907516260018</v>
      </c>
      <c r="D9751" s="45"/>
    </row>
    <row r="9752" spans="2:4" ht="16" thickBot="1" x14ac:dyDescent="0.25">
      <c r="B9752" s="4">
        <v>9747</v>
      </c>
      <c r="C9752" s="4">
        <v>230.45125291249198</v>
      </c>
      <c r="D9752" s="45"/>
    </row>
    <row r="9753" spans="2:4" ht="16" thickBot="1" x14ac:dyDescent="0.25">
      <c r="B9753" s="5">
        <v>9748</v>
      </c>
      <c r="C9753" s="5">
        <v>172.86552837228541</v>
      </c>
      <c r="D9753" s="45"/>
    </row>
    <row r="9754" spans="2:4" ht="16" thickBot="1" x14ac:dyDescent="0.25">
      <c r="B9754" s="4">
        <v>9749</v>
      </c>
      <c r="C9754" s="4">
        <v>123.87382677863049</v>
      </c>
      <c r="D9754" s="45"/>
    </row>
    <row r="9755" spans="2:4" ht="16" thickBot="1" x14ac:dyDescent="0.25">
      <c r="B9755" s="5">
        <v>9750</v>
      </c>
      <c r="C9755" s="5">
        <v>99.815051390060532</v>
      </c>
      <c r="D9755" s="45"/>
    </row>
    <row r="9756" spans="2:4" ht="16" thickBot="1" x14ac:dyDescent="0.25">
      <c r="B9756" s="4">
        <v>9751</v>
      </c>
      <c r="C9756" s="4">
        <v>54.064110162878471</v>
      </c>
      <c r="D9756" s="45"/>
    </row>
    <row r="9757" spans="2:4" ht="16" thickBot="1" x14ac:dyDescent="0.25">
      <c r="B9757" s="5">
        <v>9752</v>
      </c>
      <c r="C9757" s="5">
        <v>100.12428407566408</v>
      </c>
      <c r="D9757" s="45"/>
    </row>
    <row r="9758" spans="2:4" ht="16" thickBot="1" x14ac:dyDescent="0.25">
      <c r="B9758" s="4">
        <v>9753</v>
      </c>
      <c r="C9758" s="4">
        <v>108.18164838725367</v>
      </c>
      <c r="D9758" s="45"/>
    </row>
    <row r="9759" spans="2:4" ht="16" thickBot="1" x14ac:dyDescent="0.25">
      <c r="B9759" s="5">
        <v>9754</v>
      </c>
      <c r="C9759" s="5">
        <v>280.71425265978286</v>
      </c>
      <c r="D9759" s="45"/>
    </row>
    <row r="9760" spans="2:4" ht="16" thickBot="1" x14ac:dyDescent="0.25">
      <c r="B9760" s="4">
        <v>9755</v>
      </c>
      <c r="C9760" s="4">
        <v>252.48406802570619</v>
      </c>
      <c r="D9760" s="45"/>
    </row>
    <row r="9761" spans="2:4" ht="16" thickBot="1" x14ac:dyDescent="0.25">
      <c r="B9761" s="5">
        <v>9756</v>
      </c>
      <c r="C9761" s="5">
        <v>281.99990986933858</v>
      </c>
      <c r="D9761" s="45"/>
    </row>
    <row r="9762" spans="2:4" ht="16" thickBot="1" x14ac:dyDescent="0.25">
      <c r="B9762" s="4">
        <v>9757</v>
      </c>
      <c r="C9762" s="4">
        <v>99.760986434037093</v>
      </c>
      <c r="D9762" s="45"/>
    </row>
    <row r="9763" spans="2:4" ht="16" thickBot="1" x14ac:dyDescent="0.25">
      <c r="B9763" s="5">
        <v>9758</v>
      </c>
      <c r="C9763" s="5">
        <v>149.56291651910769</v>
      </c>
      <c r="D9763" s="45"/>
    </row>
    <row r="9764" spans="2:4" ht="16" thickBot="1" x14ac:dyDescent="0.25">
      <c r="B9764" s="4">
        <v>9759</v>
      </c>
      <c r="C9764" s="4">
        <v>291.36114180133359</v>
      </c>
      <c r="D9764" s="45"/>
    </row>
    <row r="9765" spans="2:4" ht="16" thickBot="1" x14ac:dyDescent="0.25">
      <c r="B9765" s="5">
        <v>9760</v>
      </c>
      <c r="C9765" s="5">
        <v>301.25588110451082</v>
      </c>
      <c r="D9765" s="45"/>
    </row>
    <row r="9766" spans="2:4" ht="16" thickBot="1" x14ac:dyDescent="0.25">
      <c r="B9766" s="4">
        <v>9761</v>
      </c>
      <c r="C9766" s="4">
        <v>172.17228396981918</v>
      </c>
      <c r="D9766" s="45"/>
    </row>
    <row r="9767" spans="2:4" ht="16" thickBot="1" x14ac:dyDescent="0.25">
      <c r="B9767" s="5">
        <v>9762</v>
      </c>
      <c r="C9767" s="5">
        <v>53.767941747749319</v>
      </c>
      <c r="D9767" s="45"/>
    </row>
    <row r="9768" spans="2:4" ht="16" thickBot="1" x14ac:dyDescent="0.25">
      <c r="B9768" s="4">
        <v>9763</v>
      </c>
      <c r="C9768" s="4">
        <v>213.97660422884323</v>
      </c>
      <c r="D9768" s="45"/>
    </row>
    <row r="9769" spans="2:4" ht="16" thickBot="1" x14ac:dyDescent="0.25">
      <c r="B9769" s="5">
        <v>9764</v>
      </c>
      <c r="C9769" s="5">
        <v>171.16120464828396</v>
      </c>
      <c r="D9769" s="45"/>
    </row>
    <row r="9770" spans="2:4" ht="16" thickBot="1" x14ac:dyDescent="0.25">
      <c r="B9770" s="4">
        <v>9765</v>
      </c>
      <c r="C9770" s="4">
        <v>88.233962756484601</v>
      </c>
      <c r="D9770" s="45"/>
    </row>
    <row r="9771" spans="2:4" ht="16" thickBot="1" x14ac:dyDescent="0.25">
      <c r="B9771" s="5">
        <v>9766</v>
      </c>
      <c r="C9771" s="5">
        <v>172.63863734010982</v>
      </c>
      <c r="D9771" s="45"/>
    </row>
    <row r="9772" spans="2:4" ht="16" thickBot="1" x14ac:dyDescent="0.25">
      <c r="B9772" s="4">
        <v>9767</v>
      </c>
      <c r="C9772" s="4">
        <v>185.03189805803996</v>
      </c>
      <c r="D9772" s="45"/>
    </row>
    <row r="9773" spans="2:4" ht="16" thickBot="1" x14ac:dyDescent="0.25">
      <c r="B9773" s="5">
        <v>9768</v>
      </c>
      <c r="C9773" s="5">
        <v>149.27693837238147</v>
      </c>
      <c r="D9773" s="45"/>
    </row>
    <row r="9774" spans="2:4" ht="16" thickBot="1" x14ac:dyDescent="0.25">
      <c r="B9774" s="4">
        <v>9769</v>
      </c>
      <c r="C9774" s="4">
        <v>182.77728835476611</v>
      </c>
      <c r="D9774" s="45"/>
    </row>
    <row r="9775" spans="2:4" ht="16" thickBot="1" x14ac:dyDescent="0.25">
      <c r="B9775" s="5">
        <v>9770</v>
      </c>
      <c r="C9775" s="5">
        <v>118.68292998691874</v>
      </c>
      <c r="D9775" s="45"/>
    </row>
    <row r="9776" spans="2:4" ht="16" thickBot="1" x14ac:dyDescent="0.25">
      <c r="B9776" s="4">
        <v>9771</v>
      </c>
      <c r="C9776" s="4">
        <v>147.93454234866974</v>
      </c>
      <c r="D9776" s="45"/>
    </row>
    <row r="9777" spans="2:4" ht="16" thickBot="1" x14ac:dyDescent="0.25">
      <c r="B9777" s="5">
        <v>9772</v>
      </c>
      <c r="C9777" s="5">
        <v>168.62698728632174</v>
      </c>
      <c r="D9777" s="45"/>
    </row>
    <row r="9778" spans="2:4" ht="16" thickBot="1" x14ac:dyDescent="0.25">
      <c r="B9778" s="4">
        <v>9773</v>
      </c>
      <c r="C9778" s="4">
        <v>202.54654423142856</v>
      </c>
      <c r="D9778" s="45"/>
    </row>
    <row r="9779" spans="2:4" ht="16" thickBot="1" x14ac:dyDescent="0.25">
      <c r="B9779" s="5">
        <v>9774</v>
      </c>
      <c r="C9779" s="5">
        <v>87.822694068133501</v>
      </c>
      <c r="D9779" s="45"/>
    </row>
    <row r="9780" spans="2:4" ht="16" thickBot="1" x14ac:dyDescent="0.25">
      <c r="B9780" s="4">
        <v>9775</v>
      </c>
      <c r="C9780" s="4">
        <v>442.22883502855848</v>
      </c>
      <c r="D9780" s="45"/>
    </row>
    <row r="9781" spans="2:4" ht="16" thickBot="1" x14ac:dyDescent="0.25">
      <c r="B9781" s="5">
        <v>9776</v>
      </c>
      <c r="C9781" s="5">
        <v>66.626857792896118</v>
      </c>
      <c r="D9781" s="45"/>
    </row>
    <row r="9782" spans="2:4" ht="16" thickBot="1" x14ac:dyDescent="0.25">
      <c r="B9782" s="4">
        <v>9777</v>
      </c>
      <c r="C9782" s="4">
        <v>645.47658268904559</v>
      </c>
      <c r="D9782" s="45"/>
    </row>
    <row r="9783" spans="2:4" ht="16" thickBot="1" x14ac:dyDescent="0.25">
      <c r="B9783" s="5">
        <v>9778</v>
      </c>
      <c r="C9783" s="5">
        <v>181.43777380203534</v>
      </c>
      <c r="D9783" s="45"/>
    </row>
    <row r="9784" spans="2:4" ht="16" thickBot="1" x14ac:dyDescent="0.25">
      <c r="B9784" s="4">
        <v>9779</v>
      </c>
      <c r="C9784" s="4">
        <v>210.28012922630555</v>
      </c>
      <c r="D9784" s="45"/>
    </row>
    <row r="9785" spans="2:4" ht="16" thickBot="1" x14ac:dyDescent="0.25">
      <c r="B9785" s="5">
        <v>9780</v>
      </c>
      <c r="C9785" s="5">
        <v>103.24744668483486</v>
      </c>
      <c r="D9785" s="45"/>
    </row>
    <row r="9786" spans="2:4" ht="16" thickBot="1" x14ac:dyDescent="0.25">
      <c r="B9786" s="4">
        <v>9781</v>
      </c>
      <c r="C9786" s="4">
        <v>210.49988891610519</v>
      </c>
      <c r="D9786" s="45"/>
    </row>
    <row r="9787" spans="2:4" ht="16" thickBot="1" x14ac:dyDescent="0.25">
      <c r="B9787" s="5">
        <v>9782</v>
      </c>
      <c r="C9787" s="5">
        <v>113.23713379134684</v>
      </c>
      <c r="D9787" s="45"/>
    </row>
    <row r="9788" spans="2:4" ht="16" thickBot="1" x14ac:dyDescent="0.25">
      <c r="B9788" s="4">
        <v>9783</v>
      </c>
      <c r="C9788" s="4">
        <v>224.06796791471197</v>
      </c>
      <c r="D9788" s="45"/>
    </row>
    <row r="9789" spans="2:4" ht="16" thickBot="1" x14ac:dyDescent="0.25">
      <c r="B9789" s="5">
        <v>9784</v>
      </c>
      <c r="C9789" s="5">
        <v>98.23922693997541</v>
      </c>
      <c r="D9789" s="45"/>
    </row>
    <row r="9790" spans="2:4" ht="16" thickBot="1" x14ac:dyDescent="0.25">
      <c r="B9790" s="4">
        <v>9785</v>
      </c>
      <c r="C9790" s="4">
        <v>130.44206949598617</v>
      </c>
      <c r="D9790" s="45"/>
    </row>
    <row r="9791" spans="2:4" ht="16" thickBot="1" x14ac:dyDescent="0.25">
      <c r="B9791" s="5">
        <v>9786</v>
      </c>
      <c r="C9791" s="5">
        <v>105.14340937686654</v>
      </c>
      <c r="D9791" s="45"/>
    </row>
    <row r="9792" spans="2:4" ht="16" thickBot="1" x14ac:dyDescent="0.25">
      <c r="B9792" s="4">
        <v>9787</v>
      </c>
      <c r="C9792" s="4">
        <v>124.15519752460236</v>
      </c>
      <c r="D9792" s="45"/>
    </row>
    <row r="9793" spans="2:4" ht="16" thickBot="1" x14ac:dyDescent="0.25">
      <c r="B9793" s="5">
        <v>9788</v>
      </c>
      <c r="C9793" s="5">
        <v>96.524493779248928</v>
      </c>
      <c r="D9793" s="45"/>
    </row>
    <row r="9794" spans="2:4" ht="16" thickBot="1" x14ac:dyDescent="0.25">
      <c r="B9794" s="4">
        <v>9789</v>
      </c>
      <c r="C9794" s="4">
        <v>206.0737092106483</v>
      </c>
      <c r="D9794" s="45"/>
    </row>
    <row r="9795" spans="2:4" ht="16" thickBot="1" x14ac:dyDescent="0.25">
      <c r="B9795" s="5">
        <v>9790</v>
      </c>
      <c r="C9795" s="5">
        <v>67.589644512839271</v>
      </c>
      <c r="D9795" s="45"/>
    </row>
    <row r="9796" spans="2:4" ht="16" thickBot="1" x14ac:dyDescent="0.25">
      <c r="B9796" s="4">
        <v>9791</v>
      </c>
      <c r="C9796" s="4">
        <v>93.478791440588665</v>
      </c>
      <c r="D9796" s="45"/>
    </row>
    <row r="9797" spans="2:4" ht="16" thickBot="1" x14ac:dyDescent="0.25">
      <c r="B9797" s="5">
        <v>9792</v>
      </c>
      <c r="C9797" s="5">
        <v>264.88476769857522</v>
      </c>
      <c r="D9797" s="45"/>
    </row>
    <row r="9798" spans="2:4" ht="16" thickBot="1" x14ac:dyDescent="0.25">
      <c r="B9798" s="4">
        <v>9793</v>
      </c>
      <c r="C9798" s="4">
        <v>150.13462831851129</v>
      </c>
      <c r="D9798" s="45"/>
    </row>
    <row r="9799" spans="2:4" ht="16" thickBot="1" x14ac:dyDescent="0.25">
      <c r="B9799" s="5">
        <v>9794</v>
      </c>
      <c r="C9799" s="5">
        <v>375.74228516776606</v>
      </c>
      <c r="D9799" s="45"/>
    </row>
    <row r="9800" spans="2:4" ht="16" thickBot="1" x14ac:dyDescent="0.25">
      <c r="B9800" s="4">
        <v>9795</v>
      </c>
      <c r="C9800" s="4">
        <v>78.229398129690892</v>
      </c>
      <c r="D9800" s="45"/>
    </row>
    <row r="9801" spans="2:4" ht="16" thickBot="1" x14ac:dyDescent="0.25">
      <c r="B9801" s="5">
        <v>9796</v>
      </c>
      <c r="C9801" s="5">
        <v>204.55336249619251</v>
      </c>
      <c r="D9801" s="45"/>
    </row>
    <row r="9802" spans="2:4" ht="16" thickBot="1" x14ac:dyDescent="0.25">
      <c r="B9802" s="4">
        <v>9797</v>
      </c>
      <c r="C9802" s="4">
        <v>170.27144343802604</v>
      </c>
      <c r="D9802" s="45"/>
    </row>
    <row r="9803" spans="2:4" ht="16" thickBot="1" x14ac:dyDescent="0.25">
      <c r="B9803" s="5">
        <v>9798</v>
      </c>
      <c r="C9803" s="5">
        <v>170.85540091112159</v>
      </c>
      <c r="D9803" s="45"/>
    </row>
    <row r="9804" spans="2:4" ht="16" thickBot="1" x14ac:dyDescent="0.25">
      <c r="B9804" s="4">
        <v>9799</v>
      </c>
      <c r="C9804" s="4">
        <v>124.09064889224231</v>
      </c>
      <c r="D9804" s="45"/>
    </row>
    <row r="9805" spans="2:4" ht="16" thickBot="1" x14ac:dyDescent="0.25">
      <c r="B9805" s="5">
        <v>9800</v>
      </c>
      <c r="C9805" s="5">
        <v>103.09788001904967</v>
      </c>
      <c r="D9805" s="45"/>
    </row>
    <row r="9806" spans="2:4" ht="16" thickBot="1" x14ac:dyDescent="0.25">
      <c r="B9806" s="4">
        <v>9801</v>
      </c>
      <c r="C9806" s="4">
        <v>132.09501362303143</v>
      </c>
      <c r="D9806" s="45"/>
    </row>
    <row r="9807" spans="2:4" ht="16" thickBot="1" x14ac:dyDescent="0.25">
      <c r="B9807" s="5">
        <v>9802</v>
      </c>
      <c r="C9807" s="5">
        <v>353.60203572394988</v>
      </c>
      <c r="D9807" s="45"/>
    </row>
    <row r="9808" spans="2:4" ht="16" thickBot="1" x14ac:dyDescent="0.25">
      <c r="B9808" s="4">
        <v>9803</v>
      </c>
      <c r="C9808" s="4">
        <v>73.382343552222821</v>
      </c>
      <c r="D9808" s="45"/>
    </row>
    <row r="9809" spans="2:4" ht="16" thickBot="1" x14ac:dyDescent="0.25">
      <c r="B9809" s="5">
        <v>9804</v>
      </c>
      <c r="C9809" s="5">
        <v>157.30832467179641</v>
      </c>
      <c r="D9809" s="45"/>
    </row>
    <row r="9810" spans="2:4" ht="16" thickBot="1" x14ac:dyDescent="0.25">
      <c r="B9810" s="4">
        <v>9805</v>
      </c>
      <c r="C9810" s="4">
        <v>189.58587494658451</v>
      </c>
      <c r="D9810" s="45"/>
    </row>
    <row r="9811" spans="2:4" ht="16" thickBot="1" x14ac:dyDescent="0.25">
      <c r="B9811" s="5">
        <v>9806</v>
      </c>
      <c r="C9811" s="5">
        <v>121.31967173324027</v>
      </c>
      <c r="D9811" s="45"/>
    </row>
    <row r="9812" spans="2:4" ht="16" thickBot="1" x14ac:dyDescent="0.25">
      <c r="B9812" s="4">
        <v>9807</v>
      </c>
      <c r="C9812" s="4">
        <v>154.78151098444152</v>
      </c>
      <c r="D9812" s="45"/>
    </row>
    <row r="9813" spans="2:4" ht="16" thickBot="1" x14ac:dyDescent="0.25">
      <c r="B9813" s="5">
        <v>9808</v>
      </c>
      <c r="C9813" s="5">
        <v>134.23453587394616</v>
      </c>
      <c r="D9813" s="45"/>
    </row>
    <row r="9814" spans="2:4" ht="16" thickBot="1" x14ac:dyDescent="0.25">
      <c r="B9814" s="4">
        <v>9809</v>
      </c>
      <c r="C9814" s="4">
        <v>105.22174290649312</v>
      </c>
      <c r="D9814" s="45"/>
    </row>
    <row r="9815" spans="2:4" ht="16" thickBot="1" x14ac:dyDescent="0.25">
      <c r="B9815" s="5">
        <v>9810</v>
      </c>
      <c r="C9815" s="5">
        <v>214.34800543623979</v>
      </c>
      <c r="D9815" s="45"/>
    </row>
    <row r="9816" spans="2:4" ht="16" thickBot="1" x14ac:dyDescent="0.25">
      <c r="B9816" s="4">
        <v>9811</v>
      </c>
      <c r="C9816" s="4">
        <v>212.28369633469399</v>
      </c>
      <c r="D9816" s="45"/>
    </row>
    <row r="9817" spans="2:4" ht="16" thickBot="1" x14ac:dyDescent="0.25">
      <c r="B9817" s="5">
        <v>9812</v>
      </c>
      <c r="C9817" s="5">
        <v>236.5791002677899</v>
      </c>
      <c r="D9817" s="45"/>
    </row>
    <row r="9818" spans="2:4" ht="16" thickBot="1" x14ac:dyDescent="0.25">
      <c r="B9818" s="4">
        <v>9813</v>
      </c>
      <c r="C9818" s="4">
        <v>258.94410522201588</v>
      </c>
      <c r="D9818" s="45"/>
    </row>
    <row r="9819" spans="2:4" ht="16" thickBot="1" x14ac:dyDescent="0.25">
      <c r="B9819" s="5">
        <v>9814</v>
      </c>
      <c r="C9819" s="5">
        <v>220.86910397060848</v>
      </c>
      <c r="D9819" s="45"/>
    </row>
    <row r="9820" spans="2:4" ht="16" thickBot="1" x14ac:dyDescent="0.25">
      <c r="B9820" s="4">
        <v>9815</v>
      </c>
      <c r="C9820" s="4">
        <v>170.89816127729662</v>
      </c>
      <c r="D9820" s="45"/>
    </row>
    <row r="9821" spans="2:4" ht="16" thickBot="1" x14ac:dyDescent="0.25">
      <c r="B9821" s="5">
        <v>9816</v>
      </c>
      <c r="C9821" s="5">
        <v>120.78496606435182</v>
      </c>
      <c r="D9821" s="45"/>
    </row>
    <row r="9822" spans="2:4" ht="16" thickBot="1" x14ac:dyDescent="0.25">
      <c r="B9822" s="4">
        <v>9817</v>
      </c>
      <c r="C9822" s="4">
        <v>123.68212213893743</v>
      </c>
      <c r="D9822" s="45"/>
    </row>
    <row r="9823" spans="2:4" ht="16" thickBot="1" x14ac:dyDescent="0.25">
      <c r="B9823" s="5">
        <v>9818</v>
      </c>
      <c r="C9823" s="5">
        <v>255.37775131667036</v>
      </c>
      <c r="D9823" s="45"/>
    </row>
    <row r="9824" spans="2:4" ht="16" thickBot="1" x14ac:dyDescent="0.25">
      <c r="B9824" s="4">
        <v>9819</v>
      </c>
      <c r="C9824" s="4">
        <v>93.886599004219846</v>
      </c>
      <c r="D9824" s="45"/>
    </row>
    <row r="9825" spans="2:4" ht="16" thickBot="1" x14ac:dyDescent="0.25">
      <c r="B9825" s="5">
        <v>9820</v>
      </c>
      <c r="C9825" s="5">
        <v>155.25683880660372</v>
      </c>
      <c r="D9825" s="45"/>
    </row>
    <row r="9826" spans="2:4" ht="16" thickBot="1" x14ac:dyDescent="0.25">
      <c r="B9826" s="4">
        <v>9821</v>
      </c>
      <c r="C9826" s="4">
        <v>212.97993300073213</v>
      </c>
      <c r="D9826" s="45"/>
    </row>
    <row r="9827" spans="2:4" ht="16" thickBot="1" x14ac:dyDescent="0.25">
      <c r="B9827" s="5">
        <v>9822</v>
      </c>
      <c r="C9827" s="5">
        <v>79.742597121224065</v>
      </c>
      <c r="D9827" s="45"/>
    </row>
    <row r="9828" spans="2:4" ht="16" thickBot="1" x14ac:dyDescent="0.25">
      <c r="B9828" s="4">
        <v>9823</v>
      </c>
      <c r="C9828" s="4">
        <v>292.12579176922719</v>
      </c>
      <c r="D9828" s="45"/>
    </row>
    <row r="9829" spans="2:4" ht="16" thickBot="1" x14ac:dyDescent="0.25">
      <c r="B9829" s="5">
        <v>9824</v>
      </c>
      <c r="C9829" s="5">
        <v>155.80174398281952</v>
      </c>
      <c r="D9829" s="45"/>
    </row>
    <row r="9830" spans="2:4" ht="16" thickBot="1" x14ac:dyDescent="0.25">
      <c r="B9830" s="4">
        <v>9825</v>
      </c>
      <c r="C9830" s="4">
        <v>202.71881723850402</v>
      </c>
      <c r="D9830" s="45"/>
    </row>
    <row r="9831" spans="2:4" ht="16" thickBot="1" x14ac:dyDescent="0.25">
      <c r="B9831" s="5">
        <v>9826</v>
      </c>
      <c r="C9831" s="5">
        <v>253.46614591119067</v>
      </c>
      <c r="D9831" s="45"/>
    </row>
    <row r="9832" spans="2:4" ht="16" thickBot="1" x14ac:dyDescent="0.25">
      <c r="B9832" s="4">
        <v>9827</v>
      </c>
      <c r="C9832" s="4">
        <v>132.89181923852738</v>
      </c>
      <c r="D9832" s="45"/>
    </row>
    <row r="9833" spans="2:4" ht="16" thickBot="1" x14ac:dyDescent="0.25">
      <c r="B9833" s="5">
        <v>9828</v>
      </c>
      <c r="C9833" s="5">
        <v>235.04294778798879</v>
      </c>
      <c r="D9833" s="45"/>
    </row>
    <row r="9834" spans="2:4" ht="16" thickBot="1" x14ac:dyDescent="0.25">
      <c r="B9834" s="4">
        <v>9829</v>
      </c>
      <c r="C9834" s="4">
        <v>93.816086431504658</v>
      </c>
      <c r="D9834" s="45"/>
    </row>
    <row r="9835" spans="2:4" ht="16" thickBot="1" x14ac:dyDescent="0.25">
      <c r="B9835" s="5">
        <v>9830</v>
      </c>
      <c r="C9835" s="5">
        <v>74.637927771948739</v>
      </c>
      <c r="D9835" s="45"/>
    </row>
    <row r="9836" spans="2:4" ht="16" thickBot="1" x14ac:dyDescent="0.25">
      <c r="B9836" s="4">
        <v>9831</v>
      </c>
      <c r="C9836" s="4">
        <v>276.93508541320182</v>
      </c>
      <c r="D9836" s="45"/>
    </row>
    <row r="9837" spans="2:4" ht="16" thickBot="1" x14ac:dyDescent="0.25">
      <c r="B9837" s="5">
        <v>9832</v>
      </c>
      <c r="C9837" s="5">
        <v>147.89289117962667</v>
      </c>
      <c r="D9837" s="45"/>
    </row>
    <row r="9838" spans="2:4" ht="16" thickBot="1" x14ac:dyDescent="0.25">
      <c r="B9838" s="4">
        <v>9833</v>
      </c>
      <c r="C9838" s="4">
        <v>153.3861376792041</v>
      </c>
      <c r="D9838" s="45"/>
    </row>
    <row r="9839" spans="2:4" ht="16" thickBot="1" x14ac:dyDescent="0.25">
      <c r="B9839" s="5">
        <v>9834</v>
      </c>
      <c r="C9839" s="5">
        <v>281.22209403652994</v>
      </c>
      <c r="D9839" s="45"/>
    </row>
    <row r="9840" spans="2:4" ht="16" thickBot="1" x14ac:dyDescent="0.25">
      <c r="B9840" s="4">
        <v>9835</v>
      </c>
      <c r="C9840" s="4">
        <v>150.3732152151764</v>
      </c>
      <c r="D9840" s="45"/>
    </row>
    <row r="9841" spans="2:4" ht="16" thickBot="1" x14ac:dyDescent="0.25">
      <c r="B9841" s="5">
        <v>9836</v>
      </c>
      <c r="C9841" s="5">
        <v>184.94341246286584</v>
      </c>
      <c r="D9841" s="45"/>
    </row>
    <row r="9842" spans="2:4" ht="16" thickBot="1" x14ac:dyDescent="0.25">
      <c r="B9842" s="4">
        <v>9837</v>
      </c>
      <c r="C9842" s="4">
        <v>119.78359564746758</v>
      </c>
      <c r="D9842" s="45"/>
    </row>
    <row r="9843" spans="2:4" ht="16" thickBot="1" x14ac:dyDescent="0.25">
      <c r="B9843" s="5">
        <v>9838</v>
      </c>
      <c r="C9843" s="5">
        <v>272.48406824290646</v>
      </c>
      <c r="D9843" s="45"/>
    </row>
    <row r="9844" spans="2:4" ht="16" thickBot="1" x14ac:dyDescent="0.25">
      <c r="B9844" s="4">
        <v>9839</v>
      </c>
      <c r="C9844" s="4">
        <v>89.72160290541855</v>
      </c>
      <c r="D9844" s="45"/>
    </row>
    <row r="9845" spans="2:4" ht="16" thickBot="1" x14ac:dyDescent="0.25">
      <c r="B9845" s="5">
        <v>9840</v>
      </c>
      <c r="C9845" s="5">
        <v>131.72625026880982</v>
      </c>
      <c r="D9845" s="45"/>
    </row>
    <row r="9846" spans="2:4" ht="16" thickBot="1" x14ac:dyDescent="0.25">
      <c r="B9846" s="4">
        <v>9841</v>
      </c>
      <c r="C9846" s="4">
        <v>151.3160133433062</v>
      </c>
      <c r="D9846" s="45"/>
    </row>
    <row r="9847" spans="2:4" ht="16" thickBot="1" x14ac:dyDescent="0.25">
      <c r="B9847" s="5">
        <v>9842</v>
      </c>
      <c r="C9847" s="5">
        <v>200.55274495418101</v>
      </c>
      <c r="D9847" s="45"/>
    </row>
    <row r="9848" spans="2:4" ht="16" thickBot="1" x14ac:dyDescent="0.25">
      <c r="B9848" s="4">
        <v>9843</v>
      </c>
      <c r="C9848" s="4">
        <v>370.08923544089589</v>
      </c>
      <c r="D9848" s="45"/>
    </row>
    <row r="9849" spans="2:4" ht="16" thickBot="1" x14ac:dyDescent="0.25">
      <c r="B9849" s="5">
        <v>9844</v>
      </c>
      <c r="C9849" s="5">
        <v>196.01457182288723</v>
      </c>
      <c r="D9849" s="45"/>
    </row>
    <row r="9850" spans="2:4" ht="16" thickBot="1" x14ac:dyDescent="0.25">
      <c r="B9850" s="4">
        <v>9845</v>
      </c>
      <c r="C9850" s="4">
        <v>99.067103859976967</v>
      </c>
      <c r="D9850" s="45"/>
    </row>
    <row r="9851" spans="2:4" ht="16" thickBot="1" x14ac:dyDescent="0.25">
      <c r="B9851" s="5">
        <v>9846</v>
      </c>
      <c r="C9851" s="5">
        <v>140.42806362042609</v>
      </c>
      <c r="D9851" s="45"/>
    </row>
    <row r="9852" spans="2:4" ht="16" thickBot="1" x14ac:dyDescent="0.25">
      <c r="B9852" s="4">
        <v>9847</v>
      </c>
      <c r="C9852" s="4">
        <v>141.73638394076536</v>
      </c>
      <c r="D9852" s="45"/>
    </row>
    <row r="9853" spans="2:4" ht="16" thickBot="1" x14ac:dyDescent="0.25">
      <c r="B9853" s="5">
        <v>9848</v>
      </c>
      <c r="C9853" s="5">
        <v>121.91223324576576</v>
      </c>
      <c r="D9853" s="45"/>
    </row>
    <row r="9854" spans="2:4" ht="16" thickBot="1" x14ac:dyDescent="0.25">
      <c r="B9854" s="4">
        <v>9849</v>
      </c>
      <c r="C9854" s="4">
        <v>302.61935211315944</v>
      </c>
      <c r="D9854" s="45"/>
    </row>
    <row r="9855" spans="2:4" ht="16" thickBot="1" x14ac:dyDescent="0.25">
      <c r="B9855" s="5">
        <v>9850</v>
      </c>
      <c r="C9855" s="5">
        <v>273.49749696781316</v>
      </c>
      <c r="D9855" s="45"/>
    </row>
    <row r="9856" spans="2:4" ht="16" thickBot="1" x14ac:dyDescent="0.25">
      <c r="B9856" s="4">
        <v>9851</v>
      </c>
      <c r="C9856" s="4">
        <v>137.8374503561059</v>
      </c>
      <c r="D9856" s="45"/>
    </row>
    <row r="9857" spans="2:4" ht="16" thickBot="1" x14ac:dyDescent="0.25">
      <c r="B9857" s="5">
        <v>9852</v>
      </c>
      <c r="C9857" s="5">
        <v>156.1135721947235</v>
      </c>
      <c r="D9857" s="45"/>
    </row>
    <row r="9858" spans="2:4" ht="16" thickBot="1" x14ac:dyDescent="0.25">
      <c r="B9858" s="4">
        <v>9853</v>
      </c>
      <c r="C9858" s="4">
        <v>177.22402223418675</v>
      </c>
      <c r="D9858" s="45"/>
    </row>
    <row r="9859" spans="2:4" ht="16" thickBot="1" x14ac:dyDescent="0.25">
      <c r="B9859" s="5">
        <v>9854</v>
      </c>
      <c r="C9859" s="5">
        <v>58.367117991054748</v>
      </c>
      <c r="D9859" s="45"/>
    </row>
    <row r="9860" spans="2:4" ht="16" thickBot="1" x14ac:dyDescent="0.25">
      <c r="B9860" s="4">
        <v>9855</v>
      </c>
      <c r="C9860" s="4">
        <v>181.4638554744009</v>
      </c>
      <c r="D9860" s="45"/>
    </row>
    <row r="9861" spans="2:4" ht="16" thickBot="1" x14ac:dyDescent="0.25">
      <c r="B9861" s="5">
        <v>9856</v>
      </c>
      <c r="C9861" s="5">
        <v>248.1855652773765</v>
      </c>
      <c r="D9861" s="45"/>
    </row>
    <row r="9862" spans="2:4" ht="16" thickBot="1" x14ac:dyDescent="0.25">
      <c r="B9862" s="4">
        <v>9857</v>
      </c>
      <c r="C9862" s="4">
        <v>129.23138987030768</v>
      </c>
      <c r="D9862" s="45"/>
    </row>
    <row r="9863" spans="2:4" ht="16" thickBot="1" x14ac:dyDescent="0.25">
      <c r="B9863" s="5">
        <v>9858</v>
      </c>
      <c r="C9863" s="5">
        <v>100.87418065096254</v>
      </c>
      <c r="D9863" s="45"/>
    </row>
    <row r="9864" spans="2:4" ht="16" thickBot="1" x14ac:dyDescent="0.25">
      <c r="B9864" s="4">
        <v>9859</v>
      </c>
      <c r="C9864" s="4">
        <v>96.061844059468882</v>
      </c>
      <c r="D9864" s="45"/>
    </row>
    <row r="9865" spans="2:4" ht="16" thickBot="1" x14ac:dyDescent="0.25">
      <c r="B9865" s="5">
        <v>9860</v>
      </c>
      <c r="C9865" s="5">
        <v>149.98552985227761</v>
      </c>
      <c r="D9865" s="45"/>
    </row>
    <row r="9866" spans="2:4" ht="16" thickBot="1" x14ac:dyDescent="0.25">
      <c r="B9866" s="4">
        <v>9861</v>
      </c>
      <c r="C9866" s="4">
        <v>121.94987530137469</v>
      </c>
      <c r="D9866" s="45"/>
    </row>
    <row r="9867" spans="2:4" ht="16" thickBot="1" x14ac:dyDescent="0.25">
      <c r="B9867" s="5">
        <v>9862</v>
      </c>
      <c r="C9867" s="5">
        <v>222.41540527373255</v>
      </c>
      <c r="D9867" s="45"/>
    </row>
    <row r="9868" spans="2:4" ht="16" thickBot="1" x14ac:dyDescent="0.25">
      <c r="B9868" s="4">
        <v>9863</v>
      </c>
      <c r="C9868" s="4">
        <v>122.66270001461677</v>
      </c>
      <c r="D9868" s="45"/>
    </row>
    <row r="9869" spans="2:4" ht="16" thickBot="1" x14ac:dyDescent="0.25">
      <c r="B9869" s="5">
        <v>9864</v>
      </c>
      <c r="C9869" s="5">
        <v>115.11072135846702</v>
      </c>
      <c r="D9869" s="45"/>
    </row>
    <row r="9870" spans="2:4" ht="16" thickBot="1" x14ac:dyDescent="0.25">
      <c r="B9870" s="4">
        <v>9865</v>
      </c>
      <c r="C9870" s="4">
        <v>145.06116221281812</v>
      </c>
      <c r="D9870" s="45"/>
    </row>
    <row r="9871" spans="2:4" ht="16" thickBot="1" x14ac:dyDescent="0.25">
      <c r="B9871" s="5">
        <v>9866</v>
      </c>
      <c r="C9871" s="5">
        <v>88.210470721677424</v>
      </c>
      <c r="D9871" s="45"/>
    </row>
    <row r="9872" spans="2:4" ht="16" thickBot="1" x14ac:dyDescent="0.25">
      <c r="B9872" s="4">
        <v>9867</v>
      </c>
      <c r="C9872" s="4">
        <v>119.81980841822401</v>
      </c>
      <c r="D9872" s="45"/>
    </row>
    <row r="9873" spans="2:4" ht="16" thickBot="1" x14ac:dyDescent="0.25">
      <c r="B9873" s="5">
        <v>9868</v>
      </c>
      <c r="C9873" s="5">
        <v>181.17063728211133</v>
      </c>
      <c r="D9873" s="45"/>
    </row>
    <row r="9874" spans="2:4" ht="16" thickBot="1" x14ac:dyDescent="0.25">
      <c r="B9874" s="4">
        <v>9869</v>
      </c>
      <c r="C9874" s="4">
        <v>257.05885462496639</v>
      </c>
      <c r="D9874" s="45"/>
    </row>
    <row r="9875" spans="2:4" ht="16" thickBot="1" x14ac:dyDescent="0.25">
      <c r="B9875" s="5">
        <v>9870</v>
      </c>
      <c r="C9875" s="5">
        <v>259.99276207909139</v>
      </c>
      <c r="D9875" s="45"/>
    </row>
    <row r="9876" spans="2:4" ht="16" thickBot="1" x14ac:dyDescent="0.25">
      <c r="B9876" s="4">
        <v>9871</v>
      </c>
      <c r="C9876" s="4">
        <v>133.61405856917295</v>
      </c>
      <c r="D9876" s="45"/>
    </row>
    <row r="9877" spans="2:4" ht="16" thickBot="1" x14ac:dyDescent="0.25">
      <c r="B9877" s="5">
        <v>9872</v>
      </c>
      <c r="C9877" s="5">
        <v>303.61595405714058</v>
      </c>
      <c r="D9877" s="45"/>
    </row>
    <row r="9878" spans="2:4" ht="16" thickBot="1" x14ac:dyDescent="0.25">
      <c r="B9878" s="4">
        <v>9873</v>
      </c>
      <c r="C9878" s="4">
        <v>287.83635391199061</v>
      </c>
      <c r="D9878" s="45"/>
    </row>
    <row r="9879" spans="2:4" ht="16" thickBot="1" x14ac:dyDescent="0.25">
      <c r="B9879" s="5">
        <v>9874</v>
      </c>
      <c r="C9879" s="5">
        <v>111.45638105159944</v>
      </c>
      <c r="D9879" s="45"/>
    </row>
    <row r="9880" spans="2:4" ht="16" thickBot="1" x14ac:dyDescent="0.25">
      <c r="B9880" s="4">
        <v>9875</v>
      </c>
      <c r="C9880" s="4">
        <v>114.50379638585039</v>
      </c>
      <c r="D9880" s="45"/>
    </row>
    <row r="9881" spans="2:4" ht="16" thickBot="1" x14ac:dyDescent="0.25">
      <c r="B9881" s="5">
        <v>9876</v>
      </c>
      <c r="C9881" s="5">
        <v>138.81409529623616</v>
      </c>
      <c r="D9881" s="45"/>
    </row>
    <row r="9882" spans="2:4" ht="16" thickBot="1" x14ac:dyDescent="0.25">
      <c r="B9882" s="4">
        <v>9877</v>
      </c>
      <c r="C9882" s="4">
        <v>220.36981937730476</v>
      </c>
      <c r="D9882" s="45"/>
    </row>
    <row r="9883" spans="2:4" ht="16" thickBot="1" x14ac:dyDescent="0.25">
      <c r="B9883" s="5">
        <v>9878</v>
      </c>
      <c r="C9883" s="5">
        <v>168.6418722335294</v>
      </c>
      <c r="D9883" s="45"/>
    </row>
    <row r="9884" spans="2:4" ht="16" thickBot="1" x14ac:dyDescent="0.25">
      <c r="B9884" s="4">
        <v>9879</v>
      </c>
      <c r="C9884" s="4">
        <v>44.70284805007735</v>
      </c>
      <c r="D9884" s="45"/>
    </row>
    <row r="9885" spans="2:4" ht="16" thickBot="1" x14ac:dyDescent="0.25">
      <c r="B9885" s="5">
        <v>9880</v>
      </c>
      <c r="C9885" s="5">
        <v>144.48762941071419</v>
      </c>
      <c r="D9885" s="45"/>
    </row>
    <row r="9886" spans="2:4" ht="16" thickBot="1" x14ac:dyDescent="0.25">
      <c r="B9886" s="4">
        <v>9881</v>
      </c>
      <c r="C9886" s="4">
        <v>67.76918083044967</v>
      </c>
      <c r="D9886" s="45"/>
    </row>
    <row r="9887" spans="2:4" ht="16" thickBot="1" x14ac:dyDescent="0.25">
      <c r="B9887" s="5">
        <v>9882</v>
      </c>
      <c r="C9887" s="5">
        <v>125.67286188200214</v>
      </c>
      <c r="D9887" s="45"/>
    </row>
    <row r="9888" spans="2:4" ht="16" thickBot="1" x14ac:dyDescent="0.25">
      <c r="B9888" s="4">
        <v>9883</v>
      </c>
      <c r="C9888" s="4">
        <v>167.85085574966382</v>
      </c>
      <c r="D9888" s="45"/>
    </row>
    <row r="9889" spans="2:4" ht="16" thickBot="1" x14ac:dyDescent="0.25">
      <c r="B9889" s="5">
        <v>9884</v>
      </c>
      <c r="C9889" s="5">
        <v>152.90728376460717</v>
      </c>
      <c r="D9889" s="45"/>
    </row>
    <row r="9890" spans="2:4" ht="16" thickBot="1" x14ac:dyDescent="0.25">
      <c r="B9890" s="4">
        <v>9885</v>
      </c>
      <c r="C9890" s="4">
        <v>52.738929471812106</v>
      </c>
      <c r="D9890" s="45"/>
    </row>
    <row r="9891" spans="2:4" ht="16" thickBot="1" x14ac:dyDescent="0.25">
      <c r="B9891" s="5">
        <v>9886</v>
      </c>
      <c r="C9891" s="5">
        <v>127.78429386106542</v>
      </c>
      <c r="D9891" s="45"/>
    </row>
    <row r="9892" spans="2:4" ht="16" thickBot="1" x14ac:dyDescent="0.25">
      <c r="B9892" s="4">
        <v>9887</v>
      </c>
      <c r="C9892" s="4">
        <v>240.54497490184519</v>
      </c>
      <c r="D9892" s="45"/>
    </row>
    <row r="9893" spans="2:4" ht="16" thickBot="1" x14ac:dyDescent="0.25">
      <c r="B9893" s="5">
        <v>9888</v>
      </c>
      <c r="C9893" s="5">
        <v>94.276024371203718</v>
      </c>
      <c r="D9893" s="45"/>
    </row>
    <row r="9894" spans="2:4" ht="16" thickBot="1" x14ac:dyDescent="0.25">
      <c r="B9894" s="4">
        <v>9889</v>
      </c>
      <c r="C9894" s="4">
        <v>52.527345000700144</v>
      </c>
      <c r="D9894" s="45"/>
    </row>
    <row r="9895" spans="2:4" ht="16" thickBot="1" x14ac:dyDescent="0.25">
      <c r="B9895" s="5">
        <v>9890</v>
      </c>
      <c r="C9895" s="5">
        <v>107.01208705936725</v>
      </c>
      <c r="D9895" s="45"/>
    </row>
    <row r="9896" spans="2:4" ht="16" thickBot="1" x14ac:dyDescent="0.25">
      <c r="B9896" s="4">
        <v>9891</v>
      </c>
      <c r="C9896" s="4">
        <v>191.37245446948452</v>
      </c>
      <c r="D9896" s="45"/>
    </row>
    <row r="9897" spans="2:4" ht="16" thickBot="1" x14ac:dyDescent="0.25">
      <c r="B9897" s="5">
        <v>9892</v>
      </c>
      <c r="C9897" s="5">
        <v>303.76874185282912</v>
      </c>
      <c r="D9897" s="45"/>
    </row>
    <row r="9898" spans="2:4" ht="16" thickBot="1" x14ac:dyDescent="0.25">
      <c r="B9898" s="4">
        <v>9893</v>
      </c>
      <c r="C9898" s="4">
        <v>254.87739654662542</v>
      </c>
      <c r="D9898" s="45"/>
    </row>
    <row r="9899" spans="2:4" ht="16" thickBot="1" x14ac:dyDescent="0.25">
      <c r="B9899" s="5">
        <v>9894</v>
      </c>
      <c r="C9899" s="5">
        <v>133.91056576373742</v>
      </c>
      <c r="D9899" s="45"/>
    </row>
    <row r="9900" spans="2:4" ht="16" thickBot="1" x14ac:dyDescent="0.25">
      <c r="B9900" s="4">
        <v>9895</v>
      </c>
      <c r="C9900" s="4">
        <v>172.4660446600306</v>
      </c>
      <c r="D9900" s="45"/>
    </row>
    <row r="9901" spans="2:4" ht="16" thickBot="1" x14ac:dyDescent="0.25">
      <c r="B9901" s="5">
        <v>9896</v>
      </c>
      <c r="C9901" s="5">
        <v>184.45450183593857</v>
      </c>
      <c r="D9901" s="45"/>
    </row>
    <row r="9902" spans="2:4" ht="16" thickBot="1" x14ac:dyDescent="0.25">
      <c r="B9902" s="4">
        <v>9897</v>
      </c>
      <c r="C9902" s="4">
        <v>142.8312506933562</v>
      </c>
      <c r="D9902" s="45"/>
    </row>
    <row r="9903" spans="2:4" ht="16" thickBot="1" x14ac:dyDescent="0.25">
      <c r="B9903" s="5">
        <v>9898</v>
      </c>
      <c r="C9903" s="5">
        <v>140.99997381617081</v>
      </c>
      <c r="D9903" s="45"/>
    </row>
    <row r="9904" spans="2:4" ht="16" thickBot="1" x14ac:dyDescent="0.25">
      <c r="B9904" s="4">
        <v>9899</v>
      </c>
      <c r="C9904" s="4">
        <v>212.16394622766941</v>
      </c>
      <c r="D9904" s="45"/>
    </row>
    <row r="9905" spans="2:4" ht="16" thickBot="1" x14ac:dyDescent="0.25">
      <c r="B9905" s="5">
        <v>9900</v>
      </c>
      <c r="C9905" s="5">
        <v>117.50243015477977</v>
      </c>
      <c r="D9905" s="45"/>
    </row>
    <row r="9906" spans="2:4" ht="16" thickBot="1" x14ac:dyDescent="0.25">
      <c r="B9906" s="4">
        <v>9901</v>
      </c>
      <c r="C9906" s="4">
        <v>260.98675725729311</v>
      </c>
      <c r="D9906" s="45"/>
    </row>
    <row r="9907" spans="2:4" ht="16" thickBot="1" x14ac:dyDescent="0.25">
      <c r="B9907" s="5">
        <v>9902</v>
      </c>
      <c r="C9907" s="5">
        <v>90.545612265357263</v>
      </c>
      <c r="D9907" s="45"/>
    </row>
    <row r="9908" spans="2:4" ht="16" thickBot="1" x14ac:dyDescent="0.25">
      <c r="B9908" s="4">
        <v>9903</v>
      </c>
      <c r="C9908" s="4">
        <v>202.79328325425061</v>
      </c>
      <c r="D9908" s="45"/>
    </row>
    <row r="9909" spans="2:4" ht="16" thickBot="1" x14ac:dyDescent="0.25">
      <c r="B9909" s="5">
        <v>9904</v>
      </c>
      <c r="C9909" s="5">
        <v>274.80960195991622</v>
      </c>
      <c r="D9909" s="45"/>
    </row>
    <row r="9910" spans="2:4" ht="16" thickBot="1" x14ac:dyDescent="0.25">
      <c r="B9910" s="4">
        <v>9905</v>
      </c>
      <c r="C9910" s="4">
        <v>110.30942736393655</v>
      </c>
      <c r="D9910" s="45"/>
    </row>
    <row r="9911" spans="2:4" ht="16" thickBot="1" x14ac:dyDescent="0.25">
      <c r="B9911" s="5">
        <v>9906</v>
      </c>
      <c r="C9911" s="5">
        <v>95.568742214355311</v>
      </c>
      <c r="D9911" s="45"/>
    </row>
    <row r="9912" spans="2:4" ht="16" thickBot="1" x14ac:dyDescent="0.25">
      <c r="B9912" s="4">
        <v>9907</v>
      </c>
      <c r="C9912" s="4">
        <v>480.1368816122698</v>
      </c>
      <c r="D9912" s="45"/>
    </row>
    <row r="9913" spans="2:4" ht="16" thickBot="1" x14ac:dyDescent="0.25">
      <c r="B9913" s="5">
        <v>9908</v>
      </c>
      <c r="C9913" s="5">
        <v>132.03595526269359</v>
      </c>
      <c r="D9913" s="45"/>
    </row>
    <row r="9914" spans="2:4" ht="16" thickBot="1" x14ac:dyDescent="0.25">
      <c r="B9914" s="4">
        <v>9909</v>
      </c>
      <c r="C9914" s="4">
        <v>276.16003025024548</v>
      </c>
      <c r="D9914" s="45"/>
    </row>
    <row r="9915" spans="2:4" ht="16" thickBot="1" x14ac:dyDescent="0.25">
      <c r="B9915" s="5">
        <v>9910</v>
      </c>
      <c r="C9915" s="5">
        <v>143.25403959770929</v>
      </c>
      <c r="D9915" s="45"/>
    </row>
    <row r="9916" spans="2:4" ht="16" thickBot="1" x14ac:dyDescent="0.25">
      <c r="B9916" s="4">
        <v>9911</v>
      </c>
      <c r="C9916" s="4">
        <v>121.13762794410374</v>
      </c>
      <c r="D9916" s="45"/>
    </row>
    <row r="9917" spans="2:4" ht="16" thickBot="1" x14ac:dyDescent="0.25">
      <c r="B9917" s="5">
        <v>9912</v>
      </c>
      <c r="C9917" s="5">
        <v>280.18638364266559</v>
      </c>
      <c r="D9917" s="45"/>
    </row>
    <row r="9918" spans="2:4" ht="16" thickBot="1" x14ac:dyDescent="0.25">
      <c r="B9918" s="4">
        <v>9913</v>
      </c>
      <c r="C9918" s="4">
        <v>218.67940588693651</v>
      </c>
      <c r="D9918" s="45"/>
    </row>
    <row r="9919" spans="2:4" ht="16" thickBot="1" x14ac:dyDescent="0.25">
      <c r="B9919" s="5">
        <v>9914</v>
      </c>
      <c r="C9919" s="5">
        <v>85.69380235101994</v>
      </c>
      <c r="D9919" s="45"/>
    </row>
    <row r="9920" spans="2:4" ht="16" thickBot="1" x14ac:dyDescent="0.25">
      <c r="B9920" s="4">
        <v>9915</v>
      </c>
      <c r="C9920" s="4">
        <v>188.74165970573324</v>
      </c>
      <c r="D9920" s="45"/>
    </row>
    <row r="9921" spans="2:4" ht="16" thickBot="1" x14ac:dyDescent="0.25">
      <c r="B9921" s="5">
        <v>9916</v>
      </c>
      <c r="C9921" s="5">
        <v>126.89119537753481</v>
      </c>
      <c r="D9921" s="45"/>
    </row>
    <row r="9922" spans="2:4" ht="16" thickBot="1" x14ac:dyDescent="0.25">
      <c r="B9922" s="4">
        <v>9917</v>
      </c>
      <c r="C9922" s="4">
        <v>273.66092383784144</v>
      </c>
      <c r="D9922" s="45"/>
    </row>
    <row r="9923" spans="2:4" ht="16" thickBot="1" x14ac:dyDescent="0.25">
      <c r="B9923" s="5">
        <v>9918</v>
      </c>
      <c r="C9923" s="5">
        <v>148.60353512685538</v>
      </c>
      <c r="D9923" s="45"/>
    </row>
    <row r="9924" spans="2:4" ht="16" thickBot="1" x14ac:dyDescent="0.25">
      <c r="B9924" s="4">
        <v>9919</v>
      </c>
      <c r="C9924" s="4">
        <v>200.45927534617823</v>
      </c>
      <c r="D9924" s="45"/>
    </row>
    <row r="9925" spans="2:4" ht="16" thickBot="1" x14ac:dyDescent="0.25">
      <c r="B9925" s="5">
        <v>9920</v>
      </c>
      <c r="C9925" s="5">
        <v>415.63752282473558</v>
      </c>
      <c r="D9925" s="45"/>
    </row>
    <row r="9926" spans="2:4" ht="16" thickBot="1" x14ac:dyDescent="0.25">
      <c r="B9926" s="4">
        <v>9921</v>
      </c>
      <c r="C9926" s="4">
        <v>82.923994361982025</v>
      </c>
      <c r="D9926" s="45"/>
    </row>
    <row r="9927" spans="2:4" ht="16" thickBot="1" x14ac:dyDescent="0.25">
      <c r="B9927" s="5">
        <v>9922</v>
      </c>
      <c r="C9927" s="5">
        <v>204.0074273495224</v>
      </c>
      <c r="D9927" s="45"/>
    </row>
    <row r="9928" spans="2:4" ht="16" thickBot="1" x14ac:dyDescent="0.25">
      <c r="B9928" s="4">
        <v>9923</v>
      </c>
      <c r="C9928" s="4">
        <v>111.97612000808982</v>
      </c>
      <c r="D9928" s="45"/>
    </row>
    <row r="9929" spans="2:4" ht="16" thickBot="1" x14ac:dyDescent="0.25">
      <c r="B9929" s="5">
        <v>9924</v>
      </c>
      <c r="C9929" s="5">
        <v>125.81680648342822</v>
      </c>
      <c r="D9929" s="45"/>
    </row>
    <row r="9930" spans="2:4" ht="16" thickBot="1" x14ac:dyDescent="0.25">
      <c r="B9930" s="4">
        <v>9925</v>
      </c>
      <c r="C9930" s="4">
        <v>156.8205636412082</v>
      </c>
      <c r="D9930" s="45"/>
    </row>
    <row r="9931" spans="2:4" ht="16" thickBot="1" x14ac:dyDescent="0.25">
      <c r="B9931" s="5">
        <v>9926</v>
      </c>
      <c r="C9931" s="5">
        <v>251.76414471232391</v>
      </c>
      <c r="D9931" s="45"/>
    </row>
    <row r="9932" spans="2:4" ht="16" thickBot="1" x14ac:dyDescent="0.25">
      <c r="B9932" s="4">
        <v>9927</v>
      </c>
      <c r="C9932" s="4">
        <v>188.67781424435051</v>
      </c>
      <c r="D9932" s="45"/>
    </row>
    <row r="9933" spans="2:4" ht="16" thickBot="1" x14ac:dyDescent="0.25">
      <c r="B9933" s="5">
        <v>9928</v>
      </c>
      <c r="C9933" s="5">
        <v>287.32880893112582</v>
      </c>
      <c r="D9933" s="45"/>
    </row>
    <row r="9934" spans="2:4" ht="16" thickBot="1" x14ac:dyDescent="0.25">
      <c r="B9934" s="4">
        <v>9929</v>
      </c>
      <c r="C9934" s="4">
        <v>54.817600026649451</v>
      </c>
      <c r="D9934" s="45"/>
    </row>
    <row r="9935" spans="2:4" ht="16" thickBot="1" x14ac:dyDescent="0.25">
      <c r="B9935" s="5">
        <v>9930</v>
      </c>
      <c r="C9935" s="5">
        <v>260.49611194037908</v>
      </c>
      <c r="D9935" s="45"/>
    </row>
    <row r="9936" spans="2:4" ht="16" thickBot="1" x14ac:dyDescent="0.25">
      <c r="B9936" s="4">
        <v>9931</v>
      </c>
      <c r="C9936" s="4">
        <v>146.73878356725797</v>
      </c>
      <c r="D9936" s="45"/>
    </row>
    <row r="9937" spans="2:4" ht="16" thickBot="1" x14ac:dyDescent="0.25">
      <c r="B9937" s="5">
        <v>9932</v>
      </c>
      <c r="C9937" s="5">
        <v>89.129479364289381</v>
      </c>
      <c r="D9937" s="45"/>
    </row>
    <row r="9938" spans="2:4" ht="16" thickBot="1" x14ac:dyDescent="0.25">
      <c r="B9938" s="4">
        <v>9933</v>
      </c>
      <c r="C9938" s="4">
        <v>114.12487182526918</v>
      </c>
      <c r="D9938" s="45"/>
    </row>
    <row r="9939" spans="2:4" ht="16" thickBot="1" x14ac:dyDescent="0.25">
      <c r="B9939" s="5">
        <v>9934</v>
      </c>
      <c r="C9939" s="5">
        <v>57.271115763991745</v>
      </c>
      <c r="D9939" s="45"/>
    </row>
    <row r="9940" spans="2:4" ht="16" thickBot="1" x14ac:dyDescent="0.25">
      <c r="B9940" s="4">
        <v>9935</v>
      </c>
      <c r="C9940" s="4">
        <v>186.8065507486196</v>
      </c>
      <c r="D9940" s="45"/>
    </row>
    <row r="9941" spans="2:4" ht="16" thickBot="1" x14ac:dyDescent="0.25">
      <c r="B9941" s="5">
        <v>9936</v>
      </c>
      <c r="C9941" s="5">
        <v>91.284550380667881</v>
      </c>
      <c r="D9941" s="45"/>
    </row>
    <row r="9942" spans="2:4" ht="16" thickBot="1" x14ac:dyDescent="0.25">
      <c r="B9942" s="4">
        <v>9937</v>
      </c>
      <c r="C9942" s="4">
        <v>131.91482821677846</v>
      </c>
      <c r="D9942" s="45"/>
    </row>
    <row r="9943" spans="2:4" ht="16" thickBot="1" x14ac:dyDescent="0.25">
      <c r="B9943" s="5">
        <v>9938</v>
      </c>
      <c r="C9943" s="5">
        <v>68.796385004347954</v>
      </c>
      <c r="D9943" s="45"/>
    </row>
    <row r="9944" spans="2:4" ht="16" thickBot="1" x14ac:dyDescent="0.25">
      <c r="B9944" s="4">
        <v>9939</v>
      </c>
      <c r="C9944" s="4">
        <v>142.01528240713213</v>
      </c>
      <c r="D9944" s="45"/>
    </row>
    <row r="9945" spans="2:4" ht="16" thickBot="1" x14ac:dyDescent="0.25">
      <c r="B9945" s="5">
        <v>9940</v>
      </c>
      <c r="C9945" s="5">
        <v>53.911543023866408</v>
      </c>
      <c r="D9945" s="45"/>
    </row>
    <row r="9946" spans="2:4" ht="16" thickBot="1" x14ac:dyDescent="0.25">
      <c r="B9946" s="4">
        <v>9941</v>
      </c>
      <c r="C9946" s="4">
        <v>112.22925950942677</v>
      </c>
      <c r="D9946" s="45"/>
    </row>
    <row r="9947" spans="2:4" ht="16" thickBot="1" x14ac:dyDescent="0.25">
      <c r="B9947" s="5">
        <v>9942</v>
      </c>
      <c r="C9947" s="5">
        <v>39.135851620662571</v>
      </c>
      <c r="D9947" s="45"/>
    </row>
    <row r="9948" spans="2:4" ht="16" thickBot="1" x14ac:dyDescent="0.25">
      <c r="B9948" s="4">
        <v>9943</v>
      </c>
      <c r="C9948" s="4">
        <v>186.01118713302782</v>
      </c>
      <c r="D9948" s="45"/>
    </row>
    <row r="9949" spans="2:4" ht="16" thickBot="1" x14ac:dyDescent="0.25">
      <c r="B9949" s="5">
        <v>9944</v>
      </c>
      <c r="C9949" s="5">
        <v>137.2580060040186</v>
      </c>
      <c r="D9949" s="45"/>
    </row>
    <row r="9950" spans="2:4" ht="16" thickBot="1" x14ac:dyDescent="0.25">
      <c r="B9950" s="4">
        <v>9945</v>
      </c>
      <c r="C9950" s="4">
        <v>145.47202292670622</v>
      </c>
      <c r="D9950" s="45"/>
    </row>
    <row r="9951" spans="2:4" ht="16" thickBot="1" x14ac:dyDescent="0.25">
      <c r="B9951" s="5">
        <v>9946</v>
      </c>
      <c r="C9951" s="5">
        <v>233.9090004913925</v>
      </c>
      <c r="D9951" s="45"/>
    </row>
    <row r="9952" spans="2:4" ht="16" thickBot="1" x14ac:dyDescent="0.25">
      <c r="B9952" s="4">
        <v>9947</v>
      </c>
      <c r="C9952" s="4">
        <v>88.904360133789666</v>
      </c>
      <c r="D9952" s="45"/>
    </row>
    <row r="9953" spans="2:4" ht="16" thickBot="1" x14ac:dyDescent="0.25">
      <c r="B9953" s="5">
        <v>9948</v>
      </c>
      <c r="C9953" s="5">
        <v>110.45642709585897</v>
      </c>
      <c r="D9953" s="45"/>
    </row>
    <row r="9954" spans="2:4" ht="16" thickBot="1" x14ac:dyDescent="0.25">
      <c r="B9954" s="4">
        <v>9949</v>
      </c>
      <c r="C9954" s="4">
        <v>247.99589080354244</v>
      </c>
      <c r="D9954" s="45"/>
    </row>
    <row r="9955" spans="2:4" ht="16" thickBot="1" x14ac:dyDescent="0.25">
      <c r="B9955" s="5">
        <v>9950</v>
      </c>
      <c r="C9955" s="5">
        <v>140.87900285645361</v>
      </c>
      <c r="D9955" s="45"/>
    </row>
    <row r="9956" spans="2:4" ht="16" thickBot="1" x14ac:dyDescent="0.25">
      <c r="B9956" s="4">
        <v>9951</v>
      </c>
      <c r="C9956" s="4">
        <v>274.68581054025532</v>
      </c>
      <c r="D9956" s="45"/>
    </row>
    <row r="9957" spans="2:4" ht="16" thickBot="1" x14ac:dyDescent="0.25">
      <c r="B9957" s="5">
        <v>9952</v>
      </c>
      <c r="C9957" s="5">
        <v>151.03569539758243</v>
      </c>
      <c r="D9957" s="45"/>
    </row>
    <row r="9958" spans="2:4" ht="16" thickBot="1" x14ac:dyDescent="0.25">
      <c r="B9958" s="4">
        <v>9953</v>
      </c>
      <c r="C9958" s="4">
        <v>160.98863472976001</v>
      </c>
      <c r="D9958" s="45"/>
    </row>
    <row r="9959" spans="2:4" ht="16" thickBot="1" x14ac:dyDescent="0.25">
      <c r="B9959" s="5">
        <v>9954</v>
      </c>
      <c r="C9959" s="5">
        <v>152.90084364154015</v>
      </c>
      <c r="D9959" s="45"/>
    </row>
    <row r="9960" spans="2:4" ht="16" thickBot="1" x14ac:dyDescent="0.25">
      <c r="B9960" s="4">
        <v>9955</v>
      </c>
      <c r="C9960" s="4">
        <v>227.71228561692678</v>
      </c>
      <c r="D9960" s="45"/>
    </row>
    <row r="9961" spans="2:4" ht="16" thickBot="1" x14ac:dyDescent="0.25">
      <c r="B9961" s="5">
        <v>9956</v>
      </c>
      <c r="C9961" s="5">
        <v>106.06510973709375</v>
      </c>
      <c r="D9961" s="45"/>
    </row>
    <row r="9962" spans="2:4" ht="16" thickBot="1" x14ac:dyDescent="0.25">
      <c r="B9962" s="4">
        <v>9957</v>
      </c>
      <c r="C9962" s="4">
        <v>113.56370088478199</v>
      </c>
      <c r="D9962" s="45"/>
    </row>
    <row r="9963" spans="2:4" ht="16" thickBot="1" x14ac:dyDescent="0.25">
      <c r="B9963" s="5">
        <v>9958</v>
      </c>
      <c r="C9963" s="5">
        <v>305.29845458005178</v>
      </c>
      <c r="D9963" s="45"/>
    </row>
    <row r="9964" spans="2:4" ht="16" thickBot="1" x14ac:dyDescent="0.25">
      <c r="B9964" s="4">
        <v>9959</v>
      </c>
      <c r="C9964" s="4">
        <v>185.39628374819932</v>
      </c>
      <c r="D9964" s="45"/>
    </row>
    <row r="9965" spans="2:4" ht="16" thickBot="1" x14ac:dyDescent="0.25">
      <c r="B9965" s="5">
        <v>9960</v>
      </c>
      <c r="C9965" s="5">
        <v>254.90604623650904</v>
      </c>
      <c r="D9965" s="45"/>
    </row>
    <row r="9966" spans="2:4" ht="16" thickBot="1" x14ac:dyDescent="0.25">
      <c r="B9966" s="4">
        <v>9961</v>
      </c>
      <c r="C9966" s="4">
        <v>63.67065102463566</v>
      </c>
      <c r="D9966" s="45"/>
    </row>
    <row r="9967" spans="2:4" ht="16" thickBot="1" x14ac:dyDescent="0.25">
      <c r="B9967" s="5">
        <v>9962</v>
      </c>
      <c r="C9967" s="5">
        <v>75.500448519564216</v>
      </c>
      <c r="D9967" s="45"/>
    </row>
    <row r="9968" spans="2:4" ht="16" thickBot="1" x14ac:dyDescent="0.25">
      <c r="B9968" s="4">
        <v>9963</v>
      </c>
      <c r="C9968" s="4">
        <v>124.83108994095046</v>
      </c>
      <c r="D9968" s="45"/>
    </row>
    <row r="9969" spans="2:4" ht="16" thickBot="1" x14ac:dyDescent="0.25">
      <c r="B9969" s="5">
        <v>9964</v>
      </c>
      <c r="C9969" s="5">
        <v>108.73078269703898</v>
      </c>
      <c r="D9969" s="45"/>
    </row>
    <row r="9970" spans="2:4" ht="16" thickBot="1" x14ac:dyDescent="0.25">
      <c r="B9970" s="4">
        <v>9965</v>
      </c>
      <c r="C9970" s="4">
        <v>331.09626620495885</v>
      </c>
      <c r="D9970" s="45"/>
    </row>
    <row r="9971" spans="2:4" ht="16" thickBot="1" x14ac:dyDescent="0.25">
      <c r="B9971" s="5">
        <v>9966</v>
      </c>
      <c r="C9971" s="5">
        <v>181.86070828032905</v>
      </c>
      <c r="D9971" s="45"/>
    </row>
    <row r="9972" spans="2:4" ht="16" thickBot="1" x14ac:dyDescent="0.25">
      <c r="B9972" s="4">
        <v>9967</v>
      </c>
      <c r="C9972" s="4">
        <v>109.40286092390238</v>
      </c>
      <c r="D9972" s="45"/>
    </row>
    <row r="9973" spans="2:4" ht="16" thickBot="1" x14ac:dyDescent="0.25">
      <c r="B9973" s="5">
        <v>9968</v>
      </c>
      <c r="C9973" s="5">
        <v>82.804436295195089</v>
      </c>
      <c r="D9973" s="45"/>
    </row>
    <row r="9974" spans="2:4" ht="16" thickBot="1" x14ac:dyDescent="0.25">
      <c r="B9974" s="4">
        <v>9969</v>
      </c>
      <c r="C9974" s="4">
        <v>297.07844044778039</v>
      </c>
      <c r="D9974" s="45"/>
    </row>
    <row r="9975" spans="2:4" ht="16" thickBot="1" x14ac:dyDescent="0.25">
      <c r="B9975" s="5">
        <v>9970</v>
      </c>
      <c r="C9975" s="5">
        <v>246.33516257748471</v>
      </c>
      <c r="D9975" s="45"/>
    </row>
    <row r="9976" spans="2:4" ht="16" thickBot="1" x14ac:dyDescent="0.25">
      <c r="B9976" s="4">
        <v>9971</v>
      </c>
      <c r="C9976" s="4">
        <v>127.17562134574509</v>
      </c>
      <c r="D9976" s="45"/>
    </row>
    <row r="9977" spans="2:4" ht="16" thickBot="1" x14ac:dyDescent="0.25">
      <c r="B9977" s="5">
        <v>9972</v>
      </c>
      <c r="C9977" s="5">
        <v>118.63084288734792</v>
      </c>
      <c r="D9977" s="45"/>
    </row>
    <row r="9978" spans="2:4" ht="16" thickBot="1" x14ac:dyDescent="0.25">
      <c r="B9978" s="4">
        <v>9973</v>
      </c>
      <c r="C9978" s="4">
        <v>85.462782453166497</v>
      </c>
      <c r="D9978" s="45"/>
    </row>
    <row r="9979" spans="2:4" ht="16" thickBot="1" x14ac:dyDescent="0.25">
      <c r="B9979" s="5">
        <v>9974</v>
      </c>
      <c r="C9979" s="5">
        <v>167.93436428299881</v>
      </c>
      <c r="D9979" s="45"/>
    </row>
    <row r="9980" spans="2:4" ht="16" thickBot="1" x14ac:dyDescent="0.25">
      <c r="B9980" s="4">
        <v>9975</v>
      </c>
      <c r="C9980" s="4">
        <v>158.6741393978244</v>
      </c>
      <c r="D9980" s="45"/>
    </row>
    <row r="9981" spans="2:4" ht="16" thickBot="1" x14ac:dyDescent="0.25">
      <c r="B9981" s="5">
        <v>9976</v>
      </c>
      <c r="C9981" s="5">
        <v>177.53201061783193</v>
      </c>
      <c r="D9981" s="45"/>
    </row>
    <row r="9982" spans="2:4" ht="16" thickBot="1" x14ac:dyDescent="0.25">
      <c r="B9982" s="4">
        <v>9977</v>
      </c>
      <c r="C9982" s="4">
        <v>315.9521848233814</v>
      </c>
      <c r="D9982" s="45"/>
    </row>
    <row r="9983" spans="2:4" ht="16" thickBot="1" x14ac:dyDescent="0.25">
      <c r="B9983" s="5">
        <v>9978</v>
      </c>
      <c r="C9983" s="5">
        <v>67.770740634866911</v>
      </c>
      <c r="D9983" s="45"/>
    </row>
    <row r="9984" spans="2:4" ht="16" thickBot="1" x14ac:dyDescent="0.25">
      <c r="B9984" s="4">
        <v>9979</v>
      </c>
      <c r="C9984" s="4">
        <v>138.68410302012506</v>
      </c>
      <c r="D9984" s="45"/>
    </row>
    <row r="9985" spans="2:4" ht="16" thickBot="1" x14ac:dyDescent="0.25">
      <c r="B9985" s="5">
        <v>9980</v>
      </c>
      <c r="C9985" s="5">
        <v>98.529866946519959</v>
      </c>
      <c r="D9985" s="45"/>
    </row>
    <row r="9986" spans="2:4" ht="16" thickBot="1" x14ac:dyDescent="0.25">
      <c r="B9986" s="4">
        <v>9981</v>
      </c>
      <c r="C9986" s="4">
        <v>136.09900560250847</v>
      </c>
      <c r="D9986" s="45"/>
    </row>
    <row r="9987" spans="2:4" ht="16" thickBot="1" x14ac:dyDescent="0.25">
      <c r="B9987" s="5">
        <v>9982</v>
      </c>
      <c r="C9987" s="5">
        <v>94.394053513744836</v>
      </c>
      <c r="D9987" s="45"/>
    </row>
    <row r="9988" spans="2:4" ht="16" thickBot="1" x14ac:dyDescent="0.25">
      <c r="B9988" s="4">
        <v>9983</v>
      </c>
      <c r="C9988" s="4">
        <v>142.96899990351886</v>
      </c>
      <c r="D9988" s="45"/>
    </row>
    <row r="9989" spans="2:4" ht="16" thickBot="1" x14ac:dyDescent="0.25">
      <c r="B9989" s="5">
        <v>9984</v>
      </c>
      <c r="C9989" s="5">
        <v>94.067510852451633</v>
      </c>
      <c r="D9989" s="45"/>
    </row>
    <row r="9990" spans="2:4" ht="16" thickBot="1" x14ac:dyDescent="0.25">
      <c r="B9990" s="4">
        <v>9985</v>
      </c>
      <c r="C9990" s="4">
        <v>133.24000294004682</v>
      </c>
      <c r="D9990" s="45"/>
    </row>
    <row r="9991" spans="2:4" ht="16" thickBot="1" x14ac:dyDescent="0.25">
      <c r="B9991" s="5">
        <v>9986</v>
      </c>
      <c r="C9991" s="5">
        <v>156.35610535227099</v>
      </c>
      <c r="D9991" s="45"/>
    </row>
    <row r="9992" spans="2:4" ht="16" thickBot="1" x14ac:dyDescent="0.25">
      <c r="B9992" s="4">
        <v>9987</v>
      </c>
      <c r="C9992" s="4">
        <v>79.570464987334347</v>
      </c>
      <c r="D9992" s="45"/>
    </row>
    <row r="9993" spans="2:4" ht="16" thickBot="1" x14ac:dyDescent="0.25">
      <c r="B9993" s="5">
        <v>9988</v>
      </c>
      <c r="C9993" s="5">
        <v>267.45565740293773</v>
      </c>
      <c r="D9993" s="45"/>
    </row>
    <row r="9994" spans="2:4" ht="16" thickBot="1" x14ac:dyDescent="0.25">
      <c r="B9994" s="4">
        <v>9989</v>
      </c>
      <c r="C9994" s="4">
        <v>153.61972260839144</v>
      </c>
      <c r="D9994" s="45"/>
    </row>
    <row r="9995" spans="2:4" ht="16" thickBot="1" x14ac:dyDescent="0.25">
      <c r="B9995" s="5">
        <v>9990</v>
      </c>
      <c r="C9995" s="5">
        <v>146.20546666967792</v>
      </c>
      <c r="D9995" s="45"/>
    </row>
    <row r="9996" spans="2:4" ht="16" thickBot="1" x14ac:dyDescent="0.25">
      <c r="B9996" s="4">
        <v>9991</v>
      </c>
      <c r="C9996" s="4">
        <v>99.885397191831672</v>
      </c>
      <c r="D9996" s="45"/>
    </row>
    <row r="9997" spans="2:4" ht="16" thickBot="1" x14ac:dyDescent="0.25">
      <c r="B9997" s="5">
        <v>9992</v>
      </c>
      <c r="C9997" s="5">
        <v>202.84507341116398</v>
      </c>
      <c r="D9997" s="45"/>
    </row>
    <row r="9998" spans="2:4" ht="16" thickBot="1" x14ac:dyDescent="0.25">
      <c r="B9998" s="4">
        <v>9993</v>
      </c>
      <c r="C9998" s="4">
        <v>101.48347023784999</v>
      </c>
      <c r="D9998" s="45"/>
    </row>
    <row r="9999" spans="2:4" ht="16" thickBot="1" x14ac:dyDescent="0.25">
      <c r="B9999" s="5">
        <v>9994</v>
      </c>
      <c r="C9999" s="5">
        <v>123.51737124239511</v>
      </c>
      <c r="D9999" s="45"/>
    </row>
    <row r="10000" spans="2:4" ht="16" thickBot="1" x14ac:dyDescent="0.25">
      <c r="B10000" s="4">
        <v>9995</v>
      </c>
      <c r="C10000" s="4">
        <v>180.85059292863633</v>
      </c>
      <c r="D10000" s="45"/>
    </row>
    <row r="10001" spans="2:4" ht="16" thickBot="1" x14ac:dyDescent="0.25">
      <c r="B10001" s="5">
        <v>9996</v>
      </c>
      <c r="C10001" s="5">
        <v>118.76891755572241</v>
      </c>
      <c r="D10001" s="45"/>
    </row>
    <row r="10002" spans="2:4" ht="16" thickBot="1" x14ac:dyDescent="0.25">
      <c r="B10002" s="4">
        <v>9997</v>
      </c>
      <c r="C10002" s="4">
        <v>162.73414305739524</v>
      </c>
      <c r="D10002" s="45"/>
    </row>
    <row r="10003" spans="2:4" ht="16" thickBot="1" x14ac:dyDescent="0.25">
      <c r="B10003" s="5">
        <v>9998</v>
      </c>
      <c r="C10003" s="5">
        <v>305.01968956654036</v>
      </c>
      <c r="D10003" s="45"/>
    </row>
    <row r="10004" spans="2:4" ht="16" thickBot="1" x14ac:dyDescent="0.25">
      <c r="B10004" s="4">
        <v>9999</v>
      </c>
      <c r="C10004" s="4">
        <v>98.226787578309356</v>
      </c>
      <c r="D10004" s="45"/>
    </row>
    <row r="10005" spans="2:4" ht="16" thickBot="1" x14ac:dyDescent="0.25">
      <c r="B10005" s="5">
        <v>10000</v>
      </c>
      <c r="C10005" s="5">
        <v>121.83357011622486</v>
      </c>
      <c r="D10005" s="45"/>
    </row>
    <row r="10007" spans="2:4" x14ac:dyDescent="0.2">
      <c r="C10007" s="32"/>
    </row>
    <row r="10008" spans="2:4" x14ac:dyDescent="0.2">
      <c r="C10008" s="19"/>
    </row>
  </sheetData>
  <mergeCells count="5">
    <mergeCell ref="Q24:W24"/>
    <mergeCell ref="Y24:AE24"/>
    <mergeCell ref="AG24:AJ24"/>
    <mergeCell ref="AG44:AI47"/>
    <mergeCell ref="Y45:AE4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BE18-256E-401C-B62F-6E54A075964E}">
  <sheetPr codeName="Hoja3">
    <tabColor theme="1" tint="0.499984740745262"/>
  </sheetPr>
  <dimension ref="B2:T62"/>
  <sheetViews>
    <sheetView topLeftCell="A38" zoomScale="120" zoomScaleNormal="120" workbookViewId="0">
      <selection activeCell="F1" sqref="F1"/>
    </sheetView>
  </sheetViews>
  <sheetFormatPr baseColWidth="10" defaultColWidth="11.5" defaultRowHeight="15" x14ac:dyDescent="0.2"/>
  <cols>
    <col min="1" max="1" width="3.6640625" style="26" customWidth="1"/>
    <col min="2" max="16384" width="11.5" style="26"/>
  </cols>
  <sheetData>
    <row r="2" spans="2:20" x14ac:dyDescent="0.2">
      <c r="B2" s="27" t="s">
        <v>42</v>
      </c>
    </row>
    <row r="4" spans="2:20" ht="16" thickBot="1" x14ac:dyDescent="0.25"/>
    <row r="5" spans="2:20" ht="16" thickBot="1" x14ac:dyDescent="0.25">
      <c r="B5" s="88" t="s">
        <v>35</v>
      </c>
      <c r="C5" s="90" t="s">
        <v>43</v>
      </c>
      <c r="D5" s="91"/>
      <c r="E5" s="91"/>
      <c r="F5" s="91"/>
      <c r="G5" s="91"/>
      <c r="H5" s="91"/>
      <c r="I5" s="91"/>
      <c r="J5" s="92"/>
      <c r="M5" s="28"/>
    </row>
    <row r="6" spans="2:20" ht="16" thickBot="1" x14ac:dyDescent="0.25">
      <c r="B6" s="89"/>
      <c r="C6" s="31">
        <v>0.2</v>
      </c>
      <c r="D6" s="31">
        <v>0.1</v>
      </c>
      <c r="E6" s="31">
        <v>0.05</v>
      </c>
      <c r="F6" s="31">
        <v>0.02</v>
      </c>
      <c r="G6" s="31">
        <v>0.01</v>
      </c>
      <c r="H6" s="31">
        <v>5.0000000000000001E-3</v>
      </c>
      <c r="I6" s="31">
        <v>2E-3</v>
      </c>
      <c r="J6" s="31">
        <v>1E-3</v>
      </c>
      <c r="M6" s="29"/>
      <c r="N6" s="29"/>
      <c r="O6" s="29"/>
      <c r="P6" s="29"/>
      <c r="Q6" s="29"/>
      <c r="R6" s="29"/>
      <c r="S6" s="29"/>
      <c r="T6" s="29"/>
    </row>
    <row r="7" spans="2:20" ht="16" thickBot="1" x14ac:dyDescent="0.25">
      <c r="B7" s="30">
        <v>1</v>
      </c>
      <c r="C7" s="25">
        <v>0.9</v>
      </c>
      <c r="D7" s="25">
        <v>0.95</v>
      </c>
      <c r="E7" s="39">
        <v>0.97499999999999998</v>
      </c>
      <c r="F7" s="25">
        <v>0.99</v>
      </c>
      <c r="G7" s="25">
        <v>0.995</v>
      </c>
      <c r="H7" s="25">
        <v>0.99750000000000005</v>
      </c>
      <c r="I7" s="25">
        <v>0.999</v>
      </c>
      <c r="J7" s="25">
        <v>0.99950000000000006</v>
      </c>
    </row>
    <row r="8" spans="2:20" ht="16" thickBot="1" x14ac:dyDescent="0.25">
      <c r="B8" s="30">
        <v>2</v>
      </c>
      <c r="C8" s="25">
        <v>0.68337000000000003</v>
      </c>
      <c r="D8" s="25">
        <v>0.77639000000000002</v>
      </c>
      <c r="E8" s="39">
        <v>0.84189000000000003</v>
      </c>
      <c r="F8" s="25">
        <v>0.9</v>
      </c>
      <c r="G8" s="25">
        <v>0.92928999999999995</v>
      </c>
      <c r="H8" s="25">
        <v>0.95</v>
      </c>
      <c r="I8" s="25">
        <v>0.96838000000000002</v>
      </c>
      <c r="J8" s="25">
        <v>0.97763999999999995</v>
      </c>
    </row>
    <row r="9" spans="2:20" ht="16" thickBot="1" x14ac:dyDescent="0.25">
      <c r="B9" s="30">
        <v>3</v>
      </c>
      <c r="C9" s="25">
        <v>0.56481000000000003</v>
      </c>
      <c r="D9" s="25">
        <v>0.63604000000000005</v>
      </c>
      <c r="E9" s="39">
        <v>0.70760000000000001</v>
      </c>
      <c r="F9" s="25">
        <v>0.78456000000000004</v>
      </c>
      <c r="G9" s="25">
        <v>0.82899999999999996</v>
      </c>
      <c r="H9" s="25">
        <v>0.86428000000000005</v>
      </c>
      <c r="I9" s="25">
        <v>0.9</v>
      </c>
      <c r="J9" s="25">
        <v>0.92064999999999997</v>
      </c>
    </row>
    <row r="10" spans="2:20" ht="16" thickBot="1" x14ac:dyDescent="0.25">
      <c r="B10" s="30">
        <v>4</v>
      </c>
      <c r="C10" s="25">
        <v>0.49264999999999998</v>
      </c>
      <c r="D10" s="25">
        <v>0.56521999999999994</v>
      </c>
      <c r="E10" s="39">
        <v>0.62394000000000005</v>
      </c>
      <c r="F10" s="25">
        <v>0.68886999999999998</v>
      </c>
      <c r="G10" s="25">
        <v>0.73424</v>
      </c>
      <c r="H10" s="25">
        <v>0.77639000000000002</v>
      </c>
      <c r="I10" s="25">
        <v>0.82216999999999996</v>
      </c>
      <c r="J10" s="25">
        <v>0.85046999999999995</v>
      </c>
    </row>
    <row r="11" spans="2:20" ht="16" thickBot="1" x14ac:dyDescent="0.25">
      <c r="B11" s="30">
        <v>5</v>
      </c>
      <c r="C11" s="25">
        <v>0.44697999999999999</v>
      </c>
      <c r="D11" s="25">
        <v>0.50944999999999996</v>
      </c>
      <c r="E11" s="39">
        <v>0.56328</v>
      </c>
      <c r="F11" s="25">
        <v>0.62717999999999996</v>
      </c>
      <c r="G11" s="25">
        <v>0.66852999999999996</v>
      </c>
      <c r="H11" s="25">
        <v>0.70543</v>
      </c>
      <c r="I11" s="25">
        <v>0.75</v>
      </c>
      <c r="J11" s="25">
        <v>0.78137000000000001</v>
      </c>
    </row>
    <row r="12" spans="2:20" ht="16" thickBot="1" x14ac:dyDescent="0.25">
      <c r="B12" s="30">
        <v>6</v>
      </c>
      <c r="C12" s="25">
        <v>0.41037000000000001</v>
      </c>
      <c r="D12" s="25">
        <v>0.46799000000000002</v>
      </c>
      <c r="E12" s="39">
        <v>0.51926000000000005</v>
      </c>
      <c r="F12" s="25">
        <v>0.57740999999999998</v>
      </c>
      <c r="G12" s="25">
        <v>0.61660999999999999</v>
      </c>
      <c r="H12" s="25">
        <v>0.65286999999999995</v>
      </c>
      <c r="I12" s="25">
        <v>0.69571000000000005</v>
      </c>
      <c r="J12" s="25">
        <v>0.72479000000000005</v>
      </c>
    </row>
    <row r="13" spans="2:20" ht="16" thickBot="1" x14ac:dyDescent="0.25">
      <c r="B13" s="30">
        <v>7</v>
      </c>
      <c r="C13" s="25">
        <v>0.38147999999999999</v>
      </c>
      <c r="D13" s="25">
        <v>0.43607000000000001</v>
      </c>
      <c r="E13" s="39">
        <v>0.48342000000000002</v>
      </c>
      <c r="F13" s="25">
        <v>0.53844000000000003</v>
      </c>
      <c r="G13" s="25">
        <v>0.57581000000000004</v>
      </c>
      <c r="H13" s="25">
        <v>0.60975000000000001</v>
      </c>
      <c r="I13" s="25">
        <v>0.65071000000000001</v>
      </c>
      <c r="J13" s="25">
        <v>0.67930000000000001</v>
      </c>
    </row>
    <row r="14" spans="2:20" ht="16" thickBot="1" x14ac:dyDescent="0.25">
      <c r="B14" s="30">
        <v>8</v>
      </c>
      <c r="C14" s="25">
        <v>0.35831000000000002</v>
      </c>
      <c r="D14" s="25">
        <v>0.40961999999999998</v>
      </c>
      <c r="E14" s="39">
        <v>0.45427000000000001</v>
      </c>
      <c r="F14" s="25">
        <v>0.50653999999999999</v>
      </c>
      <c r="G14" s="25">
        <v>0.54178999999999999</v>
      </c>
      <c r="H14" s="25">
        <v>0.57428999999999997</v>
      </c>
      <c r="I14" s="25">
        <v>0.61368</v>
      </c>
      <c r="J14" s="25">
        <v>0.64097999999999999</v>
      </c>
    </row>
    <row r="15" spans="2:20" ht="16" thickBot="1" x14ac:dyDescent="0.25">
      <c r="B15" s="30">
        <v>9</v>
      </c>
      <c r="C15" s="25">
        <v>0.33910000000000001</v>
      </c>
      <c r="D15" s="25">
        <v>0.38746000000000003</v>
      </c>
      <c r="E15" s="39">
        <v>0.43001</v>
      </c>
      <c r="F15" s="25">
        <v>0.47960000000000003</v>
      </c>
      <c r="G15" s="25">
        <v>0.51332</v>
      </c>
      <c r="H15" s="25">
        <v>0.54442999999999997</v>
      </c>
      <c r="I15" s="25">
        <v>0.58209999999999995</v>
      </c>
      <c r="J15" s="25">
        <v>0.60846</v>
      </c>
    </row>
    <row r="16" spans="2:20" ht="16" thickBot="1" x14ac:dyDescent="0.25">
      <c r="B16" s="30">
        <v>10</v>
      </c>
      <c r="C16" s="25">
        <v>0.3226</v>
      </c>
      <c r="D16" s="25">
        <v>0.36865999999999999</v>
      </c>
      <c r="E16" s="39">
        <v>0.40925</v>
      </c>
      <c r="F16" s="25">
        <v>0.45562000000000002</v>
      </c>
      <c r="G16" s="25">
        <v>0.48892999999999998</v>
      </c>
      <c r="H16" s="25">
        <v>0.51871999999999996</v>
      </c>
      <c r="I16" s="25">
        <v>0.55500000000000005</v>
      </c>
      <c r="J16" s="25">
        <v>0.58042000000000005</v>
      </c>
    </row>
    <row r="17" spans="2:10" ht="16" thickBot="1" x14ac:dyDescent="0.25">
      <c r="B17" s="30">
        <v>11</v>
      </c>
      <c r="C17" s="25">
        <v>0.30829000000000001</v>
      </c>
      <c r="D17" s="25">
        <v>0.35242000000000001</v>
      </c>
      <c r="E17" s="39">
        <v>0.39122000000000001</v>
      </c>
      <c r="F17" s="25">
        <v>0.43669999999999998</v>
      </c>
      <c r="G17" s="25">
        <v>0.4677</v>
      </c>
      <c r="H17" s="25">
        <v>0.49539</v>
      </c>
      <c r="I17" s="25">
        <v>0.53134999999999999</v>
      </c>
      <c r="J17" s="25">
        <v>0.55588000000000004</v>
      </c>
    </row>
    <row r="18" spans="2:10" ht="16" thickBot="1" x14ac:dyDescent="0.25">
      <c r="B18" s="30">
        <v>12</v>
      </c>
      <c r="C18" s="25">
        <v>0.29576999999999998</v>
      </c>
      <c r="D18" s="25">
        <v>0.33815000000000001</v>
      </c>
      <c r="E18" s="39">
        <v>0.37542999999999999</v>
      </c>
      <c r="F18" s="25">
        <v>0.41918</v>
      </c>
      <c r="G18" s="25">
        <v>0.44905</v>
      </c>
      <c r="H18" s="25">
        <v>0.47671999999999998</v>
      </c>
      <c r="I18" s="25">
        <v>0.51046999999999998</v>
      </c>
      <c r="J18" s="25">
        <v>0.53422000000000003</v>
      </c>
    </row>
    <row r="19" spans="2:10" ht="16" thickBot="1" x14ac:dyDescent="0.25">
      <c r="B19" s="30">
        <v>13</v>
      </c>
      <c r="C19" s="25">
        <v>0.28470000000000001</v>
      </c>
      <c r="D19" s="25">
        <v>0.32549</v>
      </c>
      <c r="E19" s="39">
        <v>0.36142999999999997</v>
      </c>
      <c r="F19" s="25">
        <v>0.40361999999999998</v>
      </c>
      <c r="G19" s="25">
        <v>0.43247000000000002</v>
      </c>
      <c r="H19" s="25">
        <v>0.45921000000000001</v>
      </c>
      <c r="I19" s="25">
        <v>0.49188999999999999</v>
      </c>
      <c r="J19" s="25">
        <v>0.51490000000000002</v>
      </c>
    </row>
    <row r="20" spans="2:10" ht="16" thickBot="1" x14ac:dyDescent="0.25">
      <c r="B20" s="30">
        <v>14</v>
      </c>
      <c r="C20" s="25">
        <v>0.27481</v>
      </c>
      <c r="D20" s="25">
        <v>0.31417</v>
      </c>
      <c r="E20" s="39">
        <v>0.34889999999999999</v>
      </c>
      <c r="F20" s="25">
        <v>0.38969999999999999</v>
      </c>
      <c r="G20" s="25">
        <v>0.41761999999999999</v>
      </c>
      <c r="H20" s="25">
        <v>0.44352000000000003</v>
      </c>
      <c r="I20" s="25">
        <v>0.47520000000000001</v>
      </c>
      <c r="J20" s="25">
        <v>0.49752999999999997</v>
      </c>
    </row>
    <row r="21" spans="2:10" ht="16" thickBot="1" x14ac:dyDescent="0.25">
      <c r="B21" s="30">
        <v>15</v>
      </c>
      <c r="C21" s="25">
        <v>0.26589000000000002</v>
      </c>
      <c r="D21" s="25">
        <v>0.30397000000000002</v>
      </c>
      <c r="E21" s="39">
        <v>0.33750000000000002</v>
      </c>
      <c r="F21" s="25">
        <v>0.37713000000000002</v>
      </c>
      <c r="G21" s="25">
        <v>0.4042</v>
      </c>
      <c r="H21" s="25">
        <v>0.42934</v>
      </c>
      <c r="I21" s="25">
        <v>0.45611000000000002</v>
      </c>
      <c r="J21" s="25">
        <v>0.48182000000000003</v>
      </c>
    </row>
    <row r="22" spans="2:10" ht="16" thickBot="1" x14ac:dyDescent="0.25">
      <c r="B22" s="30">
        <v>16</v>
      </c>
      <c r="C22" s="25">
        <v>0.25778000000000001</v>
      </c>
      <c r="D22" s="25">
        <v>0.29471999999999998</v>
      </c>
      <c r="E22" s="39">
        <v>0.32733000000000001</v>
      </c>
      <c r="F22" s="25">
        <v>0.36570999999999998</v>
      </c>
      <c r="G22" s="25">
        <v>0.39201000000000003</v>
      </c>
      <c r="H22" s="25">
        <v>0.41643999999999998</v>
      </c>
      <c r="I22" s="25">
        <v>0.44636999999999999</v>
      </c>
      <c r="J22" s="25">
        <v>0.46750000000000003</v>
      </c>
    </row>
    <row r="23" spans="2:10" ht="16" thickBot="1" x14ac:dyDescent="0.25">
      <c r="B23" s="30">
        <v>17</v>
      </c>
      <c r="C23" s="25">
        <v>0.25039</v>
      </c>
      <c r="D23" s="25">
        <v>0.28627000000000002</v>
      </c>
      <c r="E23" s="39">
        <v>0.31796000000000002</v>
      </c>
      <c r="F23" s="25">
        <v>0.35527999999999998</v>
      </c>
      <c r="G23" s="25">
        <v>0.38085999999999998</v>
      </c>
      <c r="H23" s="25">
        <v>0.40464</v>
      </c>
      <c r="I23" s="25">
        <v>0.43380000000000002</v>
      </c>
      <c r="J23" s="25">
        <v>0.45540000000000003</v>
      </c>
    </row>
    <row r="24" spans="2:10" ht="16" thickBot="1" x14ac:dyDescent="0.25">
      <c r="B24" s="30">
        <v>18</v>
      </c>
      <c r="C24" s="25">
        <v>0.24360000000000001</v>
      </c>
      <c r="D24" s="25">
        <v>0.27850999999999998</v>
      </c>
      <c r="E24" s="39">
        <v>0.30936000000000002</v>
      </c>
      <c r="F24" s="25">
        <v>0.34569</v>
      </c>
      <c r="G24" s="25">
        <v>0.37062</v>
      </c>
      <c r="H24" s="25">
        <v>0.39379999999999998</v>
      </c>
      <c r="I24" s="25">
        <v>0.42224</v>
      </c>
      <c r="J24" s="25">
        <v>0.44234000000000001</v>
      </c>
    </row>
    <row r="25" spans="2:10" ht="16" thickBot="1" x14ac:dyDescent="0.25">
      <c r="B25" s="30">
        <v>19</v>
      </c>
      <c r="C25" s="25">
        <v>0.23735000000000001</v>
      </c>
      <c r="D25" s="25">
        <v>0.27135999999999999</v>
      </c>
      <c r="E25" s="39">
        <v>0.30142999999999998</v>
      </c>
      <c r="F25" s="25">
        <v>0.33684999999999998</v>
      </c>
      <c r="G25" s="25">
        <v>0.36116999999999999</v>
      </c>
      <c r="H25" s="25">
        <v>0.38379000000000002</v>
      </c>
      <c r="I25" s="25">
        <v>0.41155999999999998</v>
      </c>
      <c r="J25" s="25">
        <v>0.43119000000000002</v>
      </c>
    </row>
    <row r="26" spans="2:10" ht="16" thickBot="1" x14ac:dyDescent="0.25">
      <c r="B26" s="30">
        <v>20</v>
      </c>
      <c r="C26" s="25">
        <v>0.23155999999999999</v>
      </c>
      <c r="D26" s="25">
        <v>0.26473000000000002</v>
      </c>
      <c r="E26" s="39">
        <v>0.29408000000000001</v>
      </c>
      <c r="F26" s="25">
        <v>0.32866000000000001</v>
      </c>
      <c r="G26" s="25">
        <v>0.35241</v>
      </c>
      <c r="H26" s="25">
        <v>0.37451000000000001</v>
      </c>
      <c r="I26" s="25">
        <v>0.40165000000000001</v>
      </c>
      <c r="J26" s="25">
        <v>0.42085</v>
      </c>
    </row>
    <row r="27" spans="2:10" ht="16" thickBot="1" x14ac:dyDescent="0.25">
      <c r="B27" s="30">
        <v>21</v>
      </c>
      <c r="C27" s="25">
        <v>0.22517000000000001</v>
      </c>
      <c r="D27" s="25">
        <v>0.25857999999999998</v>
      </c>
      <c r="E27" s="39">
        <v>0.28724</v>
      </c>
      <c r="F27" s="25">
        <v>0.32103999999999999</v>
      </c>
      <c r="G27" s="25">
        <v>0.34426000000000001</v>
      </c>
      <c r="H27" s="25">
        <v>0.36587999999999998</v>
      </c>
      <c r="I27" s="25">
        <v>0.39243</v>
      </c>
      <c r="J27" s="25">
        <v>0.41121999999999997</v>
      </c>
    </row>
    <row r="28" spans="2:10" ht="16" thickBot="1" x14ac:dyDescent="0.25">
      <c r="B28" s="30">
        <v>22</v>
      </c>
      <c r="C28" s="25">
        <v>0.22115000000000001</v>
      </c>
      <c r="D28" s="25">
        <v>0.25283</v>
      </c>
      <c r="E28" s="39">
        <v>0.28087000000000001</v>
      </c>
      <c r="F28" s="25">
        <v>0.31394</v>
      </c>
      <c r="G28" s="25">
        <v>0.33666000000000001</v>
      </c>
      <c r="H28" s="25">
        <v>0.35782000000000003</v>
      </c>
      <c r="I28" s="25">
        <v>0.38381999999999999</v>
      </c>
      <c r="J28" s="25">
        <v>0.40222999999999998</v>
      </c>
    </row>
    <row r="29" spans="2:10" ht="16" thickBot="1" x14ac:dyDescent="0.25">
      <c r="B29" s="30">
        <v>23</v>
      </c>
      <c r="C29" s="25">
        <v>0.21646000000000001</v>
      </c>
      <c r="D29" s="25">
        <v>0.24746000000000001</v>
      </c>
      <c r="E29" s="39">
        <v>0.27496999999999999</v>
      </c>
      <c r="F29" s="25">
        <v>0.30728</v>
      </c>
      <c r="G29" s="25">
        <v>0.32954</v>
      </c>
      <c r="H29" s="25">
        <v>0.35027000000000003</v>
      </c>
      <c r="I29" s="25">
        <v>0.37574999999999997</v>
      </c>
      <c r="J29" s="25">
        <v>0.39379999999999998</v>
      </c>
    </row>
    <row r="30" spans="2:10" ht="16" thickBot="1" x14ac:dyDescent="0.25">
      <c r="B30" s="30">
        <v>24</v>
      </c>
      <c r="C30" s="25">
        <v>0.21204999999999999</v>
      </c>
      <c r="D30" s="25">
        <v>0.24242</v>
      </c>
      <c r="E30" s="39">
        <v>0.26930999999999999</v>
      </c>
      <c r="F30" s="25">
        <v>0.30103999999999997</v>
      </c>
      <c r="G30" s="25">
        <v>0.32285999999999998</v>
      </c>
      <c r="H30" s="25">
        <v>0.34317999999999999</v>
      </c>
      <c r="I30" s="25">
        <v>0.36786999999999997</v>
      </c>
      <c r="J30" s="25">
        <v>0.38588</v>
      </c>
    </row>
    <row r="31" spans="2:10" ht="16" thickBot="1" x14ac:dyDescent="0.25">
      <c r="B31" s="30">
        <v>25</v>
      </c>
      <c r="C31" s="25">
        <v>0.2079</v>
      </c>
      <c r="D31" s="25">
        <v>0.23768</v>
      </c>
      <c r="E31" s="39">
        <v>0.26404</v>
      </c>
      <c r="F31" s="25">
        <v>0.29518</v>
      </c>
      <c r="G31" s="25">
        <v>0.31657000000000002</v>
      </c>
      <c r="H31" s="25">
        <v>0.33650999999999998</v>
      </c>
      <c r="I31" s="25">
        <v>0.36104000000000003</v>
      </c>
      <c r="J31" s="25">
        <v>0.37742999999999999</v>
      </c>
    </row>
    <row r="32" spans="2:10" ht="16" thickBot="1" x14ac:dyDescent="0.25">
      <c r="B32" s="30">
        <v>26</v>
      </c>
      <c r="C32" s="25">
        <v>0.20399</v>
      </c>
      <c r="D32" s="25">
        <v>0.23319999999999999</v>
      </c>
      <c r="E32" s="39">
        <v>0.25907999999999998</v>
      </c>
      <c r="F32" s="25">
        <v>0.28961999999999999</v>
      </c>
      <c r="G32" s="25">
        <v>0.30963000000000002</v>
      </c>
      <c r="H32" s="25">
        <v>0.33022000000000001</v>
      </c>
      <c r="I32" s="25">
        <v>0.35431000000000001</v>
      </c>
      <c r="J32" s="25">
        <v>0.37139</v>
      </c>
    </row>
    <row r="33" spans="2:10" ht="16" thickBot="1" x14ac:dyDescent="0.25">
      <c r="B33" s="30">
        <v>27</v>
      </c>
      <c r="C33" s="25">
        <v>0.20030000000000001</v>
      </c>
      <c r="D33" s="25">
        <v>0.22897999999999999</v>
      </c>
      <c r="E33" s="39">
        <v>0.25438</v>
      </c>
      <c r="F33" s="25">
        <v>0.28438000000000002</v>
      </c>
      <c r="G33" s="25">
        <v>0.30502000000000001</v>
      </c>
      <c r="H33" s="25">
        <v>0.32424999999999998</v>
      </c>
      <c r="I33" s="25">
        <v>0.34794000000000003</v>
      </c>
      <c r="J33" s="25">
        <v>0.36473</v>
      </c>
    </row>
    <row r="34" spans="2:10" ht="16" thickBot="1" x14ac:dyDescent="0.25">
      <c r="B34" s="30">
        <v>28</v>
      </c>
      <c r="C34" s="25">
        <v>0.1968</v>
      </c>
      <c r="D34" s="25">
        <v>0.22497</v>
      </c>
      <c r="E34" s="39">
        <v>0.24993000000000001</v>
      </c>
      <c r="F34" s="25">
        <v>0.27942</v>
      </c>
      <c r="G34" s="25">
        <v>0.29970999999999998</v>
      </c>
      <c r="H34" s="25">
        <v>0.31862000000000001</v>
      </c>
      <c r="I34" s="25">
        <v>0.34189999999999998</v>
      </c>
      <c r="J34" s="25">
        <v>0.35842000000000002</v>
      </c>
    </row>
    <row r="35" spans="2:10" ht="16" thickBot="1" x14ac:dyDescent="0.25">
      <c r="B35" s="30">
        <v>29</v>
      </c>
      <c r="C35" s="25">
        <v>0.19348000000000001</v>
      </c>
      <c r="D35" s="25">
        <v>0.22117000000000001</v>
      </c>
      <c r="E35" s="39">
        <v>0.24571000000000001</v>
      </c>
      <c r="F35" s="25">
        <v>0.27471000000000001</v>
      </c>
      <c r="G35" s="25">
        <v>0.29465999999999998</v>
      </c>
      <c r="H35" s="25">
        <v>0.31326999999999999</v>
      </c>
      <c r="I35" s="25">
        <v>0.33617000000000002</v>
      </c>
      <c r="J35" s="25">
        <v>0.35242000000000001</v>
      </c>
    </row>
    <row r="36" spans="2:10" ht="16" thickBot="1" x14ac:dyDescent="0.25">
      <c r="B36" s="30">
        <v>30</v>
      </c>
      <c r="C36" s="25">
        <v>0.19031999999999999</v>
      </c>
      <c r="D36" s="25">
        <v>0.21756</v>
      </c>
      <c r="E36" s="39">
        <v>0.2417</v>
      </c>
      <c r="F36" s="25">
        <v>0.27023000000000003</v>
      </c>
      <c r="G36" s="25">
        <v>0.28986000000000001</v>
      </c>
      <c r="H36" s="25">
        <v>0.30818000000000001</v>
      </c>
      <c r="I36" s="25">
        <v>0.33072000000000001</v>
      </c>
      <c r="J36" s="25">
        <v>0.34671999999999997</v>
      </c>
    </row>
    <row r="37" spans="2:10" ht="16" thickBot="1" x14ac:dyDescent="0.25">
      <c r="B37" s="30">
        <v>31</v>
      </c>
      <c r="C37" s="25">
        <v>0.18731999999999999</v>
      </c>
      <c r="D37" s="25">
        <v>0.21412</v>
      </c>
      <c r="E37" s="39">
        <v>0.23788000000000001</v>
      </c>
      <c r="F37" s="25">
        <v>0.26595999999999997</v>
      </c>
      <c r="G37" s="25">
        <v>0.28528999999999999</v>
      </c>
      <c r="H37" s="25">
        <v>0.30332999999999999</v>
      </c>
      <c r="I37" s="25">
        <v>0.32552999999999999</v>
      </c>
      <c r="J37" s="25">
        <v>0.34128999999999998</v>
      </c>
    </row>
    <row r="38" spans="2:10" ht="16" thickBot="1" x14ac:dyDescent="0.25">
      <c r="B38" s="30">
        <v>32</v>
      </c>
      <c r="C38" s="25">
        <v>0.18445</v>
      </c>
      <c r="D38" s="25">
        <v>0.21085000000000001</v>
      </c>
      <c r="E38" s="39">
        <v>0.23424</v>
      </c>
      <c r="F38" s="25">
        <v>0.26189000000000001</v>
      </c>
      <c r="G38" s="25">
        <v>0.28094000000000002</v>
      </c>
      <c r="H38" s="25">
        <v>0.29870000000000002</v>
      </c>
      <c r="I38" s="25">
        <v>0.32057999999999998</v>
      </c>
      <c r="J38" s="25">
        <v>0.33611000000000002</v>
      </c>
    </row>
    <row r="39" spans="2:10" ht="16" thickBot="1" x14ac:dyDescent="0.25">
      <c r="B39" s="30">
        <v>33</v>
      </c>
      <c r="C39" s="25">
        <v>0.18171000000000001</v>
      </c>
      <c r="D39" s="25">
        <v>0.20771000000000001</v>
      </c>
      <c r="E39" s="39">
        <v>0.23075999999999999</v>
      </c>
      <c r="F39" s="25">
        <v>0.25801000000000002</v>
      </c>
      <c r="G39" s="25">
        <v>0.27577000000000002</v>
      </c>
      <c r="H39" s="25">
        <v>0.29427999999999999</v>
      </c>
      <c r="I39" s="25">
        <v>0.31584000000000001</v>
      </c>
      <c r="J39" s="25">
        <v>0.33115</v>
      </c>
    </row>
    <row r="40" spans="2:10" ht="16" thickBot="1" x14ac:dyDescent="0.25">
      <c r="B40" s="30">
        <v>34</v>
      </c>
      <c r="C40" s="25">
        <v>0.17909</v>
      </c>
      <c r="D40" s="25">
        <v>0.21471999999999999</v>
      </c>
      <c r="E40" s="39">
        <v>0.22742999999999999</v>
      </c>
      <c r="F40" s="25">
        <v>0.25429000000000002</v>
      </c>
      <c r="G40" s="25">
        <v>0.27271000000000001</v>
      </c>
      <c r="H40" s="25">
        <v>0.29004999999999997</v>
      </c>
      <c r="I40" s="25">
        <v>0.31130999999999998</v>
      </c>
      <c r="J40" s="25">
        <v>0.32640999999999998</v>
      </c>
    </row>
    <row r="41" spans="2:10" ht="16" thickBot="1" x14ac:dyDescent="0.25">
      <c r="B41" s="30">
        <v>35</v>
      </c>
      <c r="C41" s="25">
        <v>0.17659</v>
      </c>
      <c r="D41" s="25">
        <v>0.20185</v>
      </c>
      <c r="E41" s="39">
        <v>0.22425</v>
      </c>
      <c r="F41" s="25">
        <v>0.25073000000000001</v>
      </c>
      <c r="G41" s="25">
        <v>0.26896999999999999</v>
      </c>
      <c r="H41" s="25">
        <v>0.28599999999999998</v>
      </c>
      <c r="I41" s="25">
        <v>0.30597000000000002</v>
      </c>
      <c r="J41" s="25">
        <v>0.32186999999999999</v>
      </c>
    </row>
    <row r="42" spans="2:10" ht="16" thickBot="1" x14ac:dyDescent="0.25">
      <c r="B42" s="30">
        <v>36</v>
      </c>
      <c r="C42" s="25">
        <v>0.17418</v>
      </c>
      <c r="D42" s="25">
        <v>0.1991</v>
      </c>
      <c r="E42" s="39">
        <v>0.22119</v>
      </c>
      <c r="F42" s="25">
        <v>0.24732000000000001</v>
      </c>
      <c r="G42" s="25">
        <v>0.26532</v>
      </c>
      <c r="H42" s="25">
        <v>0.28211000000000003</v>
      </c>
      <c r="I42" s="25">
        <v>0.30281000000000002</v>
      </c>
      <c r="J42" s="25">
        <v>0.31751000000000001</v>
      </c>
    </row>
    <row r="43" spans="2:10" ht="16" thickBot="1" x14ac:dyDescent="0.25">
      <c r="B43" s="30">
        <v>37</v>
      </c>
      <c r="C43" s="25">
        <v>0.17188000000000001</v>
      </c>
      <c r="D43" s="25">
        <v>0.19646</v>
      </c>
      <c r="E43" s="39">
        <v>0.21826000000000001</v>
      </c>
      <c r="F43" s="25">
        <v>0.24404000000000001</v>
      </c>
      <c r="G43" s="25">
        <v>0.26179999999999998</v>
      </c>
      <c r="H43" s="25">
        <v>0.27838000000000002</v>
      </c>
      <c r="I43" s="25">
        <v>0.29881999999999997</v>
      </c>
      <c r="J43" s="25">
        <v>0.31333</v>
      </c>
    </row>
    <row r="44" spans="2:10" ht="16" thickBot="1" x14ac:dyDescent="0.25">
      <c r="B44" s="30">
        <v>38</v>
      </c>
      <c r="C44" s="25">
        <v>0.16966000000000001</v>
      </c>
      <c r="D44" s="25">
        <v>0.19392000000000001</v>
      </c>
      <c r="E44" s="39">
        <v>0.21543999999999999</v>
      </c>
      <c r="F44" s="25">
        <v>0.24088999999999999</v>
      </c>
      <c r="G44" s="25">
        <v>0.25842999999999999</v>
      </c>
      <c r="H44" s="25">
        <v>0.27483000000000002</v>
      </c>
      <c r="I44" s="25">
        <v>0.29498000000000002</v>
      </c>
      <c r="J44" s="25">
        <v>0.30930999999999997</v>
      </c>
    </row>
    <row r="45" spans="2:10" ht="16" thickBot="1" x14ac:dyDescent="0.25">
      <c r="B45" s="30">
        <v>39</v>
      </c>
      <c r="C45" s="25">
        <v>0.16753000000000001</v>
      </c>
      <c r="D45" s="25">
        <v>0.19148000000000001</v>
      </c>
      <c r="E45" s="39">
        <v>0.21273</v>
      </c>
      <c r="F45" s="25">
        <v>0.23785000000000001</v>
      </c>
      <c r="G45" s="25">
        <v>0.25518000000000002</v>
      </c>
      <c r="H45" s="25">
        <v>0.27134999999999998</v>
      </c>
      <c r="I45" s="25">
        <v>0.29125000000000001</v>
      </c>
      <c r="J45" s="25">
        <v>0.30543999999999999</v>
      </c>
    </row>
    <row r="46" spans="2:10" ht="16" thickBot="1" x14ac:dyDescent="0.25">
      <c r="B46" s="30">
        <v>40</v>
      </c>
      <c r="C46" s="25">
        <v>0.16547000000000001</v>
      </c>
      <c r="D46" s="25">
        <v>0.18912999999999999</v>
      </c>
      <c r="E46" s="39">
        <v>0.21012</v>
      </c>
      <c r="F46" s="25">
        <v>0.23494000000000001</v>
      </c>
      <c r="G46" s="25">
        <v>0.25205</v>
      </c>
      <c r="H46" s="25">
        <v>0.26802999999999999</v>
      </c>
      <c r="I46" s="25">
        <v>0.28771999999999998</v>
      </c>
      <c r="J46" s="25">
        <v>0.30170999999999998</v>
      </c>
    </row>
    <row r="47" spans="2:10" ht="16" thickBot="1" x14ac:dyDescent="0.25">
      <c r="B47" s="30">
        <v>41</v>
      </c>
      <c r="C47" s="25">
        <v>0.16349</v>
      </c>
      <c r="D47" s="25">
        <v>0.18687000000000001</v>
      </c>
      <c r="E47" s="39">
        <v>0.20760000000000001</v>
      </c>
      <c r="F47" s="25">
        <v>0.23213</v>
      </c>
      <c r="G47" s="25">
        <v>0.24904000000000001</v>
      </c>
      <c r="H47" s="25">
        <v>0.26482</v>
      </c>
      <c r="I47" s="25">
        <v>0.28428999999999999</v>
      </c>
      <c r="J47" s="25">
        <v>0.29810999999999999</v>
      </c>
    </row>
    <row r="48" spans="2:10" ht="16" thickBot="1" x14ac:dyDescent="0.25">
      <c r="B48" s="30">
        <v>42</v>
      </c>
      <c r="C48" s="25">
        <v>0.16158</v>
      </c>
      <c r="D48" s="25">
        <v>0.18468000000000001</v>
      </c>
      <c r="E48" s="39">
        <v>0.20516999999999999</v>
      </c>
      <c r="F48" s="25">
        <v>0.22941</v>
      </c>
      <c r="G48" s="25">
        <v>0.24612999999999999</v>
      </c>
      <c r="H48" s="25">
        <v>0.26173000000000002</v>
      </c>
      <c r="I48" s="25">
        <v>0.28097</v>
      </c>
      <c r="J48" s="25">
        <v>0.29465000000000002</v>
      </c>
    </row>
    <row r="49" spans="2:10" ht="16" thickBot="1" x14ac:dyDescent="0.25">
      <c r="B49" s="30">
        <v>43</v>
      </c>
      <c r="C49" s="25">
        <v>0.15973999999999999</v>
      </c>
      <c r="D49" s="25">
        <v>0.18257000000000001</v>
      </c>
      <c r="E49" s="39">
        <v>0.20283000000000001</v>
      </c>
      <c r="F49" s="25">
        <v>0.22678999999999999</v>
      </c>
      <c r="G49" s="25">
        <v>0.24332000000000001</v>
      </c>
      <c r="H49" s="25">
        <v>0.25874999999999998</v>
      </c>
      <c r="I49" s="25">
        <v>0.27778000000000003</v>
      </c>
      <c r="J49" s="25">
        <v>0.2913</v>
      </c>
    </row>
    <row r="50" spans="2:10" ht="16" thickBot="1" x14ac:dyDescent="0.25">
      <c r="B50" s="30">
        <v>44</v>
      </c>
      <c r="C50" s="25">
        <v>0.15795000000000001</v>
      </c>
      <c r="D50" s="25">
        <v>0.18051</v>
      </c>
      <c r="E50" s="39">
        <v>0.20055999999999999</v>
      </c>
      <c r="F50" s="25">
        <v>0.22425999999999999</v>
      </c>
      <c r="G50" s="25">
        <v>0.24060000000000001</v>
      </c>
      <c r="H50" s="25">
        <v>0.25586999999999999</v>
      </c>
      <c r="I50" s="25">
        <v>0.27467999999999998</v>
      </c>
      <c r="J50" s="25">
        <v>0.28805999999999998</v>
      </c>
    </row>
    <row r="51" spans="2:10" ht="16" thickBot="1" x14ac:dyDescent="0.25">
      <c r="B51" s="30">
        <v>45</v>
      </c>
      <c r="C51" s="25">
        <v>0.15623000000000001</v>
      </c>
      <c r="D51" s="25">
        <v>0.17856</v>
      </c>
      <c r="E51" s="39">
        <v>0.19836999999999999</v>
      </c>
      <c r="F51" s="25">
        <v>0.22181000000000001</v>
      </c>
      <c r="G51" s="25">
        <v>0.23798</v>
      </c>
      <c r="H51" s="25">
        <v>0.25308000000000003</v>
      </c>
      <c r="I51" s="25">
        <v>0.27168999999999999</v>
      </c>
      <c r="J51" s="25">
        <v>0.28493000000000002</v>
      </c>
    </row>
    <row r="52" spans="2:10" ht="16" thickBot="1" x14ac:dyDescent="0.25">
      <c r="B52" s="30">
        <v>46</v>
      </c>
      <c r="C52" s="25">
        <v>0.15457000000000001</v>
      </c>
      <c r="D52" s="25">
        <v>0.17665</v>
      </c>
      <c r="E52" s="39">
        <v>0.19625000000000001</v>
      </c>
      <c r="F52" s="25">
        <v>0.21944</v>
      </c>
      <c r="G52" s="25">
        <v>0.23544000000000001</v>
      </c>
      <c r="H52" s="25">
        <v>0.25037999999999999</v>
      </c>
      <c r="I52" s="25">
        <v>0.26879999999999998</v>
      </c>
      <c r="J52" s="25">
        <v>0.28189999999999998</v>
      </c>
    </row>
    <row r="53" spans="2:10" ht="16" thickBot="1" x14ac:dyDescent="0.25">
      <c r="B53" s="30">
        <v>47</v>
      </c>
      <c r="C53" s="25">
        <v>0.15295</v>
      </c>
      <c r="D53" s="25">
        <v>0.17480999999999999</v>
      </c>
      <c r="E53" s="39">
        <v>0.19420000000000001</v>
      </c>
      <c r="F53" s="25">
        <v>0.21715000000000001</v>
      </c>
      <c r="G53" s="25">
        <v>0.23297999999999999</v>
      </c>
      <c r="H53" s="25">
        <v>0.24776000000000001</v>
      </c>
      <c r="I53" s="25">
        <v>0.26600000000000001</v>
      </c>
      <c r="J53" s="25">
        <v>0.27895999999999999</v>
      </c>
    </row>
    <row r="54" spans="2:10" ht="16" thickBot="1" x14ac:dyDescent="0.25">
      <c r="B54" s="30">
        <v>48</v>
      </c>
      <c r="C54" s="25">
        <v>0.15139</v>
      </c>
      <c r="D54" s="25">
        <v>0.17301</v>
      </c>
      <c r="E54" s="39">
        <v>0.19220999999999999</v>
      </c>
      <c r="F54" s="25">
        <v>0.21493000000000001</v>
      </c>
      <c r="G54" s="25">
        <v>0.23058999999999999</v>
      </c>
      <c r="H54" s="25">
        <v>0.24523</v>
      </c>
      <c r="I54" s="25">
        <v>0.26328000000000001</v>
      </c>
      <c r="J54" s="25">
        <v>0.27611000000000002</v>
      </c>
    </row>
    <row r="55" spans="2:10" ht="16" thickBot="1" x14ac:dyDescent="0.25">
      <c r="B55" s="30">
        <v>49</v>
      </c>
      <c r="C55" s="25">
        <v>0.14987</v>
      </c>
      <c r="D55" s="25">
        <v>0.17127999999999999</v>
      </c>
      <c r="E55" s="39">
        <v>0.19028</v>
      </c>
      <c r="F55" s="25">
        <v>0.21281</v>
      </c>
      <c r="G55" s="25">
        <v>0.22832</v>
      </c>
      <c r="H55" s="25">
        <v>0.24281</v>
      </c>
      <c r="I55" s="25">
        <v>0.26068999999999998</v>
      </c>
      <c r="J55" s="25">
        <v>0.27339000000000002</v>
      </c>
    </row>
    <row r="56" spans="2:10" ht="16" thickBot="1" x14ac:dyDescent="0.25">
      <c r="B56" s="30">
        <v>50</v>
      </c>
      <c r="C56" s="25">
        <v>0.1484</v>
      </c>
      <c r="D56" s="25">
        <v>0.16958999999999999</v>
      </c>
      <c r="E56" s="39">
        <v>0.18840999999999999</v>
      </c>
      <c r="F56" s="25">
        <v>0.21068000000000001</v>
      </c>
      <c r="G56" s="25">
        <v>0.22603999999999999</v>
      </c>
      <c r="H56" s="25">
        <v>0.24038999999999999</v>
      </c>
      <c r="I56" s="25">
        <v>0.25808999999999999</v>
      </c>
      <c r="J56" s="25">
        <v>0.27067000000000002</v>
      </c>
    </row>
    <row r="57" spans="2:10" ht="21" customHeight="1" thickBot="1" x14ac:dyDescent="0.25">
      <c r="B57" s="30" t="s">
        <v>36</v>
      </c>
      <c r="C57" s="25" t="s">
        <v>24</v>
      </c>
      <c r="D57" s="25" t="s">
        <v>24</v>
      </c>
      <c r="E57" s="39" t="s">
        <v>24</v>
      </c>
      <c r="F57" s="25" t="s">
        <v>24</v>
      </c>
      <c r="G57" s="25" t="s">
        <v>24</v>
      </c>
      <c r="H57" s="25" t="s">
        <v>24</v>
      </c>
      <c r="I57" s="25" t="s">
        <v>24</v>
      </c>
      <c r="J57" s="25" t="s">
        <v>24</v>
      </c>
    </row>
    <row r="60" spans="2:10" x14ac:dyDescent="0.2">
      <c r="B60" s="27" t="s">
        <v>58</v>
      </c>
    </row>
    <row r="61" spans="2:10" x14ac:dyDescent="0.2">
      <c r="B61" s="1" t="s">
        <v>52</v>
      </c>
      <c r="C61" s="1"/>
      <c r="D61" s="1"/>
    </row>
    <row r="62" spans="2:10" x14ac:dyDescent="0.2">
      <c r="B62" s="1" t="s">
        <v>53</v>
      </c>
      <c r="C62" s="1"/>
      <c r="D62" s="1"/>
    </row>
  </sheetData>
  <mergeCells count="2">
    <mergeCell ref="B5:B6"/>
    <mergeCell ref="C5:J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2</vt:i4>
      </vt:variant>
    </vt:vector>
  </HeadingPairs>
  <TitlesOfParts>
    <vt:vector size="7" baseType="lpstr">
      <vt:lpstr>AP</vt:lpstr>
      <vt:lpstr>E1</vt:lpstr>
      <vt:lpstr>E2</vt:lpstr>
      <vt:lpstr>E3</vt:lpstr>
      <vt:lpstr>KS</vt:lpstr>
      <vt:lpstr>G1 Sx</vt:lpstr>
      <vt:lpstr>G2 hx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GARCIA</dc:creator>
  <cp:lastModifiedBy>Microsoft Office User</cp:lastModifiedBy>
  <dcterms:created xsi:type="dcterms:W3CDTF">2018-02-22T11:29:30Z</dcterms:created>
  <dcterms:modified xsi:type="dcterms:W3CDTF">2021-09-06T20:37:04Z</dcterms:modified>
</cp:coreProperties>
</file>